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3.xml" ContentType="application/vnd.openxmlformats-officedocument.drawing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3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nny\Documents\Trabajo\TrabajoLiz\"/>
    </mc:Choice>
  </mc:AlternateContent>
  <xr:revisionPtr revIDLastSave="0" documentId="13_ncr:1_{E6F2D007-73B3-4BC5-B4ED-0A4DBDF091DF}" xr6:coauthVersionLast="47" xr6:coauthVersionMax="47" xr10:uidLastSave="{00000000-0000-0000-0000-000000000000}"/>
  <bookViews>
    <workbookView xWindow="-108" yWindow="-108" windowWidth="23256" windowHeight="12456" xr2:uid="{1B96BFF3-D2CE-493B-B5E6-FAE7BCD6A21C}"/>
  </bookViews>
  <sheets>
    <sheet name="OCTUBRE 2025" sheetId="72" r:id="rId1"/>
    <sheet name="BONO vehicular" sheetId="61" state="hidden" r:id="rId2"/>
    <sheet name="COMISIONES" sheetId="67" state="hidden" r:id="rId3"/>
    <sheet name="ROL INDIVIDUAL" sheetId="56" r:id="rId4"/>
    <sheet name="ROL INDIVIDUAL (2)" sheetId="99" state="hidden" r:id="rId5"/>
    <sheet name="ROL INDIVIDUAL Prueba" sheetId="104" r:id="rId6"/>
    <sheet name="CHIMBOLEMA" sheetId="77" r:id="rId7"/>
    <sheet name="coca" sheetId="93" state="hidden" r:id="rId8"/>
    <sheet name="coca (2)" sheetId="96" state="hidden" r:id="rId9"/>
    <sheet name="Enfermedad-Meza)" sheetId="98" state="hidden" r:id="rId10"/>
    <sheet name="Cálculo Morocho" sheetId="100" state="hidden" r:id="rId11"/>
    <sheet name="DEL ROSARIO" sheetId="102" r:id="rId12"/>
    <sheet name="CHIMBOLEMA KEVIN" sheetId="103" r:id="rId13"/>
    <sheet name="OTRAS COMISIONES" sheetId="81" r:id="rId14"/>
    <sheet name="COMISIONES-SOCIOS" sheetId="79" r:id="rId15"/>
    <sheet name="CTAS POR COBRAR-GUAPI" sheetId="82" state="hidden" r:id="rId16"/>
    <sheet name="H.EXTRAS" sheetId="62" r:id="rId17"/>
    <sheet name="Conversión-HE" sheetId="91" r:id="rId18"/>
    <sheet name="PQ" sheetId="64" r:id="rId19"/>
    <sheet name="FR" sheetId="63" r:id="rId20"/>
    <sheet name="Enfermedad" sheetId="68" state="hidden" r:id="rId21"/>
    <sheet name="CxC García Henry" sheetId="85" state="hidden" r:id="rId22"/>
    <sheet name="CxC Guayanlema" sheetId="95" state="hidden" r:id="rId23"/>
    <sheet name="ANTICIPOS" sheetId="84" r:id="rId24"/>
    <sheet name="Hoja1" sheetId="78" state="hidden" r:id="rId25"/>
    <sheet name="comprobación" sheetId="86" state="hidden" r:id="rId26"/>
    <sheet name="DESCUENTO" sheetId="89" state="hidden" r:id="rId27"/>
    <sheet name="anticipos-pago yuquilema" sheetId="90" state="hidden" r:id="rId28"/>
  </sheets>
  <definedNames>
    <definedName name="_xlnm._FilterDatabase" localSheetId="23" hidden="1">ANTICIPOS!$A$1:$BB$54</definedName>
    <definedName name="_xlnm._FilterDatabase" localSheetId="17" hidden="1">'Conversión-HE'!$B$19:$I$70</definedName>
    <definedName name="_xlnm._FilterDatabase" localSheetId="19" hidden="1">FR!$B$5:$M$56</definedName>
    <definedName name="_xlnm._FilterDatabase" localSheetId="0" hidden="1">'OCTUBRE 2025'!$A$6:$BF$57</definedName>
    <definedName name="_xlnm._FilterDatabase" localSheetId="18" hidden="1">PQ!$B$7:$F$29</definedName>
    <definedName name="_xlnm.Print_Area" localSheetId="17">'Conversión-HE'!$D$1:$H$19</definedName>
    <definedName name="CANTIDAD_POR_DEPARTAMENTO">#REF!</definedName>
    <definedName name="SUELDOS_POR_DEPARTAMENTO">#REF!</definedName>
    <definedName name="_xlnm.Print_Titles" localSheetId="23">ANTICIPOS!#REF!</definedName>
    <definedName name="_xlnm.Print_Titles" localSheetId="0">'OCTUBRE 2025'!$2:$4</definedName>
  </definedNames>
  <calcPr calcId="191029"/>
  <pivotCaches>
    <pivotCache cacheId="0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56" l="1"/>
  <c r="D8" i="56"/>
  <c r="G31" i="104"/>
  <c r="G32" i="64"/>
  <c r="Z9" i="72"/>
  <c r="T9" i="72"/>
  <c r="I20" i="91"/>
  <c r="AN10" i="72"/>
  <c r="AN11" i="72"/>
  <c r="AN12" i="72"/>
  <c r="AN13" i="72"/>
  <c r="AN14" i="72"/>
  <c r="AN15" i="72"/>
  <c r="AN16" i="72"/>
  <c r="AN17" i="72"/>
  <c r="AN18" i="72"/>
  <c r="AN19" i="72"/>
  <c r="AN20" i="72"/>
  <c r="AN21" i="72"/>
  <c r="AN22" i="72" s="1"/>
  <c r="AN23" i="72" s="1"/>
  <c r="AN24" i="72" s="1"/>
  <c r="AN25" i="72" s="1"/>
  <c r="AN26" i="72" s="1"/>
  <c r="AN27" i="72" s="1"/>
  <c r="AN28" i="72" s="1"/>
  <c r="AN29" i="72" s="1"/>
  <c r="AN30" i="72" s="1"/>
  <c r="AN31" i="72" s="1"/>
  <c r="AN32" i="72" s="1"/>
  <c r="AN33" i="72" s="1"/>
  <c r="AN34" i="72" s="1"/>
  <c r="AN35" i="72" s="1"/>
  <c r="AN36" i="72" s="1"/>
  <c r="AN37" i="72" s="1"/>
  <c r="AN38" i="72" s="1"/>
  <c r="AN39" i="72" s="1"/>
  <c r="AN40" i="72" s="1"/>
  <c r="AN41" i="72" s="1"/>
  <c r="AN42" i="72" s="1"/>
  <c r="AN43" i="72" s="1"/>
  <c r="AN44" i="72" s="1"/>
  <c r="AN45" i="72" s="1"/>
  <c r="AN46" i="72" s="1"/>
  <c r="AN47" i="72" s="1"/>
  <c r="AN48" i="72" s="1"/>
  <c r="AN49" i="72" s="1"/>
  <c r="AN50" i="72" s="1"/>
  <c r="AN51" i="72" s="1"/>
  <c r="AN52" i="72" s="1"/>
  <c r="AN53" i="72" s="1"/>
  <c r="AN54" i="72" s="1"/>
  <c r="AN55" i="72" s="1"/>
  <c r="AN56" i="72" s="1"/>
  <c r="AN57" i="72" s="1"/>
  <c r="AN9" i="72"/>
  <c r="AO16" i="72"/>
  <c r="AO12" i="72"/>
  <c r="AO11" i="72"/>
  <c r="D43" i="63"/>
  <c r="I43" i="63"/>
  <c r="J43" i="63"/>
  <c r="D16" i="63"/>
  <c r="I16" i="63"/>
  <c r="J16" i="63"/>
  <c r="D15" i="63"/>
  <c r="I15" i="63"/>
  <c r="J15" i="63"/>
  <c r="D10" i="63"/>
  <c r="I10" i="63"/>
  <c r="J10" i="63"/>
  <c r="I9" i="63"/>
  <c r="J9" i="63"/>
  <c r="B7" i="63"/>
  <c r="B8" i="63" s="1"/>
  <c r="B9" i="63" s="1"/>
  <c r="B10" i="63" s="1"/>
  <c r="B11" i="63" s="1"/>
  <c r="B12" i="63" s="1"/>
  <c r="B13" i="63" s="1"/>
  <c r="B14" i="63" s="1"/>
  <c r="B15" i="63" s="1"/>
  <c r="B16" i="63" s="1"/>
  <c r="B17" i="63" s="1"/>
  <c r="B18" i="63" s="1"/>
  <c r="B19" i="63" s="1"/>
  <c r="B20" i="63" s="1"/>
  <c r="B21" i="63" s="1"/>
  <c r="B22" i="63" s="1"/>
  <c r="B23" i="63" s="1"/>
  <c r="B24" i="63" s="1"/>
  <c r="B25" i="63" s="1"/>
  <c r="B26" i="63" s="1"/>
  <c r="B27" i="63" s="1"/>
  <c r="B28" i="63" s="1"/>
  <c r="B29" i="63" s="1"/>
  <c r="B30" i="63" s="1"/>
  <c r="B31" i="63" s="1"/>
  <c r="B32" i="63" s="1"/>
  <c r="B33" i="63" s="1"/>
  <c r="B34" i="63" s="1"/>
  <c r="B35" i="63" s="1"/>
  <c r="B36" i="63" s="1"/>
  <c r="B37" i="63" s="1"/>
  <c r="B38" i="63" s="1"/>
  <c r="B39" i="63" s="1"/>
  <c r="B40" i="63" s="1"/>
  <c r="B41" i="63" s="1"/>
  <c r="B42" i="63" s="1"/>
  <c r="B43" i="63" s="1"/>
  <c r="B44" i="63" s="1"/>
  <c r="B45" i="63" s="1"/>
  <c r="B46" i="63" s="1"/>
  <c r="B47" i="63" s="1"/>
  <c r="B48" i="63" s="1"/>
  <c r="B49" i="63" s="1"/>
  <c r="B50" i="63" s="1"/>
  <c r="B51" i="63" s="1"/>
  <c r="B52" i="63" s="1"/>
  <c r="B53" i="63" s="1"/>
  <c r="B54" i="63" s="1"/>
  <c r="B55" i="63" s="1"/>
  <c r="D14" i="63"/>
  <c r="I14" i="63"/>
  <c r="J14" i="63"/>
  <c r="D17" i="63"/>
  <c r="I17" i="63"/>
  <c r="J17" i="63"/>
  <c r="I13" i="63"/>
  <c r="J13" i="63"/>
  <c r="D12" i="63"/>
  <c r="I12" i="63"/>
  <c r="J12" i="63"/>
  <c r="P9" i="72"/>
  <c r="P10" i="72"/>
  <c r="P11" i="72"/>
  <c r="P12" i="72"/>
  <c r="P13" i="72"/>
  <c r="P14" i="72"/>
  <c r="P15" i="72"/>
  <c r="P16" i="72"/>
  <c r="P17" i="72"/>
  <c r="P18" i="72"/>
  <c r="P19" i="72"/>
  <c r="P20" i="72"/>
  <c r="P21" i="72"/>
  <c r="P22" i="72"/>
  <c r="P23" i="72"/>
  <c r="P24" i="72"/>
  <c r="P25" i="72"/>
  <c r="P26" i="72"/>
  <c r="P27" i="72"/>
  <c r="P28" i="72"/>
  <c r="P29" i="72"/>
  <c r="P30" i="72"/>
  <c r="P31" i="72"/>
  <c r="P32" i="72"/>
  <c r="P33" i="72"/>
  <c r="P34" i="72"/>
  <c r="P35" i="72"/>
  <c r="P36" i="72"/>
  <c r="P37" i="72"/>
  <c r="P38" i="72"/>
  <c r="P39" i="72"/>
  <c r="P40" i="72"/>
  <c r="P41" i="72"/>
  <c r="P42" i="72"/>
  <c r="P43" i="72"/>
  <c r="P44" i="72"/>
  <c r="P45" i="72"/>
  <c r="P46" i="72"/>
  <c r="P47" i="72"/>
  <c r="P48" i="72"/>
  <c r="P49" i="72"/>
  <c r="P50" i="72"/>
  <c r="P51" i="72"/>
  <c r="P52" i="72"/>
  <c r="P53" i="72"/>
  <c r="P54" i="72"/>
  <c r="P55" i="72"/>
  <c r="P56" i="72"/>
  <c r="P57" i="72"/>
  <c r="M9" i="72"/>
  <c r="M10" i="72"/>
  <c r="M11" i="72"/>
  <c r="M12" i="72"/>
  <c r="M13" i="72"/>
  <c r="M14" i="72"/>
  <c r="M15" i="72"/>
  <c r="M16" i="72"/>
  <c r="M17" i="72"/>
  <c r="M18" i="72"/>
  <c r="M19" i="72"/>
  <c r="M20" i="72"/>
  <c r="M21" i="72"/>
  <c r="M22" i="72"/>
  <c r="M23" i="72"/>
  <c r="M24" i="72"/>
  <c r="M25" i="72"/>
  <c r="M26" i="72"/>
  <c r="M27" i="72"/>
  <c r="M28" i="72"/>
  <c r="M29" i="72"/>
  <c r="M30" i="72"/>
  <c r="M31" i="72"/>
  <c r="M32" i="72"/>
  <c r="M33" i="72"/>
  <c r="M34" i="72"/>
  <c r="M35" i="72"/>
  <c r="M36" i="72"/>
  <c r="M37" i="72"/>
  <c r="M38" i="72"/>
  <c r="M39" i="72"/>
  <c r="M40" i="72"/>
  <c r="M41" i="72"/>
  <c r="M42" i="72"/>
  <c r="M43" i="72"/>
  <c r="M44" i="72"/>
  <c r="M45" i="72"/>
  <c r="M46" i="72"/>
  <c r="M47" i="72"/>
  <c r="M48" i="72"/>
  <c r="M49" i="72"/>
  <c r="M50" i="72"/>
  <c r="M51" i="72"/>
  <c r="M52" i="72"/>
  <c r="M53" i="72"/>
  <c r="M54" i="72"/>
  <c r="M55" i="72"/>
  <c r="M56" i="72"/>
  <c r="M57" i="72"/>
  <c r="H33" i="103"/>
  <c r="H34" i="103" s="1"/>
  <c r="E32" i="103"/>
  <c r="E43" i="103" s="1"/>
  <c r="F21" i="103"/>
  <c r="F20" i="103"/>
  <c r="G20" i="103" s="1"/>
  <c r="F19" i="103"/>
  <c r="F14" i="103"/>
  <c r="G19" i="103" s="1"/>
  <c r="D14" i="103"/>
  <c r="D15" i="103" s="1"/>
  <c r="G10" i="103"/>
  <c r="D26" i="91"/>
  <c r="D14" i="79"/>
  <c r="E14" i="79"/>
  <c r="F14" i="79"/>
  <c r="G14" i="79"/>
  <c r="J14" i="79"/>
  <c r="K14" i="79"/>
  <c r="L14" i="79"/>
  <c r="F27" i="103" l="1"/>
  <c r="C32" i="103"/>
  <c r="C43" i="103" s="1"/>
  <c r="E44" i="103" s="1"/>
  <c r="G44" i="103" s="1"/>
  <c r="G21" i="103"/>
  <c r="G27" i="103" s="1"/>
  <c r="I18" i="103" s="1"/>
  <c r="F15" i="103"/>
  <c r="G15" i="103"/>
  <c r="I16" i="103" s="1"/>
  <c r="B5" i="84"/>
  <c r="B6" i="84" s="1"/>
  <c r="B7" i="84" s="1"/>
  <c r="B8" i="84" s="1"/>
  <c r="B9" i="84" s="1"/>
  <c r="B10" i="84" s="1"/>
  <c r="B11" i="84" s="1"/>
  <c r="B12" i="84" s="1"/>
  <c r="B13" i="84" s="1"/>
  <c r="B14" i="84" s="1"/>
  <c r="B15" i="84" s="1"/>
  <c r="B16" i="84" s="1"/>
  <c r="B17" i="84" s="1"/>
  <c r="B18" i="84" s="1"/>
  <c r="B19" i="84" s="1"/>
  <c r="B20" i="84" s="1"/>
  <c r="B21" i="84" s="1"/>
  <c r="B22" i="84" s="1"/>
  <c r="B23" i="84" s="1"/>
  <c r="B24" i="84" s="1"/>
  <c r="B25" i="84" s="1"/>
  <c r="B26" i="84" s="1"/>
  <c r="B27" i="84" s="1"/>
  <c r="B28" i="84" s="1"/>
  <c r="B29" i="84" s="1"/>
  <c r="B30" i="84" s="1"/>
  <c r="B31" i="84" s="1"/>
  <c r="B32" i="84" s="1"/>
  <c r="B33" i="84" s="1"/>
  <c r="B34" i="84" s="1"/>
  <c r="B35" i="84" s="1"/>
  <c r="B36" i="84" s="1"/>
  <c r="B37" i="84" s="1"/>
  <c r="B38" i="84" s="1"/>
  <c r="B39" i="84" s="1"/>
  <c r="B40" i="84" s="1"/>
  <c r="B41" i="84" s="1"/>
  <c r="B42" i="84" s="1"/>
  <c r="B43" i="84" s="1"/>
  <c r="B44" i="84" s="1"/>
  <c r="B45" i="84" s="1"/>
  <c r="B46" i="84" s="1"/>
  <c r="B47" i="84" s="1"/>
  <c r="B48" i="84" s="1"/>
  <c r="B49" i="84" s="1"/>
  <c r="B50" i="84" s="1"/>
  <c r="B51" i="84" s="1"/>
  <c r="B52" i="84" s="1"/>
  <c r="B10" i="72"/>
  <c r="B11" i="72"/>
  <c r="B12" i="72"/>
  <c r="B13" i="72"/>
  <c r="B14" i="72"/>
  <c r="B15" i="72"/>
  <c r="B16" i="72"/>
  <c r="B17" i="72" s="1"/>
  <c r="B18" i="72" s="1"/>
  <c r="B19" i="72" s="1"/>
  <c r="B20" i="72" s="1"/>
  <c r="B21" i="72" s="1"/>
  <c r="B22" i="72" s="1"/>
  <c r="B23" i="72" s="1"/>
  <c r="B24" i="72" s="1"/>
  <c r="B25" i="72" s="1"/>
  <c r="B26" i="72" s="1"/>
  <c r="B27" i="72" s="1"/>
  <c r="B28" i="72" s="1"/>
  <c r="B29" i="72" s="1"/>
  <c r="B30" i="72" s="1"/>
  <c r="B31" i="72" s="1"/>
  <c r="B32" i="72" s="1"/>
  <c r="B33" i="72" s="1"/>
  <c r="B34" i="72" s="1"/>
  <c r="B35" i="72" s="1"/>
  <c r="B36" i="72" s="1"/>
  <c r="B37" i="72" s="1"/>
  <c r="B38" i="72" s="1"/>
  <c r="B39" i="72" s="1"/>
  <c r="B40" i="72" s="1"/>
  <c r="B41" i="72" s="1"/>
  <c r="B42" i="72" s="1"/>
  <c r="B43" i="72" s="1"/>
  <c r="B44" i="72" s="1"/>
  <c r="B45" i="72" s="1"/>
  <c r="B46" i="72" s="1"/>
  <c r="B47" i="72" s="1"/>
  <c r="B48" i="72" s="1"/>
  <c r="B49" i="72" s="1"/>
  <c r="B50" i="72" s="1"/>
  <c r="B51" i="72" s="1"/>
  <c r="B52" i="72" s="1"/>
  <c r="B53" i="72" s="1"/>
  <c r="B54" i="72" s="1"/>
  <c r="B55" i="72" s="1"/>
  <c r="B56" i="72" s="1"/>
  <c r="B57" i="72" s="1"/>
  <c r="B9" i="72"/>
  <c r="B4" i="84"/>
  <c r="E11" i="84"/>
  <c r="B35" i="91"/>
  <c r="B36" i="91"/>
  <c r="B37" i="91"/>
  <c r="B38" i="91"/>
  <c r="B39" i="91" s="1"/>
  <c r="B40" i="91" s="1"/>
  <c r="B41" i="91" s="1"/>
  <c r="B42" i="91" s="1"/>
  <c r="B43" i="91" s="1"/>
  <c r="B44" i="91" s="1"/>
  <c r="B45" i="91" s="1"/>
  <c r="B46" i="91" s="1"/>
  <c r="B47" i="91" s="1"/>
  <c r="B48" i="91" s="1"/>
  <c r="B49" i="91" s="1"/>
  <c r="B50" i="91" s="1"/>
  <c r="B51" i="91" s="1"/>
  <c r="B52" i="91" s="1"/>
  <c r="B53" i="91" s="1"/>
  <c r="B54" i="91" s="1"/>
  <c r="B55" i="91" s="1"/>
  <c r="B56" i="91" s="1"/>
  <c r="B57" i="91" s="1"/>
  <c r="B58" i="91" s="1"/>
  <c r="B59" i="91" s="1"/>
  <c r="B60" i="91" s="1"/>
  <c r="B61" i="91" s="1"/>
  <c r="B62" i="91" s="1"/>
  <c r="B63" i="91" s="1"/>
  <c r="B64" i="91" s="1"/>
  <c r="B65" i="91" s="1"/>
  <c r="B66" i="91" s="1"/>
  <c r="B67" i="91" s="1"/>
  <c r="B68" i="91" s="1"/>
  <c r="B69" i="91" s="1"/>
  <c r="B22" i="91"/>
  <c r="B23" i="91"/>
  <c r="B24" i="91"/>
  <c r="B25" i="91"/>
  <c r="B26" i="91" s="1"/>
  <c r="B27" i="91" s="1"/>
  <c r="B28" i="91" s="1"/>
  <c r="B29" i="91" s="1"/>
  <c r="B30" i="91" s="1"/>
  <c r="B31" i="91" s="1"/>
  <c r="B32" i="91" s="1"/>
  <c r="B33" i="91" s="1"/>
  <c r="B34" i="91" s="1"/>
  <c r="D57" i="91"/>
  <c r="E57" i="91"/>
  <c r="H57" i="91"/>
  <c r="I57" i="91"/>
  <c r="D30" i="91"/>
  <c r="E30" i="91"/>
  <c r="H30" i="91"/>
  <c r="I30" i="91"/>
  <c r="D18" i="62"/>
  <c r="E18" i="62"/>
  <c r="F18" i="62"/>
  <c r="G18" i="62"/>
  <c r="H18" i="62"/>
  <c r="I18" i="62"/>
  <c r="K18" i="62" s="1"/>
  <c r="R18" i="72" s="1"/>
  <c r="D29" i="91"/>
  <c r="E29" i="91"/>
  <c r="H29" i="91"/>
  <c r="H17" i="62" s="1"/>
  <c r="I29" i="91"/>
  <c r="I17" i="62" s="1"/>
  <c r="B21" i="91"/>
  <c r="D28" i="91"/>
  <c r="E28" i="91"/>
  <c r="H28" i="91"/>
  <c r="H16" i="62" s="1"/>
  <c r="I28" i="91"/>
  <c r="I16" i="62" s="1"/>
  <c r="E15" i="62"/>
  <c r="F15" i="62"/>
  <c r="G15" i="62"/>
  <c r="D15" i="62"/>
  <c r="D16" i="62"/>
  <c r="E26" i="91"/>
  <c r="H26" i="91"/>
  <c r="H14" i="62" s="1"/>
  <c r="I26" i="91"/>
  <c r="I14" i="62" s="1"/>
  <c r="D24" i="91"/>
  <c r="E24" i="91"/>
  <c r="H24" i="91"/>
  <c r="H12" i="62" s="1"/>
  <c r="I24" i="91"/>
  <c r="I12" i="62" s="1"/>
  <c r="D45" i="62"/>
  <c r="E45" i="62"/>
  <c r="F45" i="62"/>
  <c r="G45" i="62"/>
  <c r="H45" i="62"/>
  <c r="I45" i="62"/>
  <c r="D14" i="62"/>
  <c r="E14" i="62"/>
  <c r="F14" i="62"/>
  <c r="G14" i="62"/>
  <c r="E16" i="62"/>
  <c r="F16" i="62"/>
  <c r="G16" i="62"/>
  <c r="D17" i="62"/>
  <c r="E17" i="62"/>
  <c r="F17" i="62"/>
  <c r="G17" i="62"/>
  <c r="D12" i="62"/>
  <c r="E12" i="62"/>
  <c r="F12" i="62"/>
  <c r="G12" i="62"/>
  <c r="D16" i="79"/>
  <c r="E16" i="79"/>
  <c r="F16" i="79"/>
  <c r="G16" i="79"/>
  <c r="J16" i="79"/>
  <c r="K16" i="79"/>
  <c r="L16" i="79"/>
  <c r="D45" i="79"/>
  <c r="E45" i="79"/>
  <c r="F45" i="79"/>
  <c r="G45" i="79"/>
  <c r="J45" i="79"/>
  <c r="K45" i="79"/>
  <c r="L45" i="79"/>
  <c r="D17" i="79"/>
  <c r="E17" i="79"/>
  <c r="F17" i="79"/>
  <c r="G17" i="79"/>
  <c r="J17" i="79"/>
  <c r="K17" i="79"/>
  <c r="L17" i="79"/>
  <c r="D18" i="79"/>
  <c r="E18" i="79"/>
  <c r="F18" i="79"/>
  <c r="G18" i="79"/>
  <c r="J18" i="79"/>
  <c r="K18" i="79"/>
  <c r="L18" i="79"/>
  <c r="D12" i="79"/>
  <c r="E12" i="79"/>
  <c r="F12" i="79"/>
  <c r="G12" i="79"/>
  <c r="J12" i="79"/>
  <c r="K12" i="79"/>
  <c r="D45" i="81"/>
  <c r="E45" i="81"/>
  <c r="F45" i="81"/>
  <c r="G45" i="81"/>
  <c r="K45" i="81"/>
  <c r="D18" i="81"/>
  <c r="E18" i="81"/>
  <c r="F18" i="81"/>
  <c r="G18" i="81"/>
  <c r="K18" i="81"/>
  <c r="D14" i="81"/>
  <c r="E14" i="81"/>
  <c r="F14" i="81"/>
  <c r="G14" i="81"/>
  <c r="K14" i="81"/>
  <c r="K12" i="81"/>
  <c r="K13" i="81"/>
  <c r="K15" i="81"/>
  <c r="K16" i="81"/>
  <c r="K17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1" i="81"/>
  <c r="K42" i="81"/>
  <c r="K43" i="81"/>
  <c r="K44" i="81"/>
  <c r="K46" i="81"/>
  <c r="K47" i="81"/>
  <c r="K48" i="81"/>
  <c r="K49" i="81"/>
  <c r="K50" i="81"/>
  <c r="K51" i="81"/>
  <c r="K52" i="81"/>
  <c r="K53" i="81"/>
  <c r="K54" i="81"/>
  <c r="K55" i="81"/>
  <c r="K56" i="81"/>
  <c r="K57" i="81"/>
  <c r="K58" i="81"/>
  <c r="D12" i="81"/>
  <c r="E12" i="81"/>
  <c r="F12" i="81"/>
  <c r="G12" i="81"/>
  <c r="D17" i="81"/>
  <c r="E17" i="81"/>
  <c r="F17" i="81"/>
  <c r="G17" i="81"/>
  <c r="AP16" i="72"/>
  <c r="E16" i="81"/>
  <c r="AQ16" i="72"/>
  <c r="AW16" i="72" s="1"/>
  <c r="AP18" i="72"/>
  <c r="AQ18" i="72"/>
  <c r="AW18" i="72" s="1"/>
  <c r="AP14" i="72"/>
  <c r="AQ14" i="72"/>
  <c r="AW14" i="72" s="1"/>
  <c r="AP12" i="72"/>
  <c r="AQ12" i="72"/>
  <c r="AW12" i="72" s="1"/>
  <c r="AQ45" i="72"/>
  <c r="AW45" i="72" s="1"/>
  <c r="AR45" i="72"/>
  <c r="AP45" i="72"/>
  <c r="AH58" i="72"/>
  <c r="E40" i="84"/>
  <c r="E9" i="84"/>
  <c r="E13" i="84"/>
  <c r="J18" i="62" l="1"/>
  <c r="Q18" i="72" s="1"/>
  <c r="S18" i="72" s="1"/>
  <c r="T18" i="72" s="1"/>
  <c r="J45" i="62"/>
  <c r="Q45" i="72" s="1"/>
  <c r="S45" i="72" s="1"/>
  <c r="T45" i="72" s="1"/>
  <c r="K43" i="63" s="1"/>
  <c r="K45" i="62"/>
  <c r="R45" i="72" s="1"/>
  <c r="J14" i="62"/>
  <c r="Q14" i="72" s="1"/>
  <c r="K14" i="62"/>
  <c r="R14" i="72" s="1"/>
  <c r="K17" i="62"/>
  <c r="R17" i="72" s="1"/>
  <c r="J16" i="62"/>
  <c r="Q16" i="72" s="1"/>
  <c r="J17" i="62"/>
  <c r="Q17" i="72" s="1"/>
  <c r="K16" i="62"/>
  <c r="R16" i="72" s="1"/>
  <c r="K12" i="62"/>
  <c r="R12" i="72" s="1"/>
  <c r="J12" i="62"/>
  <c r="Q12" i="72" s="1"/>
  <c r="L12" i="79"/>
  <c r="AO14" i="72"/>
  <c r="AO45" i="72"/>
  <c r="AO18" i="72"/>
  <c r="S17" i="72" l="1"/>
  <c r="T17" i="72" s="1"/>
  <c r="K15" i="63" s="1"/>
  <c r="S16" i="72"/>
  <c r="T16" i="72" s="1"/>
  <c r="S14" i="72"/>
  <c r="T14" i="72" s="1"/>
  <c r="K17" i="63"/>
  <c r="M17" i="63" s="1"/>
  <c r="Z45" i="72"/>
  <c r="S12" i="72"/>
  <c r="T12" i="72" s="1"/>
  <c r="K10" i="63" s="1"/>
  <c r="Y45" i="72"/>
  <c r="Z17" i="72"/>
  <c r="K16" i="63"/>
  <c r="Z18" i="72"/>
  <c r="Y18" i="72"/>
  <c r="Y12" i="72"/>
  <c r="Z12" i="72"/>
  <c r="L18" i="62"/>
  <c r="L14" i="62"/>
  <c r="L45" i="62"/>
  <c r="L16" i="62"/>
  <c r="L17" i="62"/>
  <c r="L12" i="62"/>
  <c r="F14" i="102"/>
  <c r="G19" i="102"/>
  <c r="L39" i="72"/>
  <c r="F14" i="77"/>
  <c r="G19" i="77"/>
  <c r="L40" i="72"/>
  <c r="E32" i="77"/>
  <c r="C32" i="77"/>
  <c r="C33" i="77"/>
  <c r="F19" i="77"/>
  <c r="L41" i="72"/>
  <c r="Z14" i="72" l="1"/>
  <c r="Y14" i="72"/>
  <c r="K12" i="63"/>
  <c r="Z16" i="72"/>
  <c r="Y16" i="72"/>
  <c r="K14" i="63"/>
  <c r="H7" i="61"/>
  <c r="J20" i="61"/>
  <c r="K51" i="72"/>
  <c r="I16" i="102"/>
  <c r="G15" i="102"/>
  <c r="F20" i="102"/>
  <c r="G20" i="102" s="1"/>
  <c r="J23" i="61"/>
  <c r="J21" i="61"/>
  <c r="J16" i="61"/>
  <c r="J15" i="61"/>
  <c r="J14" i="61"/>
  <c r="J11" i="61"/>
  <c r="J10" i="61"/>
  <c r="J7" i="61"/>
  <c r="F15" i="102"/>
  <c r="F19" i="102"/>
  <c r="H34" i="102" s="1"/>
  <c r="E32" i="102" s="1"/>
  <c r="E15" i="84"/>
  <c r="E3" i="84"/>
  <c r="E4" i="84"/>
  <c r="E5" i="84"/>
  <c r="E6" i="84"/>
  <c r="E8" i="84"/>
  <c r="E10" i="84"/>
  <c r="E12" i="84"/>
  <c r="E14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35" i="64"/>
  <c r="C32" i="102" l="1"/>
  <c r="AG58" i="72"/>
  <c r="H33" i="102" l="1"/>
  <c r="F21" i="102"/>
  <c r="D14" i="102"/>
  <c r="D15" i="102" s="1"/>
  <c r="G10" i="102"/>
  <c r="U13" i="72"/>
  <c r="U17" i="72"/>
  <c r="Y17" i="72" s="1"/>
  <c r="U22" i="72"/>
  <c r="U26" i="72"/>
  <c r="U30" i="72"/>
  <c r="U31" i="72"/>
  <c r="U40" i="72"/>
  <c r="U41" i="72"/>
  <c r="U43" i="72"/>
  <c r="U9" i="72"/>
  <c r="Y9" i="72" s="1"/>
  <c r="AO43" i="72"/>
  <c r="AP43" i="72"/>
  <c r="AQ43" i="72"/>
  <c r="AW43" i="72" s="1"/>
  <c r="AR43" i="72"/>
  <c r="AO13" i="72"/>
  <c r="E63" i="84"/>
  <c r="D11" i="63"/>
  <c r="I11" i="63"/>
  <c r="J11" i="63"/>
  <c r="K19" i="72"/>
  <c r="K20" i="72"/>
  <c r="K21" i="72"/>
  <c r="K22" i="72"/>
  <c r="K23" i="72"/>
  <c r="K24" i="72"/>
  <c r="K25" i="72"/>
  <c r="K26" i="72"/>
  <c r="K27" i="72"/>
  <c r="K28" i="72"/>
  <c r="K29" i="72"/>
  <c r="K31" i="72"/>
  <c r="K32" i="72"/>
  <c r="K33" i="72"/>
  <c r="K34" i="72"/>
  <c r="K35" i="72"/>
  <c r="K36" i="72"/>
  <c r="K37" i="72"/>
  <c r="K38" i="72"/>
  <c r="K39" i="72"/>
  <c r="K40" i="72"/>
  <c r="K41" i="72"/>
  <c r="K42" i="72"/>
  <c r="K43" i="72"/>
  <c r="K44" i="72"/>
  <c r="K46" i="72"/>
  <c r="K47" i="72"/>
  <c r="K48" i="72"/>
  <c r="K49" i="72"/>
  <c r="K50" i="72"/>
  <c r="K52" i="72"/>
  <c r="K53" i="72"/>
  <c r="K54" i="72"/>
  <c r="K55" i="72"/>
  <c r="K57" i="72"/>
  <c r="K17" i="72"/>
  <c r="K9" i="72"/>
  <c r="K10" i="72"/>
  <c r="K11" i="72"/>
  <c r="K15" i="72"/>
  <c r="F7" i="61"/>
  <c r="D8" i="61"/>
  <c r="D9" i="61"/>
  <c r="D10" i="61"/>
  <c r="D11" i="61"/>
  <c r="D12" i="61"/>
  <c r="D13" i="61"/>
  <c r="D14" i="61"/>
  <c r="D15" i="61"/>
  <c r="D16" i="61"/>
  <c r="D17" i="61"/>
  <c r="D18" i="61"/>
  <c r="D19" i="61"/>
  <c r="D20" i="61"/>
  <c r="D21" i="61"/>
  <c r="D22" i="61"/>
  <c r="D23" i="61"/>
  <c r="D7" i="61"/>
  <c r="H8" i="61"/>
  <c r="J8" i="61" s="1"/>
  <c r="K13" i="72" s="1"/>
  <c r="H9" i="61"/>
  <c r="H10" i="61"/>
  <c r="H11" i="61"/>
  <c r="H12" i="61"/>
  <c r="J12" i="61" s="1"/>
  <c r="H13" i="61"/>
  <c r="H14" i="61"/>
  <c r="H16" i="61"/>
  <c r="H17" i="61"/>
  <c r="H18" i="61"/>
  <c r="H19" i="61"/>
  <c r="H20" i="61"/>
  <c r="H21" i="61"/>
  <c r="H22" i="61"/>
  <c r="H23" i="61"/>
  <c r="I8" i="61"/>
  <c r="I9" i="61"/>
  <c r="I10" i="61"/>
  <c r="I11" i="61"/>
  <c r="I12" i="61"/>
  <c r="I13" i="61"/>
  <c r="I14" i="61"/>
  <c r="I16" i="61"/>
  <c r="I17" i="61"/>
  <c r="I18" i="61"/>
  <c r="I19" i="61"/>
  <c r="I20" i="61"/>
  <c r="I21" i="61"/>
  <c r="I22" i="61"/>
  <c r="I23" i="61"/>
  <c r="I7" i="61"/>
  <c r="J19" i="61"/>
  <c r="D41" i="63"/>
  <c r="I41" i="63"/>
  <c r="J41" i="63"/>
  <c r="D55" i="91"/>
  <c r="E55" i="91"/>
  <c r="H55" i="91"/>
  <c r="H43" i="62" s="1"/>
  <c r="I55" i="91"/>
  <c r="I43" i="62" s="1"/>
  <c r="D43" i="62"/>
  <c r="E43" i="62"/>
  <c r="F43" i="62"/>
  <c r="G43" i="62"/>
  <c r="D43" i="79"/>
  <c r="E43" i="79"/>
  <c r="F43" i="79"/>
  <c r="G43" i="79"/>
  <c r="J43" i="79"/>
  <c r="K43" i="79"/>
  <c r="D43" i="81"/>
  <c r="E43" i="81"/>
  <c r="F43" i="81"/>
  <c r="G43" i="81"/>
  <c r="D13" i="81"/>
  <c r="E13" i="81"/>
  <c r="F13" i="81"/>
  <c r="G13" i="81"/>
  <c r="D13" i="79"/>
  <c r="E13" i="79"/>
  <c r="F13" i="79"/>
  <c r="G13" i="79"/>
  <c r="J13" i="79"/>
  <c r="K13" i="79"/>
  <c r="G13" i="62"/>
  <c r="D13" i="62"/>
  <c r="E13" i="62"/>
  <c r="F13" i="62"/>
  <c r="D25" i="91"/>
  <c r="E25" i="91"/>
  <c r="H25" i="91"/>
  <c r="H13" i="62" s="1"/>
  <c r="I25" i="91"/>
  <c r="I13" i="62" s="1"/>
  <c r="Y43" i="72" l="1"/>
  <c r="K30" i="72"/>
  <c r="J22" i="61"/>
  <c r="L43" i="79"/>
  <c r="L13" i="79"/>
  <c r="F27" i="102"/>
  <c r="G21" i="102"/>
  <c r="K43" i="62"/>
  <c r="R43" i="72" s="1"/>
  <c r="J43" i="62"/>
  <c r="Q43" i="72" s="1"/>
  <c r="S43" i="72" s="1"/>
  <c r="T43" i="72" s="1"/>
  <c r="Z43" i="72" s="1"/>
  <c r="K13" i="62"/>
  <c r="R13" i="72" s="1"/>
  <c r="J13" i="62"/>
  <c r="Q13" i="72" s="1"/>
  <c r="S13" i="72" l="1"/>
  <c r="T13" i="72" s="1"/>
  <c r="K56" i="72"/>
  <c r="J25" i="61"/>
  <c r="L43" i="62"/>
  <c r="G27" i="102"/>
  <c r="I18" i="102" s="1"/>
  <c r="L13" i="62"/>
  <c r="AQ13" i="72"/>
  <c r="AW13" i="72" s="1"/>
  <c r="AR13" i="72"/>
  <c r="AP13" i="72"/>
  <c r="J58" i="72"/>
  <c r="H18" i="56"/>
  <c r="E32" i="100"/>
  <c r="E43" i="100" s="1"/>
  <c r="G19" i="100"/>
  <c r="J45" i="100"/>
  <c r="J46" i="100" s="1"/>
  <c r="Q27" i="100"/>
  <c r="F27" i="100"/>
  <c r="R22" i="100"/>
  <c r="R21" i="100"/>
  <c r="R20" i="100"/>
  <c r="R19" i="100"/>
  <c r="R27" i="100" s="1"/>
  <c r="F14" i="100"/>
  <c r="F15" i="100" s="1"/>
  <c r="G21" i="100" s="1"/>
  <c r="D14" i="100"/>
  <c r="D15" i="100" s="1"/>
  <c r="G10" i="100"/>
  <c r="E14" i="56"/>
  <c r="C32" i="98"/>
  <c r="E32" i="98"/>
  <c r="G20" i="98"/>
  <c r="Z13" i="72" l="1"/>
  <c r="Y13" i="72"/>
  <c r="AS43" i="72"/>
  <c r="C43" i="102"/>
  <c r="E43" i="102"/>
  <c r="G20" i="100"/>
  <c r="G27" i="100" s="1"/>
  <c r="G15" i="100"/>
  <c r="C32" i="100"/>
  <c r="C43" i="100" s="1"/>
  <c r="E44" i="100" s="1"/>
  <c r="G44" i="100" s="1"/>
  <c r="E24" i="99"/>
  <c r="E23" i="99"/>
  <c r="H20" i="99"/>
  <c r="H17" i="99"/>
  <c r="E17" i="99"/>
  <c r="H16" i="99"/>
  <c r="H15" i="99"/>
  <c r="E14" i="99"/>
  <c r="E13" i="99"/>
  <c r="E12" i="99"/>
  <c r="D9" i="99"/>
  <c r="G8" i="99"/>
  <c r="D8" i="99"/>
  <c r="G31" i="99" s="1"/>
  <c r="G7" i="99"/>
  <c r="J45" i="98"/>
  <c r="J46" i="98" s="1"/>
  <c r="Q27" i="98"/>
  <c r="F27" i="98"/>
  <c r="R22" i="98"/>
  <c r="R21" i="98"/>
  <c r="R20" i="98"/>
  <c r="R19" i="98"/>
  <c r="R27" i="98" s="1"/>
  <c r="F15" i="98"/>
  <c r="G21" i="98" s="1"/>
  <c r="F14" i="98"/>
  <c r="G15" i="98" s="1"/>
  <c r="D14" i="98"/>
  <c r="D15" i="98" s="1"/>
  <c r="G10" i="98"/>
  <c r="H52" i="91"/>
  <c r="I52" i="91"/>
  <c r="D26" i="81"/>
  <c r="E26" i="81"/>
  <c r="F26" i="81"/>
  <c r="G26" i="81"/>
  <c r="K41" i="63" l="1"/>
  <c r="AI43" i="72"/>
  <c r="K11" i="63"/>
  <c r="AS13" i="72"/>
  <c r="BA13" i="72" s="1"/>
  <c r="AI13" i="72"/>
  <c r="AJ13" i="72" s="1"/>
  <c r="AZ43" i="72"/>
  <c r="AX43" i="72"/>
  <c r="AT43" i="72"/>
  <c r="BA43" i="72"/>
  <c r="E44" i="102"/>
  <c r="G44" i="102" s="1"/>
  <c r="E43" i="98"/>
  <c r="G19" i="98"/>
  <c r="G27" i="98" s="1"/>
  <c r="AC9" i="72"/>
  <c r="AC10" i="72"/>
  <c r="AC11" i="72"/>
  <c r="AC15" i="72"/>
  <c r="AC19" i="72"/>
  <c r="AC20" i="72"/>
  <c r="AC21" i="72"/>
  <c r="AC23" i="72"/>
  <c r="AC24" i="72"/>
  <c r="AC26" i="72"/>
  <c r="AC27" i="72"/>
  <c r="AC28" i="72"/>
  <c r="AC29" i="72"/>
  <c r="AC30" i="72"/>
  <c r="AC31" i="72"/>
  <c r="AC33" i="72"/>
  <c r="AC35" i="72"/>
  <c r="AC36" i="72"/>
  <c r="AC38" i="72"/>
  <c r="AC39" i="72"/>
  <c r="AC40" i="72"/>
  <c r="AC41" i="72"/>
  <c r="AC42" i="72"/>
  <c r="AC44" i="72"/>
  <c r="AC46" i="72"/>
  <c r="AC47" i="72"/>
  <c r="AC49" i="72"/>
  <c r="AC52" i="72"/>
  <c r="AC53" i="72"/>
  <c r="AC54" i="72"/>
  <c r="AC55" i="72"/>
  <c r="AC56" i="72"/>
  <c r="AC57" i="72"/>
  <c r="AC8" i="72"/>
  <c r="AD58" i="72"/>
  <c r="X33" i="72"/>
  <c r="AO26" i="72"/>
  <c r="AP26" i="72"/>
  <c r="AQ26" i="72"/>
  <c r="AW26" i="72" s="1"/>
  <c r="AR26" i="72"/>
  <c r="AO25" i="72"/>
  <c r="E38" i="64"/>
  <c r="E36" i="64"/>
  <c r="E43" i="64"/>
  <c r="E39" i="64"/>
  <c r="E44" i="64"/>
  <c r="E37" i="64"/>
  <c r="E45" i="64"/>
  <c r="E40" i="64"/>
  <c r="E41" i="64"/>
  <c r="H13" i="99" l="1"/>
  <c r="H14" i="99"/>
  <c r="AJ43" i="72"/>
  <c r="AX13" i="72"/>
  <c r="AT13" i="72"/>
  <c r="AZ13" i="72"/>
  <c r="BB13" i="72" s="1"/>
  <c r="AY43" i="72"/>
  <c r="BB43" i="72"/>
  <c r="C43" i="98"/>
  <c r="AC51" i="72"/>
  <c r="AC50" i="72"/>
  <c r="AC48" i="72"/>
  <c r="AC37" i="72"/>
  <c r="AC34" i="72"/>
  <c r="AC32" i="72"/>
  <c r="AC25" i="72"/>
  <c r="AC22" i="72"/>
  <c r="AC17" i="72"/>
  <c r="E47" i="64"/>
  <c r="D24" i="63"/>
  <c r="I24" i="63"/>
  <c r="J24" i="63"/>
  <c r="D23" i="63"/>
  <c r="D38" i="91"/>
  <c r="E38" i="91"/>
  <c r="H38" i="91"/>
  <c r="H26" i="62" s="1"/>
  <c r="I38" i="91"/>
  <c r="I26" i="62" s="1"/>
  <c r="D26" i="62"/>
  <c r="E26" i="62"/>
  <c r="F26" i="62"/>
  <c r="G26" i="62"/>
  <c r="AY13" i="72" l="1"/>
  <c r="E44" i="98"/>
  <c r="G44" i="98" s="1"/>
  <c r="AC58" i="72"/>
  <c r="J26" i="62"/>
  <c r="Q26" i="72" s="1"/>
  <c r="S26" i="72" s="1"/>
  <c r="T26" i="72" s="1"/>
  <c r="K26" i="62"/>
  <c r="R26" i="72" s="1"/>
  <c r="D26" i="79"/>
  <c r="E26" i="79"/>
  <c r="F26" i="79"/>
  <c r="G26" i="79"/>
  <c r="J26" i="79"/>
  <c r="K26" i="79"/>
  <c r="D25" i="79"/>
  <c r="L36" i="72"/>
  <c r="J59" i="81"/>
  <c r="N58" i="72"/>
  <c r="Z26" i="72" l="1"/>
  <c r="Y26" i="72"/>
  <c r="L26" i="79"/>
  <c r="L26" i="62"/>
  <c r="AO17" i="72" l="1"/>
  <c r="AP17" i="72"/>
  <c r="AQ17" i="72"/>
  <c r="AW17" i="72" s="1"/>
  <c r="AR17" i="72"/>
  <c r="D10" i="79"/>
  <c r="E10" i="79"/>
  <c r="F10" i="79"/>
  <c r="G10" i="79"/>
  <c r="D11" i="79"/>
  <c r="E11" i="79"/>
  <c r="F11" i="79"/>
  <c r="G11" i="79"/>
  <c r="D15" i="79"/>
  <c r="E15" i="79"/>
  <c r="F15" i="79"/>
  <c r="G15" i="79"/>
  <c r="D19" i="79"/>
  <c r="E19" i="79"/>
  <c r="F19" i="79"/>
  <c r="G19" i="79"/>
  <c r="D16" i="81"/>
  <c r="F16" i="81"/>
  <c r="G16" i="81"/>
  <c r="E44" i="95"/>
  <c r="E44" i="85"/>
  <c r="AI26" i="72" l="1"/>
  <c r="AJ26" i="72" s="1"/>
  <c r="L24" i="72"/>
  <c r="E30" i="81" l="1"/>
  <c r="I28" i="63" l="1"/>
  <c r="J28" i="63"/>
  <c r="D28" i="63"/>
  <c r="D42" i="91"/>
  <c r="E42" i="91"/>
  <c r="H42" i="91"/>
  <c r="H30" i="62" s="1"/>
  <c r="I42" i="91"/>
  <c r="I30" i="62" s="1"/>
  <c r="D30" i="62"/>
  <c r="E30" i="62"/>
  <c r="F30" i="62"/>
  <c r="G30" i="62"/>
  <c r="D30" i="79"/>
  <c r="E30" i="79"/>
  <c r="F30" i="79"/>
  <c r="G30" i="79"/>
  <c r="J30" i="79"/>
  <c r="K30" i="79"/>
  <c r="D30" i="81"/>
  <c r="F30" i="81"/>
  <c r="G30" i="81"/>
  <c r="AS17" i="72" l="1"/>
  <c r="BA17" i="72" s="1"/>
  <c r="AI17" i="72"/>
  <c r="AJ17" i="72" s="1"/>
  <c r="L30" i="79"/>
  <c r="K30" i="62"/>
  <c r="R30" i="72" s="1"/>
  <c r="J30" i="62"/>
  <c r="Q30" i="72" s="1"/>
  <c r="S30" i="72" s="1"/>
  <c r="T30" i="72" s="1"/>
  <c r="Z30" i="72" l="1"/>
  <c r="Y30" i="72"/>
  <c r="AT17" i="72"/>
  <c r="AX17" i="72"/>
  <c r="AZ17" i="72"/>
  <c r="BB17" i="72" s="1"/>
  <c r="L30" i="62"/>
  <c r="AY17" i="72" l="1"/>
  <c r="AO30" i="72"/>
  <c r="AP30" i="72"/>
  <c r="AQ30" i="72"/>
  <c r="AW30" i="72" s="1"/>
  <c r="AR30" i="72"/>
  <c r="AI30" i="72" l="1"/>
  <c r="AJ30" i="72" s="1"/>
  <c r="C40" i="96" l="1"/>
  <c r="C43" i="96"/>
  <c r="J34" i="96"/>
  <c r="J33" i="96"/>
  <c r="E32" i="96"/>
  <c r="E43" i="96" s="1"/>
  <c r="C59" i="96"/>
  <c r="C62" i="96" s="1"/>
  <c r="E63" i="96" s="1"/>
  <c r="E51" i="96"/>
  <c r="E62" i="96" s="1"/>
  <c r="H33" i="96"/>
  <c r="H34" i="96" s="1"/>
  <c r="Q27" i="96"/>
  <c r="F27" i="96"/>
  <c r="R22" i="96"/>
  <c r="R21" i="96"/>
  <c r="R20" i="96"/>
  <c r="R19" i="96"/>
  <c r="R27" i="96" s="1"/>
  <c r="G19" i="96"/>
  <c r="F15" i="96"/>
  <c r="G20" i="96" s="1"/>
  <c r="F14" i="96"/>
  <c r="G22" i="96" s="1"/>
  <c r="D14" i="96"/>
  <c r="D15" i="96" s="1"/>
  <c r="H13" i="96"/>
  <c r="G10" i="96"/>
  <c r="H35" i="96" l="1"/>
  <c r="H38" i="96" s="1"/>
  <c r="H36" i="96"/>
  <c r="E44" i="96"/>
  <c r="G44" i="96" s="1"/>
  <c r="G21" i="96"/>
  <c r="G27" i="96" s="1"/>
  <c r="L58" i="72"/>
  <c r="I63" i="96" l="1"/>
  <c r="H17" i="95"/>
  <c r="L15" i="95"/>
  <c r="L16" i="95" s="1"/>
  <c r="L14" i="95"/>
  <c r="H9" i="95"/>
  <c r="E9" i="95"/>
  <c r="H8" i="95"/>
  <c r="E8" i="95"/>
  <c r="H7" i="95"/>
  <c r="L16" i="85"/>
  <c r="L15" i="85"/>
  <c r="L14" i="85"/>
  <c r="H9" i="85"/>
  <c r="H8" i="85"/>
  <c r="E9" i="85"/>
  <c r="H7" i="85"/>
  <c r="E8" i="85"/>
  <c r="L24" i="95" l="1"/>
  <c r="AO40" i="72" l="1"/>
  <c r="AP40" i="72"/>
  <c r="AO42" i="72"/>
  <c r="AP42" i="72"/>
  <c r="AO31" i="72"/>
  <c r="AP31" i="72"/>
  <c r="AO32" i="72"/>
  <c r="AP32" i="72"/>
  <c r="Q56" i="63"/>
  <c r="J7" i="63" l="1"/>
  <c r="J8" i="63"/>
  <c r="J18" i="63"/>
  <c r="J19" i="63"/>
  <c r="J20" i="63"/>
  <c r="J21" i="63"/>
  <c r="J22" i="63"/>
  <c r="J23" i="63"/>
  <c r="J25" i="63"/>
  <c r="J26" i="63"/>
  <c r="J27" i="63"/>
  <c r="J29" i="63"/>
  <c r="J30" i="63"/>
  <c r="J31" i="63"/>
  <c r="J32" i="63"/>
  <c r="J33" i="63"/>
  <c r="J34" i="63"/>
  <c r="J35" i="63"/>
  <c r="J36" i="63"/>
  <c r="J37" i="63"/>
  <c r="J39" i="63"/>
  <c r="J38" i="63"/>
  <c r="J40" i="63"/>
  <c r="J42" i="63"/>
  <c r="J44" i="63"/>
  <c r="J45" i="63"/>
  <c r="J46" i="63"/>
  <c r="J47" i="63"/>
  <c r="J48" i="63"/>
  <c r="J49" i="63"/>
  <c r="J50" i="63"/>
  <c r="J51" i="63"/>
  <c r="J52" i="63"/>
  <c r="J53" i="63"/>
  <c r="J54" i="63"/>
  <c r="J55" i="63"/>
  <c r="I7" i="63"/>
  <c r="I8" i="63"/>
  <c r="I18" i="63"/>
  <c r="I19" i="63"/>
  <c r="I20" i="63"/>
  <c r="I21" i="63"/>
  <c r="I22" i="63"/>
  <c r="I23" i="63"/>
  <c r="I25" i="63"/>
  <c r="I26" i="63"/>
  <c r="I27" i="63"/>
  <c r="I29" i="63"/>
  <c r="I30" i="63"/>
  <c r="I31" i="63"/>
  <c r="I32" i="63"/>
  <c r="I33" i="63"/>
  <c r="I34" i="63"/>
  <c r="I35" i="63"/>
  <c r="I36" i="63"/>
  <c r="I37" i="63"/>
  <c r="I39" i="63"/>
  <c r="I38" i="63"/>
  <c r="I40" i="63"/>
  <c r="I42" i="63"/>
  <c r="I44" i="63"/>
  <c r="I45" i="63"/>
  <c r="I46" i="63"/>
  <c r="I47" i="63"/>
  <c r="I48" i="63"/>
  <c r="I49" i="63"/>
  <c r="I50" i="63"/>
  <c r="I51" i="63"/>
  <c r="I52" i="63"/>
  <c r="I53" i="63"/>
  <c r="I54" i="63"/>
  <c r="I55" i="63"/>
  <c r="D38" i="63"/>
  <c r="D29" i="63"/>
  <c r="D55" i="63"/>
  <c r="J6" i="63"/>
  <c r="E21" i="91"/>
  <c r="E22" i="91"/>
  <c r="E23" i="91"/>
  <c r="E27" i="91"/>
  <c r="E31" i="91"/>
  <c r="E32" i="91"/>
  <c r="E33" i="91"/>
  <c r="E34" i="91"/>
  <c r="E35" i="91"/>
  <c r="E36" i="91"/>
  <c r="E37" i="91"/>
  <c r="E39" i="91"/>
  <c r="E40" i="91"/>
  <c r="E41" i="91"/>
  <c r="E43" i="91"/>
  <c r="E44" i="91"/>
  <c r="E45" i="91"/>
  <c r="E46" i="91"/>
  <c r="E47" i="91"/>
  <c r="E48" i="91"/>
  <c r="E49" i="91"/>
  <c r="E50" i="91"/>
  <c r="E51" i="91"/>
  <c r="E53" i="91"/>
  <c r="E52" i="91"/>
  <c r="E54" i="91"/>
  <c r="E56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20" i="91"/>
  <c r="D21" i="91"/>
  <c r="D22" i="91"/>
  <c r="D23" i="91"/>
  <c r="D27" i="91"/>
  <c r="D31" i="91"/>
  <c r="D32" i="91"/>
  <c r="D33" i="91"/>
  <c r="D34" i="91"/>
  <c r="D35" i="91"/>
  <c r="D36" i="91"/>
  <c r="D37" i="91"/>
  <c r="D39" i="91"/>
  <c r="D40" i="91"/>
  <c r="D41" i="91"/>
  <c r="D43" i="91"/>
  <c r="D44" i="91"/>
  <c r="D45" i="91"/>
  <c r="D46" i="91"/>
  <c r="D47" i="91"/>
  <c r="D48" i="91"/>
  <c r="D49" i="91"/>
  <c r="D50" i="91"/>
  <c r="D51" i="91"/>
  <c r="D53" i="91"/>
  <c r="D52" i="91"/>
  <c r="D54" i="91"/>
  <c r="D56" i="91"/>
  <c r="D58" i="91"/>
  <c r="D59" i="91"/>
  <c r="D60" i="91"/>
  <c r="D61" i="91"/>
  <c r="D62" i="91"/>
  <c r="D63" i="91"/>
  <c r="D64" i="91"/>
  <c r="D65" i="91"/>
  <c r="D66" i="91"/>
  <c r="D67" i="91"/>
  <c r="D68" i="91"/>
  <c r="D69" i="91"/>
  <c r="D20" i="91"/>
  <c r="E9" i="81"/>
  <c r="F9" i="81"/>
  <c r="G9" i="81"/>
  <c r="E10" i="81"/>
  <c r="F10" i="81"/>
  <c r="G10" i="81"/>
  <c r="E11" i="81"/>
  <c r="F11" i="81"/>
  <c r="G11" i="81"/>
  <c r="E15" i="81"/>
  <c r="F15" i="81"/>
  <c r="G15" i="81"/>
  <c r="E19" i="81"/>
  <c r="F19" i="81"/>
  <c r="G19" i="81"/>
  <c r="E20" i="81"/>
  <c r="F20" i="81"/>
  <c r="G20" i="81"/>
  <c r="E21" i="81"/>
  <c r="F21" i="81"/>
  <c r="G21" i="81"/>
  <c r="E22" i="81"/>
  <c r="F22" i="81"/>
  <c r="G22" i="81"/>
  <c r="E23" i="81"/>
  <c r="F23" i="81"/>
  <c r="G23" i="81"/>
  <c r="E24" i="81"/>
  <c r="F24" i="81"/>
  <c r="G24" i="81"/>
  <c r="E25" i="81"/>
  <c r="F25" i="81"/>
  <c r="G25" i="81"/>
  <c r="E27" i="81"/>
  <c r="F27" i="81"/>
  <c r="G27" i="81"/>
  <c r="E28" i="81"/>
  <c r="F28" i="81"/>
  <c r="G28" i="81"/>
  <c r="E29" i="81"/>
  <c r="F29" i="81"/>
  <c r="G29" i="81"/>
  <c r="E31" i="81"/>
  <c r="F31" i="81"/>
  <c r="G31" i="81"/>
  <c r="E32" i="81"/>
  <c r="F32" i="81"/>
  <c r="G32" i="81"/>
  <c r="E33" i="81"/>
  <c r="F33" i="81"/>
  <c r="G33" i="81"/>
  <c r="E34" i="81"/>
  <c r="F34" i="81"/>
  <c r="G34" i="81"/>
  <c r="E35" i="81"/>
  <c r="F35" i="81"/>
  <c r="G35" i="81"/>
  <c r="E36" i="81"/>
  <c r="F36" i="81"/>
  <c r="G36" i="81"/>
  <c r="E37" i="81"/>
  <c r="F37" i="81"/>
  <c r="G37" i="81"/>
  <c r="E38" i="81"/>
  <c r="F38" i="81"/>
  <c r="G38" i="81"/>
  <c r="E39" i="81"/>
  <c r="F39" i="81"/>
  <c r="G39" i="81"/>
  <c r="E41" i="81"/>
  <c r="F41" i="81"/>
  <c r="G41" i="81"/>
  <c r="E40" i="81"/>
  <c r="F40" i="81"/>
  <c r="G40" i="81"/>
  <c r="E42" i="81"/>
  <c r="F42" i="81"/>
  <c r="G42" i="81"/>
  <c r="E44" i="81"/>
  <c r="F44" i="81"/>
  <c r="G44" i="81"/>
  <c r="E46" i="81"/>
  <c r="F46" i="81"/>
  <c r="G46" i="81"/>
  <c r="E47" i="81"/>
  <c r="F47" i="81"/>
  <c r="G47" i="81"/>
  <c r="E48" i="81"/>
  <c r="F48" i="81"/>
  <c r="G48" i="81"/>
  <c r="E49" i="81"/>
  <c r="F49" i="81"/>
  <c r="G49" i="81"/>
  <c r="E50" i="81"/>
  <c r="F50" i="81"/>
  <c r="G50" i="81"/>
  <c r="E51" i="81"/>
  <c r="F51" i="81"/>
  <c r="G51" i="81"/>
  <c r="E52" i="81"/>
  <c r="F52" i="81"/>
  <c r="G52" i="81"/>
  <c r="E53" i="81"/>
  <c r="F53" i="81"/>
  <c r="G53" i="81"/>
  <c r="E54" i="81"/>
  <c r="F54" i="81"/>
  <c r="G54" i="81"/>
  <c r="E55" i="81"/>
  <c r="F55" i="81"/>
  <c r="G55" i="81"/>
  <c r="E56" i="81"/>
  <c r="F56" i="81"/>
  <c r="G56" i="81"/>
  <c r="E57" i="81"/>
  <c r="F57" i="81"/>
  <c r="G57" i="81"/>
  <c r="G8" i="81"/>
  <c r="F8" i="81"/>
  <c r="E8" i="81"/>
  <c r="D31" i="81"/>
  <c r="D32" i="81"/>
  <c r="D33" i="81"/>
  <c r="D34" i="81"/>
  <c r="D35" i="81"/>
  <c r="D36" i="81"/>
  <c r="D37" i="81"/>
  <c r="D38" i="81"/>
  <c r="D39" i="81"/>
  <c r="D41" i="81"/>
  <c r="D40" i="81"/>
  <c r="D42" i="81"/>
  <c r="D44" i="81"/>
  <c r="D46" i="81"/>
  <c r="D47" i="81"/>
  <c r="D48" i="81"/>
  <c r="D49" i="81"/>
  <c r="D50" i="81"/>
  <c r="D51" i="81"/>
  <c r="D52" i="81"/>
  <c r="D53" i="81"/>
  <c r="D54" i="81"/>
  <c r="D55" i="81"/>
  <c r="D56" i="81"/>
  <c r="D57" i="81"/>
  <c r="D9" i="81"/>
  <c r="D10" i="81"/>
  <c r="D11" i="81"/>
  <c r="D15" i="81"/>
  <c r="D19" i="81"/>
  <c r="D20" i="81"/>
  <c r="D21" i="81"/>
  <c r="D22" i="81"/>
  <c r="D23" i="81"/>
  <c r="D24" i="81"/>
  <c r="D25" i="81"/>
  <c r="D27" i="81"/>
  <c r="D28" i="81"/>
  <c r="D29" i="81"/>
  <c r="D8" i="81"/>
  <c r="G9" i="79"/>
  <c r="G20" i="79"/>
  <c r="G21" i="79"/>
  <c r="G22" i="79"/>
  <c r="G23" i="79"/>
  <c r="G24" i="79"/>
  <c r="G25" i="79"/>
  <c r="G27" i="79"/>
  <c r="G28" i="79"/>
  <c r="G29" i="79"/>
  <c r="G31" i="79"/>
  <c r="G32" i="79"/>
  <c r="G33" i="79"/>
  <c r="G34" i="79"/>
  <c r="G35" i="79"/>
  <c r="G36" i="79"/>
  <c r="G37" i="79"/>
  <c r="G38" i="79"/>
  <c r="G39" i="79"/>
  <c r="G41" i="79"/>
  <c r="G40" i="79"/>
  <c r="G42" i="79"/>
  <c r="G44" i="79"/>
  <c r="G46" i="79"/>
  <c r="G47" i="79"/>
  <c r="G48" i="79"/>
  <c r="G49" i="79"/>
  <c r="G50" i="79"/>
  <c r="G51" i="79"/>
  <c r="G52" i="79"/>
  <c r="G53" i="79"/>
  <c r="G54" i="79"/>
  <c r="G55" i="79"/>
  <c r="G56" i="79"/>
  <c r="G57" i="79"/>
  <c r="G8" i="79"/>
  <c r="F9" i="79"/>
  <c r="F20" i="79"/>
  <c r="F21" i="79"/>
  <c r="F22" i="79"/>
  <c r="F23" i="79"/>
  <c r="F24" i="79"/>
  <c r="F25" i="79"/>
  <c r="F27" i="79"/>
  <c r="F28" i="79"/>
  <c r="F29" i="79"/>
  <c r="F31" i="79"/>
  <c r="F32" i="79"/>
  <c r="F33" i="79"/>
  <c r="F34" i="79"/>
  <c r="F35" i="79"/>
  <c r="F36" i="79"/>
  <c r="F37" i="79"/>
  <c r="F38" i="79"/>
  <c r="F39" i="79"/>
  <c r="F41" i="79"/>
  <c r="F40" i="79"/>
  <c r="F42" i="79"/>
  <c r="F44" i="79"/>
  <c r="F46" i="79"/>
  <c r="F47" i="79"/>
  <c r="F48" i="79"/>
  <c r="F49" i="79"/>
  <c r="F50" i="79"/>
  <c r="F51" i="79"/>
  <c r="F52" i="79"/>
  <c r="F53" i="79"/>
  <c r="F54" i="79"/>
  <c r="F55" i="79"/>
  <c r="F56" i="79"/>
  <c r="F57" i="79"/>
  <c r="F8" i="79"/>
  <c r="E9" i="79"/>
  <c r="E20" i="79"/>
  <c r="E21" i="79"/>
  <c r="E22" i="79"/>
  <c r="E23" i="79"/>
  <c r="E24" i="79"/>
  <c r="E25" i="79"/>
  <c r="E27" i="79"/>
  <c r="E28" i="79"/>
  <c r="E29" i="79"/>
  <c r="E31" i="79"/>
  <c r="E32" i="79"/>
  <c r="E33" i="79"/>
  <c r="E34" i="79"/>
  <c r="E35" i="79"/>
  <c r="E36" i="79"/>
  <c r="E37" i="79"/>
  <c r="E38" i="79"/>
  <c r="E39" i="79"/>
  <c r="E41" i="79"/>
  <c r="E40" i="79"/>
  <c r="E42" i="79"/>
  <c r="E44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8" i="79"/>
  <c r="D9" i="79"/>
  <c r="D20" i="79"/>
  <c r="D21" i="79"/>
  <c r="D22" i="79"/>
  <c r="D23" i="79"/>
  <c r="D24" i="79"/>
  <c r="D27" i="79"/>
  <c r="D28" i="79"/>
  <c r="D29" i="79"/>
  <c r="D31" i="79"/>
  <c r="D32" i="79"/>
  <c r="D33" i="79"/>
  <c r="D34" i="79"/>
  <c r="D35" i="79"/>
  <c r="D36" i="79"/>
  <c r="D37" i="79"/>
  <c r="D38" i="79"/>
  <c r="D39" i="79"/>
  <c r="D41" i="79"/>
  <c r="D40" i="79"/>
  <c r="D42" i="79"/>
  <c r="D44" i="79"/>
  <c r="D46" i="79"/>
  <c r="D47" i="79"/>
  <c r="D48" i="79"/>
  <c r="D49" i="79"/>
  <c r="D50" i="79"/>
  <c r="D51" i="79"/>
  <c r="D52" i="79"/>
  <c r="D53" i="79"/>
  <c r="D54" i="79"/>
  <c r="D55" i="79"/>
  <c r="D56" i="79"/>
  <c r="D57" i="79"/>
  <c r="D8" i="79"/>
  <c r="AQ31" i="72"/>
  <c r="AW31" i="72" s="1"/>
  <c r="J33" i="79"/>
  <c r="K33" i="79"/>
  <c r="AQ40" i="72"/>
  <c r="AW40" i="72" s="1"/>
  <c r="J44" i="79"/>
  <c r="K44" i="79"/>
  <c r="AR31" i="72"/>
  <c r="AR40" i="72"/>
  <c r="S82" i="72"/>
  <c r="S81" i="72"/>
  <c r="L44" i="79" l="1"/>
  <c r="L33" i="79"/>
  <c r="G59" i="81"/>
  <c r="H36" i="93"/>
  <c r="H33" i="93"/>
  <c r="H35" i="93" s="1"/>
  <c r="E32" i="93"/>
  <c r="C40" i="93"/>
  <c r="C59" i="93"/>
  <c r="E51" i="93"/>
  <c r="C62" i="93"/>
  <c r="E62" i="93"/>
  <c r="H34" i="93" l="1"/>
  <c r="H38" i="93" s="1"/>
  <c r="E63" i="93"/>
  <c r="E24" i="56" l="1"/>
  <c r="X58" i="72"/>
  <c r="H17" i="56"/>
  <c r="H16" i="56"/>
  <c r="H14" i="56"/>
  <c r="G9" i="62" l="1"/>
  <c r="G10" i="62"/>
  <c r="G11" i="62"/>
  <c r="G19" i="62"/>
  <c r="G20" i="62"/>
  <c r="G21" i="62"/>
  <c r="G22" i="62"/>
  <c r="G23" i="62"/>
  <c r="G24" i="62"/>
  <c r="G25" i="62"/>
  <c r="G27" i="62"/>
  <c r="G28" i="62"/>
  <c r="G29" i="62"/>
  <c r="G31" i="62"/>
  <c r="G32" i="62"/>
  <c r="G33" i="62"/>
  <c r="G34" i="62"/>
  <c r="G35" i="62"/>
  <c r="G36" i="62"/>
  <c r="G37" i="62"/>
  <c r="G38" i="62"/>
  <c r="G39" i="62"/>
  <c r="G41" i="62"/>
  <c r="G40" i="62"/>
  <c r="G42" i="62"/>
  <c r="G44" i="62"/>
  <c r="G46" i="62"/>
  <c r="G47" i="62"/>
  <c r="G48" i="62"/>
  <c r="G49" i="62"/>
  <c r="G50" i="62"/>
  <c r="G51" i="62"/>
  <c r="G52" i="62"/>
  <c r="G53" i="62"/>
  <c r="G54" i="62"/>
  <c r="G55" i="62"/>
  <c r="G56" i="62"/>
  <c r="G57" i="62"/>
  <c r="G8" i="62"/>
  <c r="F9" i="62"/>
  <c r="F10" i="62"/>
  <c r="F11" i="62"/>
  <c r="F19" i="62"/>
  <c r="F20" i="62"/>
  <c r="F21" i="62"/>
  <c r="F22" i="62"/>
  <c r="F23" i="62"/>
  <c r="F24" i="62"/>
  <c r="F25" i="62"/>
  <c r="F27" i="62"/>
  <c r="F28" i="62"/>
  <c r="F29" i="62"/>
  <c r="F31" i="62"/>
  <c r="F32" i="62"/>
  <c r="F33" i="62"/>
  <c r="F34" i="62"/>
  <c r="F35" i="62"/>
  <c r="F36" i="62"/>
  <c r="F37" i="62"/>
  <c r="F38" i="62"/>
  <c r="F39" i="62"/>
  <c r="F41" i="62"/>
  <c r="F40" i="62"/>
  <c r="F42" i="62"/>
  <c r="F44" i="62"/>
  <c r="F46" i="62"/>
  <c r="F47" i="62"/>
  <c r="F48" i="62"/>
  <c r="F49" i="62"/>
  <c r="F50" i="62"/>
  <c r="F51" i="62"/>
  <c r="F52" i="62"/>
  <c r="F53" i="62"/>
  <c r="F54" i="62"/>
  <c r="F55" i="62"/>
  <c r="F56" i="62"/>
  <c r="F57" i="62"/>
  <c r="F8" i="62"/>
  <c r="E9" i="62"/>
  <c r="E10" i="62"/>
  <c r="E11" i="62"/>
  <c r="E19" i="62"/>
  <c r="E20" i="62"/>
  <c r="E21" i="62"/>
  <c r="E22" i="62"/>
  <c r="E23" i="62"/>
  <c r="E24" i="62"/>
  <c r="E25" i="62"/>
  <c r="E27" i="62"/>
  <c r="E28" i="62"/>
  <c r="E29" i="62"/>
  <c r="E31" i="62"/>
  <c r="E32" i="62"/>
  <c r="E33" i="62"/>
  <c r="E34" i="62"/>
  <c r="E35" i="62"/>
  <c r="E36" i="62"/>
  <c r="E37" i="62"/>
  <c r="E38" i="62"/>
  <c r="E39" i="62"/>
  <c r="E41" i="62"/>
  <c r="E40" i="62"/>
  <c r="E42" i="62"/>
  <c r="E44" i="62"/>
  <c r="E46" i="62"/>
  <c r="E47" i="62"/>
  <c r="E48" i="62"/>
  <c r="E49" i="62"/>
  <c r="E50" i="62"/>
  <c r="E51" i="62"/>
  <c r="E52" i="62"/>
  <c r="E53" i="62"/>
  <c r="E54" i="62"/>
  <c r="E55" i="62"/>
  <c r="E56" i="62"/>
  <c r="E57" i="62"/>
  <c r="E8" i="62"/>
  <c r="D9" i="62"/>
  <c r="D10" i="62"/>
  <c r="D11" i="62"/>
  <c r="D19" i="62"/>
  <c r="D20" i="62"/>
  <c r="D21" i="62"/>
  <c r="D22" i="62"/>
  <c r="D23" i="62"/>
  <c r="D24" i="62"/>
  <c r="D25" i="62"/>
  <c r="D27" i="62"/>
  <c r="D28" i="62"/>
  <c r="D29" i="62"/>
  <c r="D31" i="62"/>
  <c r="D32" i="62"/>
  <c r="D33" i="62"/>
  <c r="D34" i="62"/>
  <c r="D35" i="62"/>
  <c r="D36" i="62"/>
  <c r="D37" i="62"/>
  <c r="D38" i="62"/>
  <c r="D39" i="62"/>
  <c r="D41" i="62"/>
  <c r="D40" i="62"/>
  <c r="D42" i="62"/>
  <c r="D44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8" i="62"/>
  <c r="C9" i="67"/>
  <c r="D9" i="67" s="1"/>
  <c r="C10" i="67"/>
  <c r="D10" i="67" s="1"/>
  <c r="C11" i="67"/>
  <c r="D11" i="67" s="1"/>
  <c r="C12" i="67"/>
  <c r="D12" i="67" s="1"/>
  <c r="C13" i="67"/>
  <c r="D13" i="67" s="1"/>
  <c r="C14" i="67"/>
  <c r="D14" i="67" s="1"/>
  <c r="C15" i="67"/>
  <c r="D15" i="67" s="1"/>
  <c r="C16" i="67"/>
  <c r="D16" i="67" s="1"/>
  <c r="C17" i="67"/>
  <c r="D17" i="67" s="1"/>
  <c r="C18" i="67"/>
  <c r="D18" i="67" s="1"/>
  <c r="C19" i="67"/>
  <c r="D19" i="67" s="1"/>
  <c r="C20" i="67"/>
  <c r="D20" i="67" s="1"/>
  <c r="C21" i="67"/>
  <c r="D21" i="67" s="1"/>
  <c r="C22" i="67"/>
  <c r="D22" i="67" s="1"/>
  <c r="C23" i="67"/>
  <c r="D23" i="67" s="1"/>
  <c r="C24" i="67"/>
  <c r="D24" i="67" s="1"/>
  <c r="C25" i="67"/>
  <c r="D25" i="67" s="1"/>
  <c r="C26" i="67"/>
  <c r="D26" i="67" s="1"/>
  <c r="C27" i="67"/>
  <c r="D27" i="67" s="1"/>
  <c r="C28" i="67"/>
  <c r="D28" i="67" s="1"/>
  <c r="C29" i="67"/>
  <c r="D29" i="67" s="1"/>
  <c r="C30" i="67"/>
  <c r="D30" i="67" s="1"/>
  <c r="C31" i="67"/>
  <c r="D31" i="67" s="1"/>
  <c r="C32" i="67"/>
  <c r="D32" i="67" s="1"/>
  <c r="C33" i="67"/>
  <c r="D33" i="67" s="1"/>
  <c r="C34" i="67"/>
  <c r="D34" i="67" s="1"/>
  <c r="C35" i="67"/>
  <c r="D35" i="67" s="1"/>
  <c r="C36" i="67"/>
  <c r="D36" i="67" s="1"/>
  <c r="C37" i="67"/>
  <c r="D37" i="67" s="1"/>
  <c r="C38" i="67"/>
  <c r="D38" i="67" s="1"/>
  <c r="C39" i="67"/>
  <c r="D39" i="67" s="1"/>
  <c r="C40" i="67"/>
  <c r="D40" i="67" s="1"/>
  <c r="C41" i="67"/>
  <c r="D41" i="67" s="1"/>
  <c r="C42" i="67"/>
  <c r="D42" i="67" s="1"/>
  <c r="C43" i="67"/>
  <c r="D43" i="67" s="1"/>
  <c r="C44" i="67"/>
  <c r="D44" i="67" s="1"/>
  <c r="C45" i="67"/>
  <c r="D45" i="67" s="1"/>
  <c r="C46" i="67"/>
  <c r="D46" i="67" s="1"/>
  <c r="C47" i="67"/>
  <c r="D47" i="67" s="1"/>
  <c r="C48" i="67"/>
  <c r="D48" i="67" s="1"/>
  <c r="C49" i="67"/>
  <c r="D49" i="67" s="1"/>
  <c r="C50" i="67"/>
  <c r="D50" i="67" s="1"/>
  <c r="C51" i="67"/>
  <c r="D51" i="67" s="1"/>
  <c r="C52" i="67"/>
  <c r="D52" i="67" s="1"/>
  <c r="C8" i="67"/>
  <c r="D8" i="67" s="1"/>
  <c r="AF58" i="72"/>
  <c r="AA58" i="72"/>
  <c r="M105" i="72" s="1"/>
  <c r="V58" i="72"/>
  <c r="Q27" i="93" l="1"/>
  <c r="F27" i="93"/>
  <c r="R22" i="93"/>
  <c r="R21" i="93"/>
  <c r="R20" i="93"/>
  <c r="R19" i="93"/>
  <c r="R27" i="93" s="1"/>
  <c r="F14" i="93"/>
  <c r="D14" i="93"/>
  <c r="D15" i="93" s="1"/>
  <c r="H13" i="93"/>
  <c r="G10" i="93"/>
  <c r="E43" i="93" l="1"/>
  <c r="G22" i="93"/>
  <c r="F15" i="93"/>
  <c r="G19" i="93"/>
  <c r="G21" i="93" l="1"/>
  <c r="G20" i="93"/>
  <c r="G27" i="93" l="1"/>
  <c r="C43" i="93" s="1"/>
  <c r="E44" i="93" s="1"/>
  <c r="I63" i="93" l="1"/>
  <c r="G44" i="93"/>
  <c r="AO23" i="72" l="1"/>
  <c r="AV58" i="72"/>
  <c r="AP19" i="72" l="1"/>
  <c r="AV76" i="72"/>
  <c r="E17" i="56" l="1"/>
  <c r="G7" i="56" l="1"/>
  <c r="AU3" i="72"/>
  <c r="I6" i="63"/>
  <c r="D7" i="63"/>
  <c r="D8" i="63"/>
  <c r="D9" i="63"/>
  <c r="D13" i="63"/>
  <c r="D18" i="63"/>
  <c r="D19" i="63"/>
  <c r="D20" i="63"/>
  <c r="D21" i="63"/>
  <c r="D22" i="63"/>
  <c r="D25" i="63"/>
  <c r="D26" i="63"/>
  <c r="D27" i="63"/>
  <c r="D30" i="63"/>
  <c r="D31" i="63"/>
  <c r="D32" i="63"/>
  <c r="D33" i="63"/>
  <c r="D34" i="63"/>
  <c r="D35" i="63"/>
  <c r="D36" i="63"/>
  <c r="D37" i="63"/>
  <c r="D39" i="63"/>
  <c r="D40" i="63"/>
  <c r="D42" i="63"/>
  <c r="D44" i="63"/>
  <c r="D45" i="63"/>
  <c r="D46" i="63"/>
  <c r="D47" i="63"/>
  <c r="D48" i="63"/>
  <c r="D49" i="63"/>
  <c r="D50" i="63"/>
  <c r="D51" i="63"/>
  <c r="D52" i="63"/>
  <c r="D53" i="63"/>
  <c r="D54" i="63"/>
  <c r="D6" i="63"/>
  <c r="G23" i="89" l="1"/>
  <c r="G25" i="89" s="1"/>
  <c r="I23" i="89"/>
  <c r="I24" i="89" s="1"/>
  <c r="O23" i="89"/>
  <c r="O25" i="89" s="1"/>
  <c r="O19" i="89"/>
  <c r="V9" i="89"/>
  <c r="R22" i="89"/>
  <c r="R25" i="89" s="1"/>
  <c r="M22" i="89"/>
  <c r="M23" i="89" s="1"/>
  <c r="Q27" i="77"/>
  <c r="R22" i="77"/>
  <c r="R21" i="77"/>
  <c r="R20" i="77"/>
  <c r="R19" i="77"/>
  <c r="F27" i="77"/>
  <c r="R27" i="77" l="1"/>
  <c r="AO10" i="72" l="1"/>
  <c r="AO15" i="72"/>
  <c r="AO19" i="72"/>
  <c r="AO20" i="72"/>
  <c r="AO21" i="72"/>
  <c r="AO22" i="72"/>
  <c r="AO24" i="72"/>
  <c r="AO27" i="72"/>
  <c r="AO28" i="72"/>
  <c r="AO29" i="72"/>
  <c r="AO33" i="72"/>
  <c r="AO34" i="72"/>
  <c r="AO35" i="72"/>
  <c r="AO36" i="72"/>
  <c r="AO37" i="72"/>
  <c r="AO38" i="72"/>
  <c r="AO39" i="72"/>
  <c r="AO41" i="72"/>
  <c r="AO44" i="72"/>
  <c r="AO46" i="72"/>
  <c r="AO47" i="72"/>
  <c r="AO48" i="72"/>
  <c r="AO49" i="72"/>
  <c r="AO50" i="72"/>
  <c r="AO51" i="72"/>
  <c r="AO52" i="72"/>
  <c r="AO53" i="72"/>
  <c r="AO54" i="72"/>
  <c r="AO55" i="72"/>
  <c r="AO56" i="72"/>
  <c r="AO57" i="72"/>
  <c r="AO9" i="72"/>
  <c r="H37" i="91" l="1"/>
  <c r="I37" i="91"/>
  <c r="H39" i="91"/>
  <c r="I39" i="91"/>
  <c r="J25" i="79"/>
  <c r="K25" i="79"/>
  <c r="E7" i="82"/>
  <c r="L25" i="79" l="1"/>
  <c r="AQ41" i="72"/>
  <c r="Z87" i="72" l="1"/>
  <c r="M94" i="72"/>
  <c r="K94" i="72"/>
  <c r="X83" i="72"/>
  <c r="X87" i="72" s="1"/>
  <c r="M87" i="72"/>
  <c r="K87" i="72"/>
  <c r="R85" i="72"/>
  <c r="Q85" i="72"/>
  <c r="Y83" i="72"/>
  <c r="Y87" i="72" s="1"/>
  <c r="AV81" i="72"/>
  <c r="AV80" i="72"/>
  <c r="AV79" i="72"/>
  <c r="AV78" i="72"/>
  <c r="R86" i="72" l="1"/>
  <c r="M88" i="72"/>
  <c r="E43" i="77"/>
  <c r="G10" i="77"/>
  <c r="I53" i="91"/>
  <c r="I33" i="91"/>
  <c r="I27" i="91"/>
  <c r="I15" i="62" s="1"/>
  <c r="K15" i="62" s="1"/>
  <c r="R15" i="72" s="1"/>
  <c r="H32" i="91"/>
  <c r="K14" i="89"/>
  <c r="L14" i="89"/>
  <c r="M14" i="89"/>
  <c r="N14" i="89"/>
  <c r="O14" i="89"/>
  <c r="P14" i="89"/>
  <c r="Q14" i="89"/>
  <c r="R14" i="89"/>
  <c r="S14" i="89"/>
  <c r="T14" i="89"/>
  <c r="U14" i="89"/>
  <c r="H47" i="91"/>
  <c r="I47" i="91"/>
  <c r="J36" i="79"/>
  <c r="K36" i="79"/>
  <c r="L36" i="79" l="1"/>
  <c r="H20" i="91" l="1"/>
  <c r="H8" i="62" s="1"/>
  <c r="I8" i="62"/>
  <c r="H21" i="91"/>
  <c r="I21" i="91"/>
  <c r="I9" i="62" s="1"/>
  <c r="H22" i="91"/>
  <c r="I22" i="91"/>
  <c r="H23" i="91"/>
  <c r="I23" i="91"/>
  <c r="H27" i="91"/>
  <c r="H15" i="62" s="1"/>
  <c r="J15" i="62" s="1"/>
  <c r="Q15" i="72" s="1"/>
  <c r="S15" i="72" s="1"/>
  <c r="T15" i="72" s="1"/>
  <c r="H31" i="91"/>
  <c r="I31" i="91"/>
  <c r="I19" i="62" s="1"/>
  <c r="I32" i="91"/>
  <c r="H33" i="91"/>
  <c r="H34" i="91"/>
  <c r="I34" i="91"/>
  <c r="H35" i="91"/>
  <c r="I35" i="91"/>
  <c r="H36" i="91"/>
  <c r="I36" i="91"/>
  <c r="H40" i="91"/>
  <c r="I40" i="91"/>
  <c r="I28" i="62" s="1"/>
  <c r="H41" i="91"/>
  <c r="I41" i="91"/>
  <c r="H43" i="91"/>
  <c r="I43" i="91"/>
  <c r="H44" i="91"/>
  <c r="I44" i="91"/>
  <c r="H45" i="91"/>
  <c r="I45" i="91"/>
  <c r="H46" i="91"/>
  <c r="I46" i="91"/>
  <c r="H48" i="91"/>
  <c r="I48" i="91"/>
  <c r="H49" i="91"/>
  <c r="I49" i="91"/>
  <c r="H50" i="91"/>
  <c r="I50" i="91"/>
  <c r="H51" i="91"/>
  <c r="I51" i="91"/>
  <c r="H53" i="91"/>
  <c r="H54" i="91"/>
  <c r="I54" i="91"/>
  <c r="H56" i="91"/>
  <c r="I56" i="91"/>
  <c r="H58" i="91"/>
  <c r="I58" i="91"/>
  <c r="H59" i="91"/>
  <c r="I59" i="91"/>
  <c r="H60" i="91"/>
  <c r="I60" i="91"/>
  <c r="H61" i="91"/>
  <c r="I61" i="91"/>
  <c r="H62" i="91"/>
  <c r="I62" i="91"/>
  <c r="H63" i="91"/>
  <c r="I63" i="91"/>
  <c r="H64" i="91"/>
  <c r="I64" i="91"/>
  <c r="H65" i="91"/>
  <c r="I65" i="91"/>
  <c r="H66" i="91"/>
  <c r="I66" i="91"/>
  <c r="H67" i="91"/>
  <c r="I67" i="91"/>
  <c r="H68" i="91"/>
  <c r="I68" i="91"/>
  <c r="H69" i="91"/>
  <c r="I69" i="91"/>
  <c r="K13" i="63" l="1"/>
  <c r="M13" i="63" s="1"/>
  <c r="Z15" i="72"/>
  <c r="L15" i="62"/>
  <c r="I70" i="91"/>
  <c r="I32" i="62"/>
  <c r="K32" i="62" s="1"/>
  <c r="R32" i="72" s="1"/>
  <c r="H70" i="91"/>
  <c r="H9" i="62"/>
  <c r="I36" i="62"/>
  <c r="H35" i="62"/>
  <c r="J35" i="62" s="1"/>
  <c r="Q35" i="72" s="1"/>
  <c r="I35" i="62"/>
  <c r="K35" i="62" s="1"/>
  <c r="R35" i="72" s="1"/>
  <c r="H36" i="62"/>
  <c r="I23" i="62"/>
  <c r="I49" i="62"/>
  <c r="H23" i="62"/>
  <c r="H19" i="62"/>
  <c r="H49" i="62"/>
  <c r="H32" i="62"/>
  <c r="I51" i="62"/>
  <c r="I44" i="62"/>
  <c r="H44" i="62"/>
  <c r="H28" i="62"/>
  <c r="H51" i="62"/>
  <c r="I34" i="62"/>
  <c r="I47" i="62"/>
  <c r="I40" i="62"/>
  <c r="I56" i="62"/>
  <c r="I53" i="62"/>
  <c r="H56" i="62"/>
  <c r="I38" i="62"/>
  <c r="H53" i="62"/>
  <c r="H47" i="62"/>
  <c r="H40" i="62"/>
  <c r="H34" i="62"/>
  <c r="H38" i="62"/>
  <c r="I25" i="62"/>
  <c r="I21" i="62"/>
  <c r="I11" i="62"/>
  <c r="H21" i="62"/>
  <c r="H25" i="62"/>
  <c r="H11" i="62"/>
  <c r="I52" i="62"/>
  <c r="I50" i="62"/>
  <c r="I46" i="62"/>
  <c r="I41" i="62"/>
  <c r="I37" i="62"/>
  <c r="I33" i="62"/>
  <c r="I29" i="62"/>
  <c r="I24" i="62"/>
  <c r="I20" i="62"/>
  <c r="I10" i="62"/>
  <c r="I55" i="62"/>
  <c r="H55" i="62"/>
  <c r="H52" i="62"/>
  <c r="H50" i="62"/>
  <c r="H46" i="62"/>
  <c r="H41" i="62"/>
  <c r="H37" i="62"/>
  <c r="H33" i="62"/>
  <c r="H29" i="62"/>
  <c r="H24" i="62"/>
  <c r="H20" i="62"/>
  <c r="H10" i="62"/>
  <c r="I57" i="62"/>
  <c r="I54" i="62"/>
  <c r="I48" i="62"/>
  <c r="I42" i="62"/>
  <c r="I39" i="62"/>
  <c r="I31" i="62"/>
  <c r="I27" i="62"/>
  <c r="I22" i="62"/>
  <c r="H57" i="62"/>
  <c r="H54" i="62"/>
  <c r="H48" i="62"/>
  <c r="H42" i="62"/>
  <c r="H39" i="62"/>
  <c r="H31" i="62"/>
  <c r="H27" i="62"/>
  <c r="H22" i="62"/>
  <c r="G5" i="90"/>
  <c r="H5" i="90" s="1"/>
  <c r="J5" i="90" s="1"/>
  <c r="K5" i="90" s="1"/>
  <c r="G4" i="90"/>
  <c r="V8" i="89"/>
  <c r="V10" i="89"/>
  <c r="V11" i="89"/>
  <c r="V12" i="89"/>
  <c r="V13" i="89"/>
  <c r="G7" i="89"/>
  <c r="E14" i="89"/>
  <c r="H14" i="89"/>
  <c r="G13" i="89"/>
  <c r="I13" i="89" s="1"/>
  <c r="G12" i="89"/>
  <c r="I12" i="89" s="1"/>
  <c r="G11" i="89"/>
  <c r="I11" i="89" s="1"/>
  <c r="G10" i="89"/>
  <c r="I10" i="89" s="1"/>
  <c r="G9" i="89"/>
  <c r="I9" i="89" s="1"/>
  <c r="G8" i="89"/>
  <c r="I8" i="89" s="1"/>
  <c r="S35" i="72" l="1"/>
  <c r="T35" i="72" s="1"/>
  <c r="Z35" i="72" s="1"/>
  <c r="L35" i="62"/>
  <c r="I59" i="62"/>
  <c r="H59" i="62"/>
  <c r="W13" i="89"/>
  <c r="W12" i="89"/>
  <c r="W11" i="89"/>
  <c r="W10" i="89"/>
  <c r="W9" i="89"/>
  <c r="W8" i="89"/>
  <c r="I5" i="90"/>
  <c r="L5" i="90"/>
  <c r="M5" i="90" s="1"/>
  <c r="N5" i="90" s="1"/>
  <c r="H4" i="90"/>
  <c r="G14" i="89"/>
  <c r="I7" i="89"/>
  <c r="K38" i="62"/>
  <c r="R38" i="72" s="1"/>
  <c r="J39" i="79"/>
  <c r="K39" i="79"/>
  <c r="AQ37" i="72"/>
  <c r="AW37" i="72" s="1"/>
  <c r="AR37" i="72"/>
  <c r="AP37" i="72"/>
  <c r="E20" i="99" l="1"/>
  <c r="L39" i="79"/>
  <c r="I14" i="89"/>
  <c r="J7" i="89"/>
  <c r="J4" i="90"/>
  <c r="K4" i="90" s="1"/>
  <c r="L4" i="90" s="1"/>
  <c r="I4" i="90"/>
  <c r="J38" i="62"/>
  <c r="Q38" i="72" s="1"/>
  <c r="S38" i="72" s="1"/>
  <c r="T38" i="72" s="1"/>
  <c r="Z38" i="72" s="1"/>
  <c r="F35" i="86"/>
  <c r="G2" i="86"/>
  <c r="G3" i="86"/>
  <c r="G4" i="86"/>
  <c r="G5" i="86"/>
  <c r="G6" i="86"/>
  <c r="G7" i="86"/>
  <c r="G8" i="86"/>
  <c r="G9" i="86"/>
  <c r="G10" i="86"/>
  <c r="G11" i="86"/>
  <c r="G12" i="86"/>
  <c r="G13" i="86"/>
  <c r="G14" i="86"/>
  <c r="G15" i="86"/>
  <c r="G16" i="86"/>
  <c r="G17" i="86"/>
  <c r="G18" i="86"/>
  <c r="G19" i="86"/>
  <c r="G20" i="86"/>
  <c r="G21" i="86"/>
  <c r="G22" i="86"/>
  <c r="G23" i="86"/>
  <c r="G24" i="86"/>
  <c r="G25" i="86"/>
  <c r="G26" i="86"/>
  <c r="G27" i="86"/>
  <c r="G28" i="86"/>
  <c r="G29" i="86"/>
  <c r="G30" i="86"/>
  <c r="G31" i="86"/>
  <c r="G32" i="86"/>
  <c r="G33" i="86"/>
  <c r="G34" i="86"/>
  <c r="E35" i="86"/>
  <c r="H13" i="56" l="1"/>
  <c r="J14" i="89"/>
  <c r="V7" i="89"/>
  <c r="L38" i="62"/>
  <c r="M4" i="90"/>
  <c r="N4" i="90" s="1"/>
  <c r="V14" i="89" l="1"/>
  <c r="W7" i="89"/>
  <c r="W14" i="89" s="1"/>
  <c r="AQ35" i="72" l="1"/>
  <c r="AW35" i="72" s="1"/>
  <c r="AR35" i="72"/>
  <c r="AQ36" i="72"/>
  <c r="AW36" i="72" s="1"/>
  <c r="AR36" i="72"/>
  <c r="AQ38" i="72"/>
  <c r="AR38" i="72"/>
  <c r="AQ39" i="72"/>
  <c r="AR39" i="72"/>
  <c r="E16" i="99" l="1"/>
  <c r="E16" i="56"/>
  <c r="J37" i="79"/>
  <c r="K37" i="79"/>
  <c r="J38" i="79"/>
  <c r="K38" i="79"/>
  <c r="K36" i="62"/>
  <c r="R36" i="72" s="1"/>
  <c r="J37" i="62"/>
  <c r="Q37" i="72" s="1"/>
  <c r="AP35" i="72"/>
  <c r="K21" i="79"/>
  <c r="K22" i="79"/>
  <c r="J21" i="79"/>
  <c r="AP20" i="72"/>
  <c r="J21" i="62"/>
  <c r="Q21" i="72" s="1"/>
  <c r="J22" i="62"/>
  <c r="Q22" i="72" s="1"/>
  <c r="L21" i="79" l="1"/>
  <c r="L38" i="79"/>
  <c r="AI38" i="72" s="1"/>
  <c r="L37" i="79"/>
  <c r="E15" i="99"/>
  <c r="J36" i="62"/>
  <c r="Q36" i="72" s="1"/>
  <c r="S36" i="72" s="1"/>
  <c r="T36" i="72" s="1"/>
  <c r="Z36" i="72" s="1"/>
  <c r="K37" i="62"/>
  <c r="R37" i="72" s="1"/>
  <c r="S37" i="72" s="1"/>
  <c r="T37" i="72" s="1"/>
  <c r="Z37" i="72" s="1"/>
  <c r="K21" i="62"/>
  <c r="R21" i="72" s="1"/>
  <c r="S21" i="72" s="1"/>
  <c r="T21" i="72" s="1"/>
  <c r="Z21" i="72" s="1"/>
  <c r="K22" i="62"/>
  <c r="R22" i="72" s="1"/>
  <c r="S22" i="72" s="1"/>
  <c r="T22" i="72" s="1"/>
  <c r="Z22" i="72" l="1"/>
  <c r="Y22" i="72"/>
  <c r="L36" i="62"/>
  <c r="L37" i="62"/>
  <c r="L22" i="62"/>
  <c r="L21" i="62"/>
  <c r="AE36" i="72" l="1"/>
  <c r="AI36" i="72" s="1"/>
  <c r="AI37" i="72"/>
  <c r="K34" i="63"/>
  <c r="AS36" i="72"/>
  <c r="M34" i="63" l="1"/>
  <c r="AZ36" i="72"/>
  <c r="AT36" i="72"/>
  <c r="AX36" i="72"/>
  <c r="BA36" i="72"/>
  <c r="AQ20" i="72"/>
  <c r="AW20" i="72" s="1"/>
  <c r="AR20" i="72"/>
  <c r="L24" i="85"/>
  <c r="H17" i="85"/>
  <c r="U36" i="72" l="1"/>
  <c r="BB36" i="72"/>
  <c r="J74" i="72"/>
  <c r="K98" i="72"/>
  <c r="AY36" i="72"/>
  <c r="E53" i="84"/>
  <c r="E54" i="84"/>
  <c r="Y36" i="72" l="1"/>
  <c r="AJ36" i="72" s="1"/>
  <c r="E55" i="84"/>
  <c r="K56" i="84" s="1"/>
  <c r="J75" i="72"/>
  <c r="J76" i="72"/>
  <c r="H17" i="82"/>
  <c r="L15" i="82" l="1"/>
  <c r="L14" i="82"/>
  <c r="J77" i="72"/>
  <c r="L24" i="82" l="1"/>
  <c r="M111" i="72" l="1"/>
  <c r="D14" i="77"/>
  <c r="F15" i="77" l="1"/>
  <c r="D15" i="77"/>
  <c r="O58" i="72" l="1"/>
  <c r="G27" i="77" l="1"/>
  <c r="AR8" i="72"/>
  <c r="AR9" i="72"/>
  <c r="AR10" i="72"/>
  <c r="AR11" i="72"/>
  <c r="AR15" i="72"/>
  <c r="AR19" i="72"/>
  <c r="AR21" i="72"/>
  <c r="AR22" i="72"/>
  <c r="AR23" i="72"/>
  <c r="AR24" i="72"/>
  <c r="AR25" i="72"/>
  <c r="AR27" i="72"/>
  <c r="AR28" i="72"/>
  <c r="AR29" i="72"/>
  <c r="AR32" i="72"/>
  <c r="AR33" i="72"/>
  <c r="AR34" i="72"/>
  <c r="AR41" i="72"/>
  <c r="AR42" i="72"/>
  <c r="AR44" i="72"/>
  <c r="AR46" i="72"/>
  <c r="AR47" i="72"/>
  <c r="AR48" i="72"/>
  <c r="AR49" i="72"/>
  <c r="AR50" i="72"/>
  <c r="AR51" i="72"/>
  <c r="AR52" i="72"/>
  <c r="AR53" i="72"/>
  <c r="AR54" i="72"/>
  <c r="AR55" i="72"/>
  <c r="AR56" i="72"/>
  <c r="AR57" i="72"/>
  <c r="AP8" i="72"/>
  <c r="AP9" i="72"/>
  <c r="AP10" i="72"/>
  <c r="AP11" i="72"/>
  <c r="AP15" i="72"/>
  <c r="AP21" i="72"/>
  <c r="AP22" i="72"/>
  <c r="AP23" i="72"/>
  <c r="AP24" i="72"/>
  <c r="AP25" i="72"/>
  <c r="AP27" i="72"/>
  <c r="AP28" i="72"/>
  <c r="AP29" i="72"/>
  <c r="AP33" i="72"/>
  <c r="AP34" i="72"/>
  <c r="AP36" i="72"/>
  <c r="AP38" i="72"/>
  <c r="AP39" i="72"/>
  <c r="AP41" i="72"/>
  <c r="AP44" i="72"/>
  <c r="AP46" i="72"/>
  <c r="AP47" i="72"/>
  <c r="AP48" i="72"/>
  <c r="AP49" i="72"/>
  <c r="AP50" i="72"/>
  <c r="AP51" i="72"/>
  <c r="AP52" i="72"/>
  <c r="AP53" i="72"/>
  <c r="AP54" i="72"/>
  <c r="AP55" i="72"/>
  <c r="AP56" i="72"/>
  <c r="AP57" i="72"/>
  <c r="AO8" i="72"/>
  <c r="AQ8" i="72"/>
  <c r="AW8" i="72" s="1"/>
  <c r="AQ9" i="72"/>
  <c r="AW9" i="72" s="1"/>
  <c r="AQ10" i="72"/>
  <c r="AW10" i="72" s="1"/>
  <c r="AQ11" i="72"/>
  <c r="AW11" i="72" s="1"/>
  <c r="AQ15" i="72"/>
  <c r="AW15" i="72" s="1"/>
  <c r="AQ19" i="72"/>
  <c r="AW19" i="72" s="1"/>
  <c r="AQ21" i="72"/>
  <c r="AW21" i="72" s="1"/>
  <c r="AQ22" i="72"/>
  <c r="AW22" i="72" s="1"/>
  <c r="AQ23" i="72"/>
  <c r="AW23" i="72" s="1"/>
  <c r="AQ24" i="72"/>
  <c r="AW24" i="72" s="1"/>
  <c r="AQ25" i="72"/>
  <c r="AW25" i="72" s="1"/>
  <c r="AQ27" i="72"/>
  <c r="AW27" i="72" s="1"/>
  <c r="AQ28" i="72"/>
  <c r="AW28" i="72" s="1"/>
  <c r="AQ29" i="72"/>
  <c r="AW29" i="72" s="1"/>
  <c r="AQ32" i="72"/>
  <c r="AW32" i="72" s="1"/>
  <c r="AQ33" i="72"/>
  <c r="AQ34" i="72"/>
  <c r="AW34" i="72" s="1"/>
  <c r="AW38" i="72"/>
  <c r="AW39" i="72"/>
  <c r="AW41" i="72"/>
  <c r="AQ42" i="72"/>
  <c r="AW42" i="72" s="1"/>
  <c r="AQ44" i="72"/>
  <c r="AW44" i="72" s="1"/>
  <c r="AQ46" i="72"/>
  <c r="AW46" i="72" s="1"/>
  <c r="AQ47" i="72"/>
  <c r="AW47" i="72" s="1"/>
  <c r="AQ48" i="72"/>
  <c r="AW48" i="72" s="1"/>
  <c r="AQ49" i="72"/>
  <c r="AW49" i="72" s="1"/>
  <c r="AQ50" i="72"/>
  <c r="AW50" i="72" s="1"/>
  <c r="AQ51" i="72"/>
  <c r="AW51" i="72" s="1"/>
  <c r="AQ52" i="72"/>
  <c r="AW52" i="72" s="1"/>
  <c r="AQ53" i="72"/>
  <c r="AW53" i="72" s="1"/>
  <c r="AQ54" i="72"/>
  <c r="AW54" i="72" s="1"/>
  <c r="AQ55" i="72"/>
  <c r="AW55" i="72" s="1"/>
  <c r="AQ56" i="72"/>
  <c r="AW56" i="72" s="1"/>
  <c r="AQ57" i="72"/>
  <c r="AW57" i="72" s="1"/>
  <c r="AW58" i="72" l="1"/>
  <c r="M106" i="72"/>
  <c r="J58" i="62"/>
  <c r="K58" i="62"/>
  <c r="J8" i="62"/>
  <c r="K10" i="62"/>
  <c r="R10" i="72" s="1"/>
  <c r="K11" i="62"/>
  <c r="R11" i="72" s="1"/>
  <c r="J19" i="62"/>
  <c r="Q19" i="72" s="1"/>
  <c r="J20" i="62"/>
  <c r="Q20" i="72" s="1"/>
  <c r="J23" i="62"/>
  <c r="Q23" i="72" s="1"/>
  <c r="J24" i="62"/>
  <c r="Q24" i="72" s="1"/>
  <c r="K25" i="62"/>
  <c r="R25" i="72" s="1"/>
  <c r="J27" i="62"/>
  <c r="Q27" i="72" s="1"/>
  <c r="J28" i="62"/>
  <c r="Q28" i="72" s="1"/>
  <c r="J29" i="62"/>
  <c r="Q29" i="72" s="1"/>
  <c r="K31" i="62"/>
  <c r="R31" i="72" s="1"/>
  <c r="J32" i="62"/>
  <c r="Q32" i="72" s="1"/>
  <c r="S32" i="72" s="1"/>
  <c r="T32" i="72" s="1"/>
  <c r="Z32" i="72" s="1"/>
  <c r="J33" i="62"/>
  <c r="Q33" i="72" s="1"/>
  <c r="K34" i="62"/>
  <c r="R34" i="72" s="1"/>
  <c r="K41" i="62"/>
  <c r="R41" i="72" s="1"/>
  <c r="J40" i="62"/>
  <c r="Q40" i="72" s="1"/>
  <c r="K42" i="62"/>
  <c r="R42" i="72" s="1"/>
  <c r="J44" i="62"/>
  <c r="Q44" i="72" s="1"/>
  <c r="J46" i="62"/>
  <c r="Q46" i="72" s="1"/>
  <c r="J47" i="62"/>
  <c r="Q47" i="72" s="1"/>
  <c r="J48" i="62"/>
  <c r="Q48" i="72" s="1"/>
  <c r="J49" i="62"/>
  <c r="Q49" i="72" s="1"/>
  <c r="J50" i="62"/>
  <c r="Q50" i="72" s="1"/>
  <c r="J51" i="62"/>
  <c r="Q51" i="72" s="1"/>
  <c r="J52" i="62"/>
  <c r="Q52" i="72" s="1"/>
  <c r="J53" i="62"/>
  <c r="Q53" i="72" s="1"/>
  <c r="J54" i="62"/>
  <c r="Q54" i="72" s="1"/>
  <c r="K55" i="62"/>
  <c r="R55" i="72" s="1"/>
  <c r="K57" i="62"/>
  <c r="R57" i="72" s="1"/>
  <c r="J27" i="79"/>
  <c r="K27" i="79"/>
  <c r="J28" i="79"/>
  <c r="K28" i="79"/>
  <c r="J29" i="79"/>
  <c r="K29" i="79"/>
  <c r="J31" i="79"/>
  <c r="K31" i="79"/>
  <c r="J32" i="79"/>
  <c r="K32" i="79"/>
  <c r="J34" i="79"/>
  <c r="K34" i="79"/>
  <c r="J35" i="79"/>
  <c r="K35" i="79"/>
  <c r="J41" i="79"/>
  <c r="K41" i="79"/>
  <c r="J40" i="79"/>
  <c r="K40" i="79"/>
  <c r="J42" i="79"/>
  <c r="K42" i="79"/>
  <c r="J46" i="79"/>
  <c r="K46" i="79"/>
  <c r="J47" i="79"/>
  <c r="K47" i="79"/>
  <c r="J48" i="79"/>
  <c r="K48" i="79"/>
  <c r="J49" i="79"/>
  <c r="K49" i="79"/>
  <c r="J50" i="79"/>
  <c r="K50" i="79"/>
  <c r="J51" i="79"/>
  <c r="K51" i="79"/>
  <c r="J52" i="79"/>
  <c r="K52" i="79"/>
  <c r="J53" i="79"/>
  <c r="K53" i="79"/>
  <c r="J54" i="79"/>
  <c r="K54" i="79"/>
  <c r="J55" i="79"/>
  <c r="K55" i="79"/>
  <c r="J56" i="79"/>
  <c r="K56" i="79"/>
  <c r="J57" i="79"/>
  <c r="K57" i="79"/>
  <c r="J8" i="79"/>
  <c r="K8" i="79"/>
  <c r="J9" i="79"/>
  <c r="K9" i="79"/>
  <c r="J10" i="79"/>
  <c r="K10" i="79"/>
  <c r="J11" i="79"/>
  <c r="K11" i="79"/>
  <c r="J15" i="79"/>
  <c r="K15" i="79"/>
  <c r="J19" i="79"/>
  <c r="K19" i="79"/>
  <c r="J20" i="79"/>
  <c r="K20" i="79"/>
  <c r="J22" i="79"/>
  <c r="L22" i="79" s="1"/>
  <c r="J23" i="79"/>
  <c r="K23" i="79"/>
  <c r="J24" i="79"/>
  <c r="K24" i="79"/>
  <c r="J9" i="62"/>
  <c r="Q9" i="72" s="1"/>
  <c r="S47" i="72" l="1"/>
  <c r="T47" i="72" s="1"/>
  <c r="Z47" i="72" s="1"/>
  <c r="S27" i="72"/>
  <c r="T27" i="72" s="1"/>
  <c r="Z27" i="72" s="1"/>
  <c r="Q8" i="72"/>
  <c r="L19" i="79"/>
  <c r="L24" i="79"/>
  <c r="L11" i="79"/>
  <c r="L57" i="79"/>
  <c r="L50" i="79"/>
  <c r="L46" i="79"/>
  <c r="L35" i="79"/>
  <c r="L31" i="79"/>
  <c r="L54" i="79"/>
  <c r="L9" i="79"/>
  <c r="L55" i="79"/>
  <c r="L52" i="79"/>
  <c r="L48" i="79"/>
  <c r="L15" i="79"/>
  <c r="L8" i="79"/>
  <c r="P8" i="72" s="1"/>
  <c r="L51" i="79"/>
  <c r="L47" i="79"/>
  <c r="L41" i="79"/>
  <c r="L32" i="79"/>
  <c r="L27" i="79"/>
  <c r="L23" i="79"/>
  <c r="L20" i="79"/>
  <c r="L56" i="79"/>
  <c r="L49" i="79"/>
  <c r="L29" i="79"/>
  <c r="L10" i="79"/>
  <c r="L53" i="79"/>
  <c r="L42" i="79"/>
  <c r="L40" i="79"/>
  <c r="L34" i="79"/>
  <c r="L28" i="79"/>
  <c r="J39" i="62"/>
  <c r="Q39" i="72" s="1"/>
  <c r="K39" i="62"/>
  <c r="R39" i="72" s="1"/>
  <c r="K56" i="62"/>
  <c r="R56" i="72" s="1"/>
  <c r="J56" i="62"/>
  <c r="Q56" i="72" s="1"/>
  <c r="S56" i="72" s="1"/>
  <c r="T56" i="72" s="1"/>
  <c r="Z56" i="72" s="1"/>
  <c r="L58" i="62"/>
  <c r="J31" i="62"/>
  <c r="Q31" i="72" s="1"/>
  <c r="S31" i="72" s="1"/>
  <c r="T31" i="72" s="1"/>
  <c r="J55" i="62"/>
  <c r="Q55" i="72" s="1"/>
  <c r="S55" i="72" s="1"/>
  <c r="T55" i="72" s="1"/>
  <c r="Z55" i="72" s="1"/>
  <c r="J10" i="62"/>
  <c r="Q10" i="72" s="1"/>
  <c r="S10" i="72" s="1"/>
  <c r="T10" i="72" s="1"/>
  <c r="Z10" i="72" s="1"/>
  <c r="J57" i="62"/>
  <c r="Q57" i="72" s="1"/>
  <c r="S57" i="72" s="1"/>
  <c r="T57" i="72" s="1"/>
  <c r="Z57" i="72" s="1"/>
  <c r="K47" i="62"/>
  <c r="R47" i="72" s="1"/>
  <c r="J42" i="62"/>
  <c r="Q42" i="72" s="1"/>
  <c r="S42" i="72" s="1"/>
  <c r="T42" i="72" s="1"/>
  <c r="Z42" i="72" s="1"/>
  <c r="K46" i="62"/>
  <c r="R46" i="72" s="1"/>
  <c r="S46" i="72" s="1"/>
  <c r="T46" i="72" s="1"/>
  <c r="Z46" i="72" s="1"/>
  <c r="K52" i="62"/>
  <c r="R52" i="72" s="1"/>
  <c r="S52" i="72" s="1"/>
  <c r="T52" i="72" s="1"/>
  <c r="Z52" i="72" s="1"/>
  <c r="J41" i="62"/>
  <c r="Q41" i="72" s="1"/>
  <c r="S41" i="72" s="1"/>
  <c r="T41" i="72" s="1"/>
  <c r="K27" i="62"/>
  <c r="R27" i="72" s="1"/>
  <c r="K9" i="62"/>
  <c r="R9" i="72" s="1"/>
  <c r="S9" i="72" s="1"/>
  <c r="K50" i="62"/>
  <c r="R50" i="72" s="1"/>
  <c r="S50" i="72" s="1"/>
  <c r="T50" i="72" s="1"/>
  <c r="Z50" i="72" s="1"/>
  <c r="J25" i="62"/>
  <c r="Q25" i="72" s="1"/>
  <c r="S25" i="72" s="1"/>
  <c r="T25" i="72" s="1"/>
  <c r="Z25" i="72" s="1"/>
  <c r="K49" i="62"/>
  <c r="R49" i="72" s="1"/>
  <c r="S49" i="72" s="1"/>
  <c r="T49" i="72" s="1"/>
  <c r="Z49" i="72" s="1"/>
  <c r="J34" i="62"/>
  <c r="Q34" i="72" s="1"/>
  <c r="S34" i="72" s="1"/>
  <c r="T34" i="72" s="1"/>
  <c r="Z34" i="72" s="1"/>
  <c r="K23" i="62"/>
  <c r="R23" i="72" s="1"/>
  <c r="S23" i="72" s="1"/>
  <c r="T23" i="72" s="1"/>
  <c r="Z23" i="72" s="1"/>
  <c r="K40" i="62"/>
  <c r="R40" i="72" s="1"/>
  <c r="S40" i="72" s="1"/>
  <c r="T40" i="72" s="1"/>
  <c r="K51" i="62"/>
  <c r="R51" i="72" s="1"/>
  <c r="S51" i="72" s="1"/>
  <c r="T51" i="72" s="1"/>
  <c r="Z51" i="72" s="1"/>
  <c r="K33" i="62"/>
  <c r="R33" i="72" s="1"/>
  <c r="S33" i="72" s="1"/>
  <c r="T33" i="72" s="1"/>
  <c r="Z33" i="72" s="1"/>
  <c r="K19" i="62"/>
  <c r="R19" i="72" s="1"/>
  <c r="S19" i="72" s="1"/>
  <c r="T19" i="72" s="1"/>
  <c r="Z19" i="72" s="1"/>
  <c r="K54" i="62"/>
  <c r="R54" i="72" s="1"/>
  <c r="S54" i="72" s="1"/>
  <c r="T54" i="72" s="1"/>
  <c r="Z54" i="72" s="1"/>
  <c r="K29" i="62"/>
  <c r="R29" i="72" s="1"/>
  <c r="S29" i="72" s="1"/>
  <c r="T29" i="72" s="1"/>
  <c r="Z29" i="72" s="1"/>
  <c r="K44" i="62"/>
  <c r="R44" i="72" s="1"/>
  <c r="S44" i="72" s="1"/>
  <c r="T44" i="72" s="1"/>
  <c r="Z44" i="72" s="1"/>
  <c r="K24" i="62"/>
  <c r="R24" i="72" s="1"/>
  <c r="S24" i="72" s="1"/>
  <c r="T24" i="72" s="1"/>
  <c r="Z24" i="72" s="1"/>
  <c r="J11" i="62"/>
  <c r="Q11" i="72" s="1"/>
  <c r="S11" i="72" s="1"/>
  <c r="T11" i="72" s="1"/>
  <c r="K53" i="62"/>
  <c r="R53" i="72" s="1"/>
  <c r="S53" i="72" s="1"/>
  <c r="T53" i="72" s="1"/>
  <c r="Z53" i="72" s="1"/>
  <c r="K48" i="62"/>
  <c r="R48" i="72" s="1"/>
  <c r="S48" i="72" s="1"/>
  <c r="T48" i="72" s="1"/>
  <c r="Z48" i="72" s="1"/>
  <c r="K28" i="62"/>
  <c r="R28" i="72" s="1"/>
  <c r="S28" i="72" s="1"/>
  <c r="T28" i="72" s="1"/>
  <c r="Z28" i="72" s="1"/>
  <c r="K20" i="62"/>
  <c r="R20" i="72" s="1"/>
  <c r="S20" i="72" s="1"/>
  <c r="T20" i="72" s="1"/>
  <c r="Z20" i="72" s="1"/>
  <c r="K8" i="62"/>
  <c r="AI9" i="72" l="1"/>
  <c r="Z40" i="72"/>
  <c r="Y40" i="72"/>
  <c r="Z31" i="72"/>
  <c r="AI31" i="72" s="1"/>
  <c r="Y31" i="72"/>
  <c r="S39" i="72"/>
  <c r="T39" i="72" s="1"/>
  <c r="Z39" i="72" s="1"/>
  <c r="Z11" i="72"/>
  <c r="K9" i="63"/>
  <c r="M9" i="63" s="1"/>
  <c r="Z41" i="72"/>
  <c r="AI41" i="72" s="1"/>
  <c r="Y41" i="72"/>
  <c r="E19" i="99"/>
  <c r="R8" i="72"/>
  <c r="AI25" i="72"/>
  <c r="L40" i="62"/>
  <c r="AS30" i="72"/>
  <c r="E18" i="99"/>
  <c r="K59" i="62"/>
  <c r="E18" i="56"/>
  <c r="L39" i="62"/>
  <c r="L32" i="62"/>
  <c r="L51" i="62"/>
  <c r="L57" i="62"/>
  <c r="L52" i="62"/>
  <c r="L55" i="62"/>
  <c r="L54" i="62"/>
  <c r="L9" i="62"/>
  <c r="L28" i="62"/>
  <c r="L33" i="62"/>
  <c r="L49" i="62"/>
  <c r="L41" i="62"/>
  <c r="L47" i="62"/>
  <c r="L44" i="62"/>
  <c r="L48" i="62"/>
  <c r="L10" i="62"/>
  <c r="L53" i="62"/>
  <c r="L25" i="62"/>
  <c r="L46" i="62"/>
  <c r="L31" i="62"/>
  <c r="L11" i="62"/>
  <c r="L29" i="62"/>
  <c r="L50" i="62"/>
  <c r="L8" i="62"/>
  <c r="L23" i="62"/>
  <c r="L20" i="62"/>
  <c r="L24" i="62"/>
  <c r="L19" i="62"/>
  <c r="L34" i="62"/>
  <c r="L27" i="62"/>
  <c r="L42" i="62"/>
  <c r="L56" i="62"/>
  <c r="AI35" i="72" l="1"/>
  <c r="H19" i="99"/>
  <c r="E20" i="56"/>
  <c r="AJ31" i="72"/>
  <c r="AI40" i="72"/>
  <c r="AJ40" i="72" s="1"/>
  <c r="AJ41" i="72"/>
  <c r="K28" i="63"/>
  <c r="AT30" i="72"/>
  <c r="AX30" i="72"/>
  <c r="BA30" i="72"/>
  <c r="AZ30" i="72"/>
  <c r="K33" i="63"/>
  <c r="M33" i="63" s="1"/>
  <c r="E19" i="56"/>
  <c r="AS35" i="72"/>
  <c r="K103" i="72"/>
  <c r="AO58" i="72"/>
  <c r="AI39" i="72" l="1"/>
  <c r="H19" i="56"/>
  <c r="AI20" i="72"/>
  <c r="U35" i="72"/>
  <c r="K38" i="63"/>
  <c r="BB30" i="72"/>
  <c r="AY30" i="72"/>
  <c r="AS40" i="72"/>
  <c r="AX40" i="72" s="1"/>
  <c r="K35" i="63"/>
  <c r="M35" i="63" s="1"/>
  <c r="AS37" i="72"/>
  <c r="BA35" i="72"/>
  <c r="AX35" i="72"/>
  <c r="AT35" i="72"/>
  <c r="AZ35" i="72"/>
  <c r="E22" i="99" l="1"/>
  <c r="Y35" i="72"/>
  <c r="U37" i="72"/>
  <c r="E21" i="99"/>
  <c r="BA40" i="72"/>
  <c r="AT40" i="72"/>
  <c r="AY40" i="72" s="1"/>
  <c r="AZ40" i="72"/>
  <c r="BB35" i="72"/>
  <c r="AT37" i="72"/>
  <c r="AZ37" i="72"/>
  <c r="BA37" i="72"/>
  <c r="AX37" i="72"/>
  <c r="AY35" i="72"/>
  <c r="K8" i="81"/>
  <c r="M8" i="72" s="1"/>
  <c r="K9" i="81"/>
  <c r="K10" i="81"/>
  <c r="K11" i="81"/>
  <c r="H59" i="81"/>
  <c r="E25" i="99" l="1"/>
  <c r="Y37" i="72"/>
  <c r="AJ37" i="72" s="1"/>
  <c r="AJ35" i="72"/>
  <c r="H12" i="99"/>
  <c r="H25" i="99" s="1"/>
  <c r="AI10" i="72"/>
  <c r="AI51" i="72"/>
  <c r="AI57" i="72"/>
  <c r="AI49" i="72"/>
  <c r="AI54" i="72"/>
  <c r="AI34" i="72"/>
  <c r="AE22" i="72"/>
  <c r="AI32" i="72"/>
  <c r="AI55" i="72"/>
  <c r="AI29" i="72"/>
  <c r="AI47" i="72"/>
  <c r="AI46" i="72"/>
  <c r="AI27" i="72"/>
  <c r="AI53" i="72"/>
  <c r="AI44" i="72"/>
  <c r="AI24" i="72"/>
  <c r="AI56" i="72"/>
  <c r="AI15" i="72"/>
  <c r="AI48" i="72"/>
  <c r="AI11" i="72"/>
  <c r="AI28" i="72"/>
  <c r="AI52" i="72"/>
  <c r="AI42" i="72"/>
  <c r="AI23" i="72"/>
  <c r="K39" i="63"/>
  <c r="BB40" i="72"/>
  <c r="BB37" i="72"/>
  <c r="AY37" i="72"/>
  <c r="H26" i="99" l="1"/>
  <c r="AE50" i="72"/>
  <c r="AE58" i="72" s="1"/>
  <c r="AI19" i="72"/>
  <c r="AI33" i="72"/>
  <c r="W33" i="72"/>
  <c r="K24" i="63"/>
  <c r="AS26" i="72"/>
  <c r="K29" i="63"/>
  <c r="AS31" i="72"/>
  <c r="E15" i="56"/>
  <c r="K25" i="63"/>
  <c r="K20" i="63"/>
  <c r="K22" i="63"/>
  <c r="I59" i="81"/>
  <c r="M110" i="72"/>
  <c r="M109" i="72"/>
  <c r="M107" i="72"/>
  <c r="AJ9" i="72" l="1"/>
  <c r="AI22" i="72"/>
  <c r="AJ22" i="72" s="1"/>
  <c r="M25" i="63"/>
  <c r="M22" i="63"/>
  <c r="K30" i="63"/>
  <c r="AZ26" i="72"/>
  <c r="BA26" i="72"/>
  <c r="AT26" i="72"/>
  <c r="AX26" i="72"/>
  <c r="BA31" i="72"/>
  <c r="AT31" i="72"/>
  <c r="AZ31" i="72"/>
  <c r="AX31" i="72"/>
  <c r="K59" i="81"/>
  <c r="K44" i="63"/>
  <c r="K42" i="63"/>
  <c r="U24" i="72" l="1"/>
  <c r="U27" i="72"/>
  <c r="M58" i="72"/>
  <c r="AI21" i="72"/>
  <c r="M42" i="63"/>
  <c r="M30" i="63"/>
  <c r="M44" i="63"/>
  <c r="AY26" i="72"/>
  <c r="BB26" i="72"/>
  <c r="AY31" i="72"/>
  <c r="BB31" i="72"/>
  <c r="K18" i="63"/>
  <c r="M18" i="63" s="1"/>
  <c r="AS20" i="72"/>
  <c r="Y27" i="72" l="1"/>
  <c r="AJ27" i="72" s="1"/>
  <c r="Y24" i="72"/>
  <c r="AJ24" i="72" s="1"/>
  <c r="U44" i="72"/>
  <c r="U32" i="72"/>
  <c r="U46" i="72"/>
  <c r="U20" i="72"/>
  <c r="Y20" i="72" s="1"/>
  <c r="BA20" i="72"/>
  <c r="AT20" i="72"/>
  <c r="AX20" i="72"/>
  <c r="AZ20" i="72"/>
  <c r="K58" i="79"/>
  <c r="J58" i="79"/>
  <c r="Y46" i="72" l="1"/>
  <c r="AJ46" i="72" s="1"/>
  <c r="Y32" i="72"/>
  <c r="AJ32" i="72" s="1"/>
  <c r="Y44" i="72"/>
  <c r="AJ44" i="72" s="1"/>
  <c r="AJ20" i="72"/>
  <c r="BB20" i="72"/>
  <c r="AY20" i="72"/>
  <c r="G59" i="79"/>
  <c r="L58" i="79"/>
  <c r="K59" i="79"/>
  <c r="F3" i="78"/>
  <c r="F4" i="78" s="1"/>
  <c r="P58" i="72" l="1"/>
  <c r="L59" i="79"/>
  <c r="J59" i="79"/>
  <c r="C43" i="77" l="1"/>
  <c r="K51" i="63" l="1"/>
  <c r="E44" i="77"/>
  <c r="R58" i="72"/>
  <c r="G8" i="56"/>
  <c r="K8" i="72"/>
  <c r="M51" i="63" l="1"/>
  <c r="K19" i="63"/>
  <c r="S8" i="72"/>
  <c r="AS27" i="72"/>
  <c r="S58" i="72" l="1"/>
  <c r="T8" i="72"/>
  <c r="Z8" i="72" s="1"/>
  <c r="H12" i="56" s="1"/>
  <c r="U53" i="72"/>
  <c r="M19" i="63"/>
  <c r="AZ27" i="72"/>
  <c r="BA27" i="72"/>
  <c r="K8" i="63"/>
  <c r="K7" i="63"/>
  <c r="AS22" i="72"/>
  <c r="AU22" i="72" s="1"/>
  <c r="AX27" i="72"/>
  <c r="AT27" i="72"/>
  <c r="AS10" i="72"/>
  <c r="AS9" i="72"/>
  <c r="AU9" i="72" s="1"/>
  <c r="D9" i="56"/>
  <c r="G31" i="56"/>
  <c r="Y53" i="72" l="1"/>
  <c r="AJ53" i="72" s="1"/>
  <c r="U21" i="72"/>
  <c r="AS8" i="72"/>
  <c r="AZ8" i="72" s="1"/>
  <c r="M8" i="63"/>
  <c r="BB27" i="72"/>
  <c r="AI8" i="72"/>
  <c r="K6" i="63"/>
  <c r="AY27" i="72"/>
  <c r="BA22" i="72"/>
  <c r="AZ22" i="72"/>
  <c r="AS21" i="72"/>
  <c r="AS44" i="72"/>
  <c r="AX22" i="72"/>
  <c r="AT22" i="72"/>
  <c r="AS41" i="72"/>
  <c r="AU41" i="72" s="1"/>
  <c r="AU58" i="72" s="1"/>
  <c r="AS46" i="72"/>
  <c r="AS24" i="72"/>
  <c r="BA9" i="72"/>
  <c r="AZ9" i="72"/>
  <c r="AT9" i="72"/>
  <c r="AX9" i="72"/>
  <c r="AZ10" i="72"/>
  <c r="AX10" i="72"/>
  <c r="AT10" i="72"/>
  <c r="BA10" i="72"/>
  <c r="AS53" i="72"/>
  <c r="Y21" i="72" l="1"/>
  <c r="AJ21" i="72" s="1"/>
  <c r="U10" i="72"/>
  <c r="BA8" i="72"/>
  <c r="BB8" i="72" s="1"/>
  <c r="AT8" i="72"/>
  <c r="AX8" i="72"/>
  <c r="M6" i="63"/>
  <c r="U8" i="72" s="1"/>
  <c r="AX83" i="72"/>
  <c r="BB22" i="72"/>
  <c r="BB10" i="72"/>
  <c r="BB9" i="72"/>
  <c r="K52" i="63"/>
  <c r="AY22" i="72"/>
  <c r="AZ46" i="72"/>
  <c r="BA46" i="72"/>
  <c r="BA53" i="72"/>
  <c r="AZ53" i="72"/>
  <c r="BA41" i="72"/>
  <c r="AZ41" i="72"/>
  <c r="AZ21" i="72"/>
  <c r="BA21" i="72"/>
  <c r="AZ24" i="72"/>
  <c r="BA24" i="72"/>
  <c r="AZ44" i="72"/>
  <c r="BA44" i="72"/>
  <c r="AY9" i="72"/>
  <c r="AY10" i="72"/>
  <c r="AX46" i="72"/>
  <c r="AT46" i="72"/>
  <c r="AT53" i="72"/>
  <c r="AX53" i="72"/>
  <c r="AX24" i="72"/>
  <c r="AT24" i="72"/>
  <c r="AT21" i="72"/>
  <c r="AX21" i="72"/>
  <c r="AS54" i="72"/>
  <c r="AT44" i="72"/>
  <c r="AX44" i="72"/>
  <c r="AX41" i="72"/>
  <c r="AT41" i="72"/>
  <c r="Y10" i="72" l="1"/>
  <c r="AJ10" i="72" s="1"/>
  <c r="Y8" i="72"/>
  <c r="AY8" i="72"/>
  <c r="M52" i="63"/>
  <c r="AY41" i="72"/>
  <c r="BB53" i="72"/>
  <c r="BB21" i="72"/>
  <c r="BB41" i="72"/>
  <c r="BB44" i="72"/>
  <c r="BB46" i="72"/>
  <c r="BB24" i="72"/>
  <c r="AW77" i="72"/>
  <c r="AY44" i="72"/>
  <c r="AY53" i="72"/>
  <c r="AY24" i="72"/>
  <c r="AY21" i="72"/>
  <c r="AY46" i="72"/>
  <c r="AZ54" i="72"/>
  <c r="BA54" i="72"/>
  <c r="AT54" i="72"/>
  <c r="AX54" i="72"/>
  <c r="AJ8" i="72" l="1"/>
  <c r="U54" i="72"/>
  <c r="BB54" i="72"/>
  <c r="AY54" i="72"/>
  <c r="Y54" i="72" l="1"/>
  <c r="AJ54" i="72" s="1"/>
  <c r="K58" i="72"/>
  <c r="K55" i="63"/>
  <c r="M55" i="63" s="1"/>
  <c r="E23" i="56"/>
  <c r="W58" i="72"/>
  <c r="H15" i="56"/>
  <c r="E13" i="56"/>
  <c r="K21" i="63"/>
  <c r="K27" i="63"/>
  <c r="K26" i="63"/>
  <c r="K31" i="63"/>
  <c r="M21" i="63" l="1"/>
  <c r="M26" i="63"/>
  <c r="M31" i="63"/>
  <c r="M27" i="63"/>
  <c r="U57" i="72"/>
  <c r="H20" i="56"/>
  <c r="K45" i="63"/>
  <c r="M45" i="63" s="1"/>
  <c r="K32" i="63"/>
  <c r="K48" i="63"/>
  <c r="K23" i="63"/>
  <c r="K99" i="72"/>
  <c r="K47" i="63"/>
  <c r="K50" i="63"/>
  <c r="K54" i="63"/>
  <c r="K49" i="63"/>
  <c r="K46" i="63"/>
  <c r="K36" i="63"/>
  <c r="K37" i="63"/>
  <c r="K40" i="63"/>
  <c r="K53" i="63"/>
  <c r="AS55" i="72"/>
  <c r="AS38" i="72"/>
  <c r="AS19" i="72"/>
  <c r="AS50" i="72"/>
  <c r="BA50" i="72" s="1"/>
  <c r="AS39" i="72"/>
  <c r="AS49" i="72"/>
  <c r="AX49" i="72" s="1"/>
  <c r="AS28" i="72"/>
  <c r="AZ28" i="72" s="1"/>
  <c r="AS47" i="72"/>
  <c r="BA47" i="72" s="1"/>
  <c r="AS25" i="72"/>
  <c r="AS42" i="72"/>
  <c r="AS15" i="72"/>
  <c r="AS56" i="72"/>
  <c r="AS34" i="72"/>
  <c r="AS51" i="72"/>
  <c r="AS29" i="72"/>
  <c r="AS48" i="72"/>
  <c r="AS57" i="72"/>
  <c r="AS23" i="72"/>
  <c r="AS33" i="72"/>
  <c r="AS52" i="72"/>
  <c r="AS32" i="72"/>
  <c r="Y57" i="72" l="1"/>
  <c r="AJ57" i="72" s="1"/>
  <c r="U29" i="72"/>
  <c r="U19" i="72"/>
  <c r="U33" i="72"/>
  <c r="U28" i="72"/>
  <c r="U23" i="72"/>
  <c r="AI50" i="72"/>
  <c r="M36" i="63"/>
  <c r="M23" i="63"/>
  <c r="M48" i="63"/>
  <c r="M32" i="63"/>
  <c r="M53" i="63"/>
  <c r="M54" i="63"/>
  <c r="U47" i="72"/>
  <c r="M40" i="63"/>
  <c r="M37" i="63"/>
  <c r="M46" i="63"/>
  <c r="M49" i="63"/>
  <c r="M50" i="63"/>
  <c r="M47" i="63"/>
  <c r="T58" i="72"/>
  <c r="Z58" i="72" s="1"/>
  <c r="AS11" i="72"/>
  <c r="AX11" i="72" s="1"/>
  <c r="AZ42" i="72"/>
  <c r="BA42" i="72"/>
  <c r="AB58" i="72"/>
  <c r="U15" i="72"/>
  <c r="AW78" i="72"/>
  <c r="AX84" i="72"/>
  <c r="BA19" i="72"/>
  <c r="AZ38" i="72"/>
  <c r="BA38" i="72"/>
  <c r="AX38" i="72"/>
  <c r="AT38" i="72"/>
  <c r="AZ39" i="72"/>
  <c r="BA39" i="72"/>
  <c r="AX39" i="72"/>
  <c r="AZ47" i="72"/>
  <c r="BB47" i="72" s="1"/>
  <c r="AX50" i="72"/>
  <c r="AZ19" i="72"/>
  <c r="AT47" i="72"/>
  <c r="AT28" i="72"/>
  <c r="AX28" i="72"/>
  <c r="AX47" i="72"/>
  <c r="AZ50" i="72"/>
  <c r="BB50" i="72" s="1"/>
  <c r="AT50" i="72"/>
  <c r="AT19" i="72"/>
  <c r="AX19" i="72"/>
  <c r="BA49" i="72"/>
  <c r="AZ49" i="72"/>
  <c r="AT39" i="72"/>
  <c r="AT49" i="72"/>
  <c r="AY49" i="72" s="1"/>
  <c r="BA28" i="72"/>
  <c r="BB28" i="72" s="1"/>
  <c r="BA48" i="72"/>
  <c r="AZ48" i="72"/>
  <c r="BA23" i="72"/>
  <c r="AZ23" i="72"/>
  <c r="AZ34" i="72"/>
  <c r="BA34" i="72"/>
  <c r="BA56" i="72"/>
  <c r="AZ56" i="72"/>
  <c r="AZ25" i="72"/>
  <c r="BA25" i="72"/>
  <c r="BA29" i="72"/>
  <c r="AZ29" i="72"/>
  <c r="AZ52" i="72"/>
  <c r="BA52" i="72"/>
  <c r="BA57" i="72"/>
  <c r="AZ57" i="72"/>
  <c r="BA32" i="72"/>
  <c r="AZ32" i="72"/>
  <c r="BA33" i="72"/>
  <c r="AZ33" i="72"/>
  <c r="BA55" i="72"/>
  <c r="AZ55" i="72"/>
  <c r="AZ51" i="72"/>
  <c r="BA51" i="72"/>
  <c r="AX32" i="72"/>
  <c r="AT32" i="72"/>
  <c r="AX23" i="72"/>
  <c r="AT23" i="72"/>
  <c r="AT48" i="72"/>
  <c r="AX48" i="72"/>
  <c r="AX25" i="72"/>
  <c r="AT25" i="72"/>
  <c r="AX33" i="72"/>
  <c r="AT29" i="72"/>
  <c r="AX29" i="72"/>
  <c r="AT34" i="72"/>
  <c r="AX34" i="72"/>
  <c r="AX56" i="72"/>
  <c r="AT56" i="72"/>
  <c r="AZ15" i="72"/>
  <c r="AX15" i="72"/>
  <c r="AT15" i="72"/>
  <c r="BA15" i="72"/>
  <c r="AX42" i="72"/>
  <c r="AT42" i="72"/>
  <c r="AX52" i="72"/>
  <c r="AT52" i="72"/>
  <c r="AX57" i="72"/>
  <c r="AT57" i="72"/>
  <c r="AX55" i="72"/>
  <c r="AT55" i="72"/>
  <c r="AX51" i="72"/>
  <c r="AT51" i="72"/>
  <c r="E54" i="67"/>
  <c r="M56" i="63" l="1"/>
  <c r="Y28" i="72"/>
  <c r="AJ28" i="72" s="1"/>
  <c r="Y23" i="72"/>
  <c r="AJ23" i="72" s="1"/>
  <c r="Y15" i="72"/>
  <c r="AJ15" i="72" s="1"/>
  <c r="Y33" i="72"/>
  <c r="AJ33" i="72" s="1"/>
  <c r="Y47" i="72"/>
  <c r="AJ47" i="72" s="1"/>
  <c r="Y19" i="72"/>
  <c r="AJ19" i="72" s="1"/>
  <c r="Y29" i="72"/>
  <c r="AJ29" i="72" s="1"/>
  <c r="U25" i="72"/>
  <c r="U39" i="72"/>
  <c r="Y39" i="72" s="1"/>
  <c r="U51" i="72"/>
  <c r="U42" i="72"/>
  <c r="U38" i="72"/>
  <c r="U50" i="72"/>
  <c r="U56" i="72"/>
  <c r="U48" i="72"/>
  <c r="U49" i="72"/>
  <c r="U55" i="72"/>
  <c r="U52" i="72"/>
  <c r="U34" i="72"/>
  <c r="AI58" i="72"/>
  <c r="U11" i="72"/>
  <c r="Y11" i="72" s="1"/>
  <c r="AT11" i="72"/>
  <c r="AY11" i="72" s="1"/>
  <c r="AZ11" i="72"/>
  <c r="AS58" i="72"/>
  <c r="BA11" i="72"/>
  <c r="BB42" i="72"/>
  <c r="AY32" i="72"/>
  <c r="BB49" i="72"/>
  <c r="BB55" i="72"/>
  <c r="BB57" i="72"/>
  <c r="BB56" i="72"/>
  <c r="BB33" i="72"/>
  <c r="BB29" i="72"/>
  <c r="BB51" i="72"/>
  <c r="BB25" i="72"/>
  <c r="BB15" i="72"/>
  <c r="BB23" i="72"/>
  <c r="BB38" i="72"/>
  <c r="BB52" i="72"/>
  <c r="BB34" i="72"/>
  <c r="BB39" i="72"/>
  <c r="BB19" i="72"/>
  <c r="BB32" i="72"/>
  <c r="BB48" i="72"/>
  <c r="AY38" i="72"/>
  <c r="AY39" i="72"/>
  <c r="AY50" i="72"/>
  <c r="AY19" i="72"/>
  <c r="P74" i="72"/>
  <c r="AY56" i="72"/>
  <c r="AY25" i="72"/>
  <c r="AY28" i="72"/>
  <c r="AY47" i="72"/>
  <c r="AY55" i="72"/>
  <c r="AY29" i="72"/>
  <c r="AY23" i="72"/>
  <c r="AY57" i="72"/>
  <c r="AY52" i="72"/>
  <c r="AY51" i="72"/>
  <c r="AY42" i="72"/>
  <c r="AY34" i="72"/>
  <c r="AY48" i="72"/>
  <c r="AY33" i="72"/>
  <c r="Q58" i="72"/>
  <c r="AY15" i="72"/>
  <c r="L59" i="62"/>
  <c r="H54" i="67"/>
  <c r="Y34" i="72" l="1"/>
  <c r="AJ34" i="72" s="1"/>
  <c r="Y49" i="72"/>
  <c r="AJ49" i="72" s="1"/>
  <c r="Y42" i="72"/>
  <c r="AJ42" i="72" s="1"/>
  <c r="Y55" i="72"/>
  <c r="AJ55" i="72" s="1"/>
  <c r="Y48" i="72"/>
  <c r="AJ48" i="72" s="1"/>
  <c r="Y56" i="72"/>
  <c r="AJ56" i="72" s="1"/>
  <c r="Y50" i="72"/>
  <c r="AJ50" i="72" s="1"/>
  <c r="Y38" i="72"/>
  <c r="AJ38" i="72" s="1"/>
  <c r="Y51" i="72"/>
  <c r="AJ51" i="72" s="1"/>
  <c r="Y52" i="72"/>
  <c r="AJ52" i="72" s="1"/>
  <c r="Y25" i="72"/>
  <c r="AJ25" i="72" s="1"/>
  <c r="E22" i="56"/>
  <c r="E21" i="56"/>
  <c r="AT58" i="72"/>
  <c r="U58" i="72"/>
  <c r="BB11" i="72"/>
  <c r="K100" i="72"/>
  <c r="P76" i="72"/>
  <c r="P75" i="72"/>
  <c r="K102" i="72"/>
  <c r="E41" i="68"/>
  <c r="Y58" i="72" l="1"/>
  <c r="AJ39" i="72"/>
  <c r="AJ11" i="72"/>
  <c r="P77" i="72"/>
  <c r="I54" i="67"/>
  <c r="AJ58" i="72" l="1"/>
  <c r="M104" i="72"/>
  <c r="M108" i="72"/>
  <c r="J59" i="62" l="1"/>
  <c r="F25" i="68" l="1"/>
  <c r="F14" i="68"/>
  <c r="D14" i="68"/>
  <c r="D15" i="68" s="1"/>
  <c r="G10" i="68"/>
  <c r="F15" i="68" l="1"/>
  <c r="C41" i="68" l="1"/>
  <c r="E42" i="68" s="1"/>
  <c r="F42" i="68" s="1"/>
  <c r="G25" i="68" l="1"/>
  <c r="F54" i="67"/>
  <c r="G54" i="67"/>
  <c r="G59" i="62" l="1"/>
  <c r="K101" i="72" l="1"/>
  <c r="K113" i="72" s="1"/>
  <c r="K56" i="63"/>
  <c r="H25" i="56"/>
  <c r="L56" i="63" l="1"/>
  <c r="AZ58" i="72" l="1"/>
  <c r="BA58" i="72"/>
  <c r="AX58" i="72"/>
  <c r="AY58" i="72" s="1"/>
  <c r="AX85" i="72" l="1"/>
  <c r="AW79" i="72"/>
  <c r="AX82" i="72"/>
  <c r="AW76" i="72"/>
  <c r="AX87" i="72"/>
  <c r="AW81" i="72"/>
  <c r="AX86" i="72"/>
  <c r="AW80" i="72"/>
  <c r="BB58" i="72"/>
  <c r="M112" i="72"/>
  <c r="M113" i="72" l="1"/>
  <c r="N113" i="72" s="1"/>
  <c r="AW88" i="72"/>
  <c r="AX88" i="72"/>
  <c r="E25" i="56"/>
  <c r="H26" i="56" s="1"/>
  <c r="AY88" i="7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K32" authorId="0" shapeId="0" xr:uid="{7222EC76-70EC-4323-AA16-AB501465A62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$150 bono vehicular y $50 por peajes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45" authorId="0" shapeId="0" xr:uid="{621437BA-1EC8-4388-82DD-D3DC94269A73}">
      <text>
        <r>
          <rPr>
            <b/>
            <sz val="9"/>
            <color indexed="81"/>
            <rFont val="Tahoma"/>
            <family val="2"/>
          </rPr>
          <t xml:space="preserve">LOS 144,60 SOLICITE ANTICIPO Y LE VOLVI A DESCONTAR HABRA QUE RECONOCER ESTE VALOR EN LA NOMINA DE Agosto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F41" authorId="0" shapeId="0" xr:uid="{51F96BBA-8F00-4289-8DFF-B1890F3AEF1F}">
      <text>
        <r>
          <rPr>
            <b/>
            <sz val="13"/>
            <color indexed="81"/>
            <rFont val="Tahoma"/>
            <family val="2"/>
          </rPr>
          <t>Test:</t>
        </r>
        <r>
          <rPr>
            <sz val="13"/>
            <color indexed="81"/>
            <rFont val="Tahoma"/>
            <family val="2"/>
          </rPr>
          <t xml:space="preserve">
poner el valor neto</t>
        </r>
      </text>
    </comment>
  </commentList>
</comments>
</file>

<file path=xl/sharedStrings.xml><?xml version="1.0" encoding="utf-8"?>
<sst xmlns="http://schemas.openxmlformats.org/spreadsheetml/2006/main" count="1585" uniqueCount="494">
  <si>
    <t>COOPERATIVA DE AHORRO Y CRÉDITO "LOS ANDES LATINOS" LTDA.</t>
  </si>
  <si>
    <t>No.</t>
  </si>
  <si>
    <t xml:space="preserve">NOMBRE </t>
  </si>
  <si>
    <t xml:space="preserve">SUELDO </t>
  </si>
  <si>
    <t>BONO VEHICULAR</t>
  </si>
  <si>
    <t>COMISION POR PLAZOS FIJOS</t>
  </si>
  <si>
    <t xml:space="preserve"> IESS</t>
  </si>
  <si>
    <t>VACACIONES</t>
  </si>
  <si>
    <t>ANTICP. SUELD.</t>
  </si>
  <si>
    <t>TOTAL DESCTS.</t>
  </si>
  <si>
    <t>NETO</t>
  </si>
  <si>
    <t>RECIBI CONFORME</t>
  </si>
  <si>
    <t>DIAS TRABAJADOS</t>
  </si>
  <si>
    <t>13ER. SUELDO</t>
  </si>
  <si>
    <t>FONDO DE RESERVA</t>
  </si>
  <si>
    <t>14TO. SUELDO</t>
  </si>
  <si>
    <t>TOTAL SUELDO + B.SOCIAL</t>
  </si>
  <si>
    <t>APORTE AL IESS</t>
  </si>
  <si>
    <t>AJUSTE</t>
  </si>
  <si>
    <t>Patronal 11,15%</t>
  </si>
  <si>
    <t>CCC 1%</t>
  </si>
  <si>
    <t>TOTAL</t>
  </si>
  <si>
    <t>01/MAYO/2017</t>
  </si>
  <si>
    <t>LEMA CHIRAU RAMONA MARIA</t>
  </si>
  <si>
    <t>01/JUNIO/2006</t>
  </si>
  <si>
    <t>MOROCHO YANTALEMA DINA MAGALY</t>
  </si>
  <si>
    <t>PERALTA MENDEZ LINA LISSETTE</t>
  </si>
  <si>
    <t>TADAY GUAMAN NESTOR ALONSO</t>
  </si>
  <si>
    <t>YUQUILEMA CACUANGO ANGEL JOSE</t>
  </si>
  <si>
    <t>12/ABRIL/2019</t>
  </si>
  <si>
    <t>YUQUILEMA DELGADO PEDRO ANTONIO</t>
  </si>
  <si>
    <t>06/OCTUBRE/2018</t>
  </si>
  <si>
    <t>TOTALES</t>
  </si>
  <si>
    <t>NORMAL:</t>
  </si>
  <si>
    <t>AJUSTE:</t>
  </si>
  <si>
    <t>F</t>
  </si>
  <si>
    <t>M</t>
  </si>
  <si>
    <t>01/AGOSTO/2019</t>
  </si>
  <si>
    <t>VERA GUEVARA PAOLA KARINA</t>
  </si>
  <si>
    <t>SANISACA MITE ISRAEL BENJAMIN</t>
  </si>
  <si>
    <t>04/NOVIEMBRE/2020</t>
  </si>
  <si>
    <t>DECIMO
CUARTO</t>
  </si>
  <si>
    <t>TOTAL GANADO EN EL MES
GRAVABLE</t>
  </si>
  <si>
    <t>MOROCHO DUCHI SANDRA STEPHANIE</t>
  </si>
  <si>
    <t>DECIMO TERCERO</t>
  </si>
  <si>
    <t>FONDO
RESERVAS</t>
  </si>
  <si>
    <t>ASITIMBAY CRIOLLO JOHN ANDERSON</t>
  </si>
  <si>
    <t>URQUIZO GUARANGA ALEX EFRAIN</t>
  </si>
  <si>
    <t>01/JULIO/2021</t>
  </si>
  <si>
    <t>COCA BENITEZ JORGE MANUEL</t>
  </si>
  <si>
    <t>Personal IESS</t>
  </si>
  <si>
    <t>Patronal IESS</t>
  </si>
  <si>
    <t>Gtos Banca</t>
  </si>
  <si>
    <t>Produbanco</t>
  </si>
  <si>
    <t>MALAN YUQUILEMA RAUL ALBERTO</t>
  </si>
  <si>
    <t>RECALDE NARANJO ANGEL ALEXIS</t>
  </si>
  <si>
    <t>18/ENERO/2022</t>
  </si>
  <si>
    <t>BONO CUMPLIMIENTO</t>
  </si>
  <si>
    <t>COMISIÓN META</t>
  </si>
  <si>
    <t>GUALACEO ÑAMO JONATHAN IVAN</t>
  </si>
  <si>
    <t>17/MARZO/2022</t>
  </si>
  <si>
    <t>BETUN CHAFLA JULIO CESAR</t>
  </si>
  <si>
    <t>GARCIA VERA HENRY LUIS</t>
  </si>
  <si>
    <t>14/JUNIO/2022</t>
  </si>
  <si>
    <t>VALOR EN HORAS EXTRAS</t>
  </si>
  <si>
    <t>GUAYANLEMA RUIZ EDINSON DAVID</t>
  </si>
  <si>
    <t>MARSHALL VEGA YULIANA LISSETT</t>
  </si>
  <si>
    <t>COM. SOCIOS NUEVOS Y COLOCACION</t>
  </si>
  <si>
    <t>MALAN DELGADO JOSE ALBERTO</t>
  </si>
  <si>
    <t>ÑAMO GUALACEO BRYAN JAVIER</t>
  </si>
  <si>
    <t>21/JULIO/2022</t>
  </si>
  <si>
    <t>01/OCTUBRE/2022</t>
  </si>
  <si>
    <t>13/OCTUBRE/2022</t>
  </si>
  <si>
    <t>TIGUA MONTERO KAREN LISBETH</t>
  </si>
  <si>
    <t>GÉNERO</t>
  </si>
  <si>
    <t>AGENCIA</t>
  </si>
  <si>
    <t>QUITO UCHUBANDA JANETH ALEXANDRA</t>
  </si>
  <si>
    <t>CHACAGUASAY CHACAGUASAY ROBERTH CRISTHIAN</t>
  </si>
  <si>
    <t>01/MARZO/2023</t>
  </si>
  <si>
    <t>BARAHONA ZAMBRANO DAYANA NICOLE</t>
  </si>
  <si>
    <t>27/ABRIL/2023</t>
  </si>
  <si>
    <t>FLORES HERRERA WENDY DEL CISNE</t>
  </si>
  <si>
    <t>SALAO PEREZ GERMAN FABRICIO</t>
  </si>
  <si>
    <t>01/MAYO/2023</t>
  </si>
  <si>
    <t>CEDULA</t>
  </si>
  <si>
    <t>ROL INDIVIDUAL</t>
  </si>
  <si>
    <t>INGRESOS</t>
  </si>
  <si>
    <t>VALOR</t>
  </si>
  <si>
    <t>SUELDO BÁSICO COOPERATIVA</t>
  </si>
  <si>
    <t>BONO MOVILIZACION</t>
  </si>
  <si>
    <t>CUENTAS POR COBRAR</t>
  </si>
  <si>
    <t>COMISION POR SUPERAR LA META</t>
  </si>
  <si>
    <t>HORAS EXTRAS 50%</t>
  </si>
  <si>
    <t>HORAS EXTRAS 100%</t>
  </si>
  <si>
    <t>DECIMO CUARTO</t>
  </si>
  <si>
    <t>TOTAL EGRESOS</t>
  </si>
  <si>
    <t>VALOR NETO A RECIBIR</t>
  </si>
  <si>
    <t xml:space="preserve">Identificación: </t>
  </si>
  <si>
    <t>Nombres:</t>
  </si>
  <si>
    <t>Cargo:</t>
  </si>
  <si>
    <t>TOTAL DE INGRESOS</t>
  </si>
  <si>
    <t xml:space="preserve">Oficina: </t>
  </si>
  <si>
    <t>FECHA DE INGRESO</t>
  </si>
  <si>
    <t>CARGO</t>
  </si>
  <si>
    <t>Matriz</t>
  </si>
  <si>
    <t xml:space="preserve"> JEFE DE MARKETING</t>
  </si>
  <si>
    <t>CAJERO FINANCIERO</t>
  </si>
  <si>
    <t>Norte</t>
  </si>
  <si>
    <t>EJECUTIVO DE CAPTACIONES</t>
  </si>
  <si>
    <t>ANALISTA DE RIESGO</t>
  </si>
  <si>
    <t>Durán</t>
  </si>
  <si>
    <t>ASESOR LEGAL</t>
  </si>
  <si>
    <t>OFICIAL DE CUMPLIMIENTO</t>
  </si>
  <si>
    <t>JEFE DE AGENCIA</t>
  </si>
  <si>
    <t>JEFE DE CAPTACIONES</t>
  </si>
  <si>
    <t>JEFE DE BOVEDA</t>
  </si>
  <si>
    <t>CONTADOR GENERAL</t>
  </si>
  <si>
    <t>EGRESOS</t>
  </si>
  <si>
    <t>FECHA DE
 INGRESO</t>
  </si>
  <si>
    <t>DIAS 
TRABAJADOS</t>
  </si>
  <si>
    <t>SUELDO</t>
  </si>
  <si>
    <t>BONO 
VEHICULAR</t>
  </si>
  <si>
    <t>INGRESOS APORTE AL IESS</t>
  </si>
  <si>
    <t>TOTAL DE Ingresos</t>
  </si>
  <si>
    <t>DEPARTAMENTOS RECIBEN BONO</t>
  </si>
  <si>
    <t>BONOS</t>
  </si>
  <si>
    <t>HORAS TRABAJADAS</t>
  </si>
  <si>
    <t>TOTAL SOBRETIEMPO</t>
  </si>
  <si>
    <t>NO</t>
  </si>
  <si>
    <t xml:space="preserve">CEDULA </t>
  </si>
  <si>
    <t>Agencia</t>
  </si>
  <si>
    <t>Cantidad</t>
  </si>
  <si>
    <t>Cantidad2</t>
  </si>
  <si>
    <t>US$</t>
  </si>
  <si>
    <t>NOMBRES Y APELLIDOS</t>
  </si>
  <si>
    <t>Sucursal</t>
  </si>
  <si>
    <t>SI</t>
  </si>
  <si>
    <t>NUT</t>
  </si>
  <si>
    <t>REPORTE DE FONDOS DE RESERVA</t>
  </si>
  <si>
    <t>No</t>
  </si>
  <si>
    <t>cedula</t>
  </si>
  <si>
    <t>Fecha de
 Solicitud</t>
  </si>
  <si>
    <t>DIAS</t>
  </si>
  <si>
    <t>INGRESO APORTE AL IESS</t>
  </si>
  <si>
    <t>ACUMULA</t>
  </si>
  <si>
    <t>FECHA:</t>
  </si>
  <si>
    <t>NOMBRE:</t>
  </si>
  <si>
    <t>SUELDO:</t>
  </si>
  <si>
    <t>CARGO:</t>
  </si>
  <si>
    <t>FECHA DE INGRESO:</t>
  </si>
  <si>
    <t>TIPO DE SOLICITUD:</t>
  </si>
  <si>
    <t>TABLA - FORMA DE PAGO</t>
  </si>
  <si>
    <t>ANTICIPO</t>
  </si>
  <si>
    <t># CUOTA</t>
  </si>
  <si>
    <t>FECHA</t>
  </si>
  <si>
    <t>PRESTAMO</t>
  </si>
  <si>
    <t>SOLICITUD DE # CUOTAS A DESCONTAR</t>
  </si>
  <si>
    <t>OBSERVACIONES</t>
  </si>
  <si>
    <t>FIRMA DEL SOLICITANTE</t>
  </si>
  <si>
    <t>ELABORADO POR</t>
  </si>
  <si>
    <t>C.I.</t>
  </si>
  <si>
    <t>DEPARTAMENTO DE RRHH</t>
  </si>
  <si>
    <t>APROBADO POR</t>
  </si>
  <si>
    <t>GERENCIA</t>
  </si>
  <si>
    <t>ANTICIPO A SUELDO</t>
  </si>
  <si>
    <t>BONO POR CUMPLIMIENTO</t>
  </si>
  <si>
    <t>CUENTAS POR COBRAR A EMPLEADO</t>
  </si>
  <si>
    <t>Trabajador(a):</t>
  </si>
  <si>
    <t>Inicio:</t>
  </si>
  <si>
    <t>Fecha de ingreso:</t>
  </si>
  <si>
    <t>Fin:</t>
  </si>
  <si>
    <t>Sueldo:</t>
  </si>
  <si>
    <t>Total de dias</t>
  </si>
  <si>
    <t>Subsidio:</t>
  </si>
  <si>
    <t>Maternidad</t>
  </si>
  <si>
    <t>Calculo para el Pago:</t>
  </si>
  <si>
    <t>Sueldo Promedio Diario:</t>
  </si>
  <si>
    <t>(1-3 dias)</t>
  </si>
  <si>
    <t>Promedio Diario (25%):</t>
  </si>
  <si>
    <t>(4-70 dias)</t>
  </si>
  <si>
    <t>Nº</t>
  </si>
  <si>
    <t>Periodo</t>
  </si>
  <si>
    <t>Pocentajes</t>
  </si>
  <si>
    <t>Num. Dias</t>
  </si>
  <si>
    <t>Valor</t>
  </si>
  <si>
    <t>Desde</t>
  </si>
  <si>
    <t>Hasta</t>
  </si>
  <si>
    <t>ROL PROPORCIONAL</t>
  </si>
  <si>
    <t>APORTE INDIVIDUAL AL IESS 9.45</t>
  </si>
  <si>
    <t>COMISION POR SOCIOS NUEVOS</t>
  </si>
  <si>
    <t>TOTAL INGRESOS</t>
  </si>
  <si>
    <t xml:space="preserve"> CALCULO BONO VEHICULAR</t>
  </si>
  <si>
    <t>TOTAL POR VARIACION</t>
  </si>
  <si>
    <t>EXT. SALUD</t>
  </si>
  <si>
    <t>PENSION
ALIMENTICIA</t>
  </si>
  <si>
    <t>JANETA RUIZ ALEXANDRA DEL ROCIO</t>
  </si>
  <si>
    <t xml:space="preserve">  </t>
  </si>
  <si>
    <t>SUBSIDIOS
MONETARIO</t>
  </si>
  <si>
    <t>EJECUTIVO DE RECAUDACION</t>
  </si>
  <si>
    <t>Columna1</t>
  </si>
  <si>
    <t>NOMINA AGOSTO 2023</t>
  </si>
  <si>
    <t>JEFE DE RECAUDACIÓN</t>
  </si>
  <si>
    <t>DEL CORTE DEL 01 DE AGOSTO  AL 31 DE  AGOSTO DEL 2023</t>
  </si>
  <si>
    <t>US$,</t>
  </si>
  <si>
    <t>US$,,</t>
  </si>
  <si>
    <t>GALAN LEMACHE INGRID GISELA</t>
  </si>
  <si>
    <t>BACK UP ADMINISTRATIVO  FINANCIERO</t>
  </si>
  <si>
    <t>Comisiones</t>
  </si>
  <si>
    <t>Horas Extras</t>
  </si>
  <si>
    <t xml:space="preserve"> CALCULO DE APERTURA CUENTA- COLOCACIONES - PLAZO FIJO</t>
  </si>
  <si>
    <t>14°</t>
  </si>
  <si>
    <t>13°</t>
  </si>
  <si>
    <t>FR</t>
  </si>
  <si>
    <t>Sueldo</t>
  </si>
  <si>
    <t>Subsidios</t>
  </si>
  <si>
    <t>Ext Salud</t>
  </si>
  <si>
    <t>Pens Alimen</t>
  </si>
  <si>
    <t>Ctas x Cobrar</t>
  </si>
  <si>
    <t>Anticipo</t>
  </si>
  <si>
    <t>Remunerac</t>
  </si>
  <si>
    <t>Apor Personal</t>
  </si>
  <si>
    <t>Vacaciones</t>
  </si>
  <si>
    <t>Aporte 11.15%</t>
  </si>
  <si>
    <t>Aporte 1%</t>
  </si>
  <si>
    <t>FONDO DE 
RESERVA</t>
  </si>
  <si>
    <t>Tiene
Derecho</t>
  </si>
  <si>
    <t>FECHA DE 
INGRESO.</t>
  </si>
  <si>
    <t>Tiene Solicitud de Acum.</t>
  </si>
  <si>
    <t>Etiquetas de fila</t>
  </si>
  <si>
    <t>NEVAREZ PEÑAFIEL EVELYN JULEXY</t>
  </si>
  <si>
    <t>TALENTO HUMANO</t>
  </si>
  <si>
    <t>AGENCIA:</t>
  </si>
  <si>
    <t>Elaborado por:</t>
  </si>
  <si>
    <t>Recibí Conforme:</t>
  </si>
  <si>
    <t xml:space="preserve">Ing. Magaly  Morocho </t>
  </si>
  <si>
    <t>Talento Humano</t>
  </si>
  <si>
    <t>Funcionario</t>
  </si>
  <si>
    <t>HIDALGO CHERRES NESTOR VLADIMIR</t>
  </si>
  <si>
    <t>SOCIOS NUEVOS</t>
  </si>
  <si>
    <t>APERTURA</t>
  </si>
  <si>
    <t>APERT+CRÉD</t>
  </si>
  <si>
    <t>TOTAL COMISIÓN</t>
  </si>
  <si>
    <t>GUAPI YUMAGLLA OSCAR EDUARDO</t>
  </si>
  <si>
    <t>BONO BOLETOS</t>
  </si>
  <si>
    <t>COMISIONES</t>
  </si>
  <si>
    <t>0919306050</t>
  </si>
  <si>
    <t>MORAN GARCIA DANNY FAVIAN</t>
  </si>
  <si>
    <t>COM. POR CARGO</t>
  </si>
  <si>
    <t>(en blanco)</t>
  </si>
  <si>
    <t>MONTOS</t>
  </si>
  <si>
    <t>MUÑOZ MOLINA VERONICA PATRICIA</t>
  </si>
  <si>
    <t>YUNDA CUJILEMA MARIA TERESA</t>
  </si>
  <si>
    <t>JEFE DE CRÉDITO</t>
  </si>
  <si>
    <t>BONO CUMP</t>
  </si>
  <si>
    <t xml:space="preserve"> CRÉD-INV</t>
  </si>
  <si>
    <t>COMISIÓN SUP. META</t>
  </si>
  <si>
    <t xml:space="preserve"> CÁLCULO DE HORAS EXTRAS</t>
  </si>
  <si>
    <t xml:space="preserve"> CÁLCULO DE COMISIONES POR APERTURA</t>
  </si>
  <si>
    <t xml:space="preserve"> CÁLCULO DE COMISIONES (METAS, BONOS,ETC)</t>
  </si>
  <si>
    <t>Pocentaje</t>
  </si>
  <si>
    <t>QUITO CALDERON JONATHAN ENRIQUE</t>
  </si>
  <si>
    <t>GARCIA VERA HENRY  LUIS</t>
  </si>
  <si>
    <t>GUALACEO ÑAMO JONATHAN IVÁN</t>
  </si>
  <si>
    <t>TADAY GUAMAN NÉSTOR ALONSO</t>
  </si>
  <si>
    <t>PRESTAMO PQ- HIP</t>
  </si>
  <si>
    <t>PRÉSTAMOS QUIROGRAFARIOS E HIPOTECARIOS</t>
  </si>
  <si>
    <t>DESCUENTO POR PÉRDIDA DE EQUIPO MÓVIL</t>
  </si>
  <si>
    <t>FIRMAS Y/O AUTORIZACIÓN</t>
  </si>
  <si>
    <t>Autorizo a la empresa Coac Los Andes Latinos LTDA., a descontar mediante mi rol de pago mensual o en mi liquidación de haberes de ser el caso</t>
  </si>
  <si>
    <t>ANTICIPOS AL PERSONAL</t>
  </si>
  <si>
    <t>1.6.90.05</t>
  </si>
  <si>
    <t>Saldo</t>
  </si>
  <si>
    <t>Cuenta</t>
  </si>
  <si>
    <t>Codigo</t>
  </si>
  <si>
    <t>Consolidado</t>
  </si>
  <si>
    <t>Oficina:</t>
  </si>
  <si>
    <t>N°</t>
  </si>
  <si>
    <t>ROL PROPORCIONAL JUNIO 2024</t>
  </si>
  <si>
    <t>FUELA TOABANDA JOSUE CHRISTIAN</t>
  </si>
  <si>
    <t>1</t>
  </si>
  <si>
    <t>MEZA RODRIGUEZ MICHAEL FERNANDO</t>
  </si>
  <si>
    <t>0943906032</t>
  </si>
  <si>
    <r>
      <rPr>
        <sz val="6"/>
        <rFont val="Arial MT"/>
        <family val="2"/>
      </rPr>
      <t>YUQUILEMA DELGADO PEDRO ANTONIO</t>
    </r>
  </si>
  <si>
    <r>
      <rPr>
        <sz val="6"/>
        <rFont val="Arial MT"/>
        <family val="2"/>
      </rPr>
      <t>YUQUILEMA CACUANGO ANGEL JOSE</t>
    </r>
  </si>
  <si>
    <r>
      <rPr>
        <sz val="6"/>
        <rFont val="Arial MT"/>
        <family val="2"/>
      </rPr>
      <t>YUNDA CUJILEMA MARIA TERESA</t>
    </r>
  </si>
  <si>
    <r>
      <rPr>
        <sz val="6"/>
        <rFont val="Arial MT"/>
        <family val="2"/>
      </rPr>
      <t>YAUTIBUG NAULA EDISON DAVID</t>
    </r>
  </si>
  <si>
    <r>
      <rPr>
        <sz val="6"/>
        <rFont val="Arial MT"/>
        <family val="2"/>
      </rPr>
      <t>VILLEGAS MOREIRA JENNIFFER ESTEFANIA</t>
    </r>
  </si>
  <si>
    <r>
      <rPr>
        <sz val="6"/>
        <rFont val="Arial MT"/>
        <family val="2"/>
      </rPr>
      <t>VERA GUEVARA PAOLA KARINA</t>
    </r>
  </si>
  <si>
    <r>
      <rPr>
        <sz val="6"/>
        <rFont val="Arial MT"/>
        <family val="2"/>
      </rPr>
      <t>URQUIZO GUARANGA ALEX EFRAIN</t>
    </r>
  </si>
  <si>
    <r>
      <rPr>
        <sz val="6"/>
        <rFont val="Arial MT"/>
        <family val="2"/>
      </rPr>
      <t>TIGUA MONTERO KAREN LISBETH</t>
    </r>
  </si>
  <si>
    <r>
      <rPr>
        <sz val="6"/>
        <rFont val="Arial MT"/>
        <family val="2"/>
      </rPr>
      <t>TADAY GUAMAN NESTOR ALONSO</t>
    </r>
  </si>
  <si>
    <r>
      <rPr>
        <sz val="6"/>
        <rFont val="Arial MT"/>
        <family val="2"/>
      </rPr>
      <t>SANUNGA TOTOY PAOLA ISABEL</t>
    </r>
  </si>
  <si>
    <r>
      <rPr>
        <sz val="6"/>
        <rFont val="Arial MT"/>
        <family val="2"/>
      </rPr>
      <t>SANISACA MITE ISRAEL BENJAMIN</t>
    </r>
  </si>
  <si>
    <r>
      <rPr>
        <sz val="6"/>
        <rFont val="Arial MT"/>
        <family val="2"/>
      </rPr>
      <t>SALAO PEREZ GERMAN FABRICIO</t>
    </r>
  </si>
  <si>
    <r>
      <rPr>
        <sz val="6"/>
        <rFont val="Arial MT"/>
        <family val="2"/>
      </rPr>
      <t>QUITO UCHUBANDA JANETH ALEXANDRA</t>
    </r>
  </si>
  <si>
    <r>
      <rPr>
        <sz val="6"/>
        <rFont val="Arial MT"/>
        <family val="2"/>
      </rPr>
      <t>QUITO CALDERON JONATHAN ENRIQUE</t>
    </r>
  </si>
  <si>
    <r>
      <rPr>
        <sz val="6"/>
        <rFont val="Arial MT"/>
        <family val="2"/>
      </rPr>
      <t>PERALTA MENDEZ LINA LISSETTE</t>
    </r>
  </si>
  <si>
    <r>
      <rPr>
        <sz val="6"/>
        <rFont val="Arial MT"/>
        <family val="2"/>
      </rPr>
      <t>ÑAMO GUALACEO BRYAN JAVIER</t>
    </r>
  </si>
  <si>
    <r>
      <rPr>
        <sz val="6"/>
        <rFont val="Arial MT"/>
        <family val="2"/>
      </rPr>
      <t>MOROCHO DUCHI SANDRA STEPHANIE</t>
    </r>
  </si>
  <si>
    <r>
      <rPr>
        <sz val="6"/>
        <rFont val="Arial MT"/>
        <family val="2"/>
      </rPr>
      <t>MARSHALL VEGA YULIANA LISSETT</t>
    </r>
  </si>
  <si>
    <r>
      <rPr>
        <sz val="6"/>
        <rFont val="Arial MT"/>
        <family val="2"/>
      </rPr>
      <t>MALAN YUQUILEMA RAUL ALBERTO</t>
    </r>
  </si>
  <si>
    <r>
      <rPr>
        <sz val="6"/>
        <rFont val="Arial MT"/>
        <family val="2"/>
      </rPr>
      <t>MALAN DELGADO JOSE ALBERTO</t>
    </r>
  </si>
  <si>
    <r>
      <rPr>
        <sz val="6"/>
        <rFont val="Arial MT"/>
        <family val="2"/>
      </rPr>
      <t>LLUMI YUQUILEMA JOSE LUIS</t>
    </r>
  </si>
  <si>
    <r>
      <rPr>
        <sz val="6"/>
        <rFont val="Arial MT"/>
        <family val="2"/>
      </rPr>
      <t>LEMA CHIRAU RAMONA MARIA</t>
    </r>
  </si>
  <si>
    <r>
      <rPr>
        <sz val="6"/>
        <rFont val="Arial MT"/>
        <family val="2"/>
      </rPr>
      <t>JANETA RUIZ ALEXANDRA DEL ROCIO</t>
    </r>
  </si>
  <si>
    <r>
      <rPr>
        <sz val="6"/>
        <rFont val="Arial MT"/>
        <family val="2"/>
      </rPr>
      <t>HIDALGO CHERRES NESTOR VLADIMIR</t>
    </r>
  </si>
  <si>
    <r>
      <rPr>
        <sz val="6"/>
        <rFont val="Arial MT"/>
        <family val="2"/>
      </rPr>
      <t>GUAYANLEMA RUIZ EDINSON DAVID</t>
    </r>
  </si>
  <si>
    <r>
      <rPr>
        <sz val="6"/>
        <rFont val="Arial MT"/>
        <family val="2"/>
      </rPr>
      <t>GUARANDA QUITIO BRYAN ESTEVEN</t>
    </r>
  </si>
  <si>
    <r>
      <rPr>
        <sz val="6"/>
        <rFont val="Arial MT"/>
        <family val="2"/>
      </rPr>
      <t>GUAPI YUMAGLLA OSCAR EDUARDO</t>
    </r>
  </si>
  <si>
    <r>
      <rPr>
        <sz val="6"/>
        <rFont val="Arial MT"/>
        <family val="2"/>
      </rPr>
      <t>GUALACEO ÑAMO JONATHAN IVAN</t>
    </r>
  </si>
  <si>
    <r>
      <rPr>
        <sz val="6"/>
        <rFont val="Arial MT"/>
        <family val="2"/>
      </rPr>
      <t>GALAN LEMACHE INGRID GISELA</t>
    </r>
  </si>
  <si>
    <r>
      <rPr>
        <sz val="6"/>
        <rFont val="Arial MT"/>
        <family val="2"/>
      </rPr>
      <t>FLORES HERRERA WENDY DEL CISNE</t>
    </r>
  </si>
  <si>
    <r>
      <rPr>
        <sz val="6"/>
        <rFont val="Arial MT"/>
        <family val="2"/>
      </rPr>
      <t>CHACAGUASAY CHACAGUASAY ROBERTH</t>
    </r>
  </si>
  <si>
    <r>
      <rPr>
        <sz val="6"/>
        <rFont val="Arial MT"/>
        <family val="2"/>
      </rPr>
      <t>CALDERON QUITO OSCAR JAVIER</t>
    </r>
  </si>
  <si>
    <r>
      <rPr>
        <sz val="6"/>
        <rFont val="Arial MT"/>
        <family val="2"/>
      </rPr>
      <t>BETUN CHAFLA JULIO CESAR</t>
    </r>
  </si>
  <si>
    <t>MOREIRA ESPINOZA LINDA ELIZABETH</t>
  </si>
  <si>
    <t>Cliente</t>
  </si>
  <si>
    <t>Identificación</t>
  </si>
  <si>
    <t>Nombre Cliente</t>
  </si>
  <si>
    <t>Deuda
Inicial</t>
  </si>
  <si>
    <t>DESCONTADO?</t>
  </si>
  <si>
    <t>FIR</t>
  </si>
  <si>
    <t>N° CUOTAS</t>
  </si>
  <si>
    <t>DESC. MENSUAL</t>
  </si>
  <si>
    <t>0940991987</t>
  </si>
  <si>
    <t>0925813685</t>
  </si>
  <si>
    <t xml:space="preserve">TOTAL GENERAL : </t>
  </si>
  <si>
    <t>SEPT</t>
  </si>
  <si>
    <t>OCT</t>
  </si>
  <si>
    <t xml:space="preserve">NOV </t>
  </si>
  <si>
    <t>DIC</t>
  </si>
  <si>
    <t xml:space="preserve">PERALTA MENDEZ LINA LISSETTE </t>
  </si>
  <si>
    <t>0941235376</t>
  </si>
  <si>
    <t>LEMA CHIRAU MARIA</t>
  </si>
  <si>
    <t>YUQUILEMA PEDRO</t>
  </si>
  <si>
    <t>AGOSTO</t>
  </si>
  <si>
    <t>EXTRAORD</t>
  </si>
  <si>
    <t>SUPL</t>
  </si>
  <si>
    <t>PERSONAL</t>
  </si>
  <si>
    <t>-</t>
  </si>
  <si>
    <t>HORA
SALIDA</t>
  </si>
  <si>
    <t>DIA REPORTADO</t>
  </si>
  <si>
    <t>REPORTE FEBRERO</t>
  </si>
  <si>
    <t>CI</t>
  </si>
  <si>
    <t>C*C</t>
  </si>
  <si>
    <t>Total general</t>
  </si>
  <si>
    <t>Suma de VALOR</t>
  </si>
  <si>
    <t>CONVERSION 50%</t>
  </si>
  <si>
    <t>CONVERSION 100%</t>
  </si>
  <si>
    <t>ASESOR DE NEGOCIOS</t>
  </si>
  <si>
    <t>OFICIAL DE COBRANZAS</t>
  </si>
  <si>
    <t>ASESOR DE CAPTACIONES</t>
  </si>
  <si>
    <t>JEFE TI</t>
  </si>
  <si>
    <t>JEFE DE COBRANZAS</t>
  </si>
  <si>
    <t>MATERNIDAD</t>
  </si>
  <si>
    <t>NOTAS DE CRÉDITO IESS</t>
  </si>
  <si>
    <t>Cuadre</t>
  </si>
  <si>
    <t>Personal</t>
  </si>
  <si>
    <t>Patronal</t>
  </si>
  <si>
    <t>Remuneración</t>
  </si>
  <si>
    <t>Colaborador</t>
  </si>
  <si>
    <t>…...</t>
  </si>
  <si>
    <t>Diferencia</t>
  </si>
  <si>
    <t>Prestamos Q/H</t>
  </si>
  <si>
    <t>06-03-2024</t>
  </si>
  <si>
    <t>ENERO</t>
  </si>
  <si>
    <t>FEBRERO</t>
  </si>
  <si>
    <t>MARZO</t>
  </si>
  <si>
    <t>ABRIL</t>
  </si>
  <si>
    <t>PAOLA</t>
  </si>
  <si>
    <t>INGRID</t>
  </si>
  <si>
    <t>GUAPI</t>
  </si>
  <si>
    <t>MIO</t>
  </si>
  <si>
    <t>MAYO</t>
  </si>
  <si>
    <t>JUNIO</t>
  </si>
  <si>
    <t>JULIO</t>
  </si>
  <si>
    <t xml:space="preserve">BENEFICIOS SOCIALES </t>
  </si>
  <si>
    <t xml:space="preserve">       ROL DE PAGOS</t>
  </si>
  <si>
    <t xml:space="preserve">No. días: </t>
  </si>
  <si>
    <t>Bono General Mensual</t>
  </si>
  <si>
    <t>Bono cumplimiento</t>
  </si>
  <si>
    <t>Bono Movilización</t>
  </si>
  <si>
    <t>0950929232</t>
  </si>
  <si>
    <t>0956796767</t>
  </si>
  <si>
    <t>0954520599</t>
  </si>
  <si>
    <t>0924232804</t>
  </si>
  <si>
    <t>0927257576</t>
  </si>
  <si>
    <t>0928901800</t>
  </si>
  <si>
    <t>Sueldo básico cooperativa</t>
  </si>
  <si>
    <t>Comisión por cumplimiento de meta</t>
  </si>
  <si>
    <t>Comisión por Depósito a Plazo Fijo</t>
  </si>
  <si>
    <t>Comisión socios nuevos</t>
  </si>
  <si>
    <t>Horas Extras 50%</t>
  </si>
  <si>
    <t>Horas Extras 100%</t>
  </si>
  <si>
    <t>Fondo de Reserva</t>
  </si>
  <si>
    <t>Décimo Tercero</t>
  </si>
  <si>
    <t>Décimo Cuarto</t>
  </si>
  <si>
    <t>Aporte Individual IESS 9.45%</t>
  </si>
  <si>
    <t>Préstamos Quirografarios o Hipotecarios</t>
  </si>
  <si>
    <t>Subsidio Monetario</t>
  </si>
  <si>
    <t>Extensión de Salud</t>
  </si>
  <si>
    <t>Pensión alimenticia</t>
  </si>
  <si>
    <t>Cuentas por cobrar</t>
  </si>
  <si>
    <t>Anticipo de Sueldo</t>
  </si>
  <si>
    <t>Fondo de reserva ajuste</t>
  </si>
  <si>
    <t>Fondo de Reserva Bono</t>
  </si>
  <si>
    <t>GUARANDA QUITIO BRYAN</t>
  </si>
  <si>
    <t>Bono mensual (2.174%)</t>
  </si>
  <si>
    <t>FONDO DE RESERVA (BONO NAVIDEÑO)</t>
  </si>
  <si>
    <t>ENFERMEDAD GENERAL</t>
  </si>
  <si>
    <t>ROL PROPORCIONAL FEBRERO 2025</t>
  </si>
  <si>
    <t>RET IMP A LA RENTA</t>
  </si>
  <si>
    <t>Ret Imp. A la Renta</t>
  </si>
  <si>
    <t>Descuentos</t>
  </si>
  <si>
    <t>anticipo</t>
  </si>
  <si>
    <t>descuento</t>
  </si>
  <si>
    <t>COCA BENITEZ JORGE</t>
  </si>
  <si>
    <t>NAULA CRIOLLO CINTHYA ABIGAIL</t>
  </si>
  <si>
    <t>LLUMI YUQUILEMA MAYCOOL DANNY</t>
  </si>
  <si>
    <t>DSCTOS</t>
  </si>
  <si>
    <t>Fondo de Reserva (ajustes)</t>
  </si>
  <si>
    <t>Dscto por pérdida de bien</t>
  </si>
  <si>
    <t>DESCUENTO POR PÉRDIDA DE EQUIPO MÓVIL ( Celular)</t>
  </si>
  <si>
    <t>DESCUENTO POR PÉRDIDA DE EQUIPO MÓVIL ( Impresora)</t>
  </si>
  <si>
    <t>LEMA TADAY BRAYAN WIDINSON</t>
  </si>
  <si>
    <t>Retención del Personal</t>
  </si>
  <si>
    <t>DEFAS CHICAIZA JOEL ALBERTO</t>
  </si>
  <si>
    <t>0932036049</t>
  </si>
  <si>
    <t>HERRERA JIMENEZ CAROLINA ADELIHER</t>
  </si>
  <si>
    <t>ASISTENTE DE OPERACIONES</t>
  </si>
  <si>
    <t>anticipo de sueldo</t>
  </si>
  <si>
    <t>Comisión por superación  de meta</t>
  </si>
  <si>
    <t xml:space="preserve">MOROCHO YANTALEMA DINA </t>
  </si>
  <si>
    <t>CHIMBOLEMA YUNGAN MARIO EFRAIN</t>
  </si>
  <si>
    <t>0923715692</t>
  </si>
  <si>
    <t>ORELLANA MANZO WHITNEY YAILYN</t>
  </si>
  <si>
    <t>OFICIAL DE SEGURIDAD DE LA INFORMACIÓN</t>
  </si>
  <si>
    <t>1.6.90.05.16</t>
  </si>
  <si>
    <t>0925830689</t>
  </si>
  <si>
    <t>LEMA TADAY BRAYAN</t>
  </si>
  <si>
    <t>NÓMINA SEPTIEMBRE 2025</t>
  </si>
  <si>
    <t>NÓMINA  SEPTIEMBRE 2025</t>
  </si>
  <si>
    <t>Fecha:
30-09-2025</t>
  </si>
  <si>
    <t>1.6.90.05.04</t>
  </si>
  <si>
    <t>1.6.90.05.07</t>
  </si>
  <si>
    <t>1.6.90.05.10</t>
  </si>
  <si>
    <t>1.6.90.05.15</t>
  </si>
  <si>
    <t>1.6.90.05.17</t>
  </si>
  <si>
    <t>1.6.90.05.20</t>
  </si>
  <si>
    <t>1.6.90.05.21</t>
  </si>
  <si>
    <t>1.6.90.05.31</t>
  </si>
  <si>
    <t>1.6.90.05.33</t>
  </si>
  <si>
    <t>1.6.90.05.34</t>
  </si>
  <si>
    <t>1.6.90.05.35</t>
  </si>
  <si>
    <t>1.6.90.05.37</t>
  </si>
  <si>
    <t>1.6.90.05.39</t>
  </si>
  <si>
    <t>1.6.90.05.40</t>
  </si>
  <si>
    <t>1.6.90.05.42</t>
  </si>
  <si>
    <t>1.6.90.05.43</t>
  </si>
  <si>
    <t>1.6.90.05.45</t>
  </si>
  <si>
    <t>1.6.90.05.46</t>
  </si>
  <si>
    <t>1.6.90.05.50</t>
  </si>
  <si>
    <t>1.6.90.05.52</t>
  </si>
  <si>
    <t>1.6.90.05.58</t>
  </si>
  <si>
    <t>1.6.90.05.64</t>
  </si>
  <si>
    <t>1.6.90.05.65</t>
  </si>
  <si>
    <t>1.6.90.05.69</t>
  </si>
  <si>
    <t>1.6.90.05.95</t>
  </si>
  <si>
    <t>NOMINA SEPTIEMBRE 2025</t>
  </si>
  <si>
    <t>OFICIAL DE RECAUDACIONES</t>
  </si>
  <si>
    <t>ASISTENTE CONTABLE</t>
  </si>
  <si>
    <t>JEFE DE CREDITO</t>
  </si>
  <si>
    <t xml:space="preserve"> MES DE OCTUBRE 2025</t>
  </si>
  <si>
    <t>ROL PROPORCIONAL OCTUBRE 2024</t>
  </si>
  <si>
    <t>NÓMINA OCTUBRE 2025</t>
  </si>
  <si>
    <t>1.6.90.05.02</t>
  </si>
  <si>
    <t>1.6.90.05.08</t>
  </si>
  <si>
    <t>DEL ROSARIO RODRIGUEZ JUDY ANGELICA</t>
  </si>
  <si>
    <t>1.6.90.05.13</t>
  </si>
  <si>
    <t>NÓMINA OCTUBRE2025</t>
  </si>
  <si>
    <t>PEREZ ZAMORA ANA DE LOS ANGELES</t>
  </si>
  <si>
    <t>0943964973</t>
  </si>
  <si>
    <t>CHACAGUASAY GUAMAN KEVIN NEHEMIAS</t>
  </si>
  <si>
    <t>CHOCA CEPEDA INES VIVIANA</t>
  </si>
  <si>
    <t>CORO YUQUILEMA RUTH NOEMI</t>
  </si>
  <si>
    <t>0918741448</t>
  </si>
  <si>
    <t>SUELDO BRUTO</t>
  </si>
  <si>
    <t>CAJERA FINANCIERA</t>
  </si>
  <si>
    <t>ANTICIPOS AL PERSONAL OCTUBRE 2025</t>
  </si>
  <si>
    <t>CORO YUQUILEMA RUT NOEMI</t>
  </si>
  <si>
    <t>1.6.90.05.06</t>
  </si>
  <si>
    <t>1.6.90.05.57</t>
  </si>
  <si>
    <t>1.6.90.05.70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</si>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</sst>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;[Red]&quot;$&quot;\-#,##0.00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0000000000"/>
    <numFmt numFmtId="165" formatCode="[$-1540A]dd\-mmm\-yy;@"/>
    <numFmt numFmtId="166" formatCode="_(&quot;$&quot;* #,##0.00_);_(&quot;$&quot;* \(#,##0.00\);_(&quot;$&quot;* &quot;-&quot;??_);_(@_)"/>
    <numFmt numFmtId="167" formatCode="_(&quot;$&quot;\ * #,##0.00_);_(&quot;$&quot;\ * \(#,##0.00\);_(&quot;$&quot;\ * &quot;-&quot;??_);_(@_)"/>
    <numFmt numFmtId="168" formatCode="#0"/>
    <numFmt numFmtId="169" formatCode="#0.00"/>
    <numFmt numFmtId="170" formatCode="[$-1540A]m/d/yyyy;@"/>
    <numFmt numFmtId="171" formatCode="dd/mm/yyyy;@"/>
    <numFmt numFmtId="172" formatCode="&quot;$&quot;#,##0.00"/>
    <numFmt numFmtId="173" formatCode="[$-10C0A]#,##0.00;\-#,##0.00"/>
  </numFmts>
  <fonts count="1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Bookman Old Style"/>
      <family val="1"/>
    </font>
    <font>
      <sz val="10"/>
      <name val="Bookman Old Style"/>
      <family val="1"/>
    </font>
    <font>
      <b/>
      <sz val="18"/>
      <name val="Arial"/>
      <family val="2"/>
    </font>
    <font>
      <b/>
      <sz val="12"/>
      <name val="Bookman Old Style"/>
      <family val="1"/>
    </font>
    <font>
      <b/>
      <sz val="8"/>
      <name val="Bookman Old Style"/>
      <family val="1"/>
    </font>
    <font>
      <sz val="10"/>
      <color theme="0"/>
      <name val="Bookman Old Style"/>
      <family val="1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2"/>
      <name val="Arial"/>
      <family val="2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7"/>
      <name val="Calibri"/>
      <family val="2"/>
      <scheme val="minor"/>
    </font>
    <font>
      <b/>
      <u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Bookman Old Style"/>
      <family val="1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8"/>
      <color theme="9" tint="-0.249977111117893"/>
      <name val="Calibri"/>
      <family val="2"/>
      <scheme val="minor"/>
    </font>
    <font>
      <b/>
      <sz val="10"/>
      <color theme="2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6.95"/>
      <color indexed="8"/>
      <name val="Arial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b/>
      <sz val="26"/>
      <color theme="1"/>
      <name val="Arial"/>
      <family val="2"/>
    </font>
    <font>
      <b/>
      <sz val="26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indexed="8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0"/>
      <color theme="0" tint="-0.499984740745262"/>
      <name val="Arial"/>
      <family val="2"/>
    </font>
    <font>
      <b/>
      <sz val="8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8"/>
      <color theme="0" tint="-4.9989318521683403E-2"/>
      <name val="Verdana"/>
      <family val="2"/>
    </font>
    <font>
      <sz val="8"/>
      <color theme="0" tint="-4.9989318521683403E-2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b/>
      <sz val="10"/>
      <color theme="1"/>
      <name val="Bookman Old Style"/>
      <family val="1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8"/>
      <color indexed="8"/>
      <name val="sansserif"/>
    </font>
    <font>
      <sz val="9"/>
      <color theme="2" tint="-0.74999237037263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Bookman Old Style"/>
      <family val="1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8"/>
      <color theme="0"/>
      <name val="Calibri"/>
      <family val="2"/>
      <scheme val="minor"/>
    </font>
    <font>
      <b/>
      <sz val="8"/>
      <color theme="2" tint="-0.499984740745262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9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Bookman Old Style"/>
      <family val="1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1"/>
      <color rgb="FF000000"/>
      <name val="Arial"/>
      <family val="2"/>
    </font>
    <font>
      <sz val="12"/>
      <color rgb="FF000000"/>
      <name val="Verdana"/>
      <family val="2"/>
    </font>
    <font>
      <sz val="8"/>
      <color rgb="FF000000"/>
      <name val="Arial MT"/>
      <family val="2"/>
    </font>
    <font>
      <sz val="6"/>
      <name val="Arial MT"/>
    </font>
    <font>
      <sz val="6"/>
      <name val="Arial MT"/>
      <family val="2"/>
    </font>
    <font>
      <b/>
      <sz val="7"/>
      <color rgb="FF000000"/>
      <name val="Calibri"/>
      <family val="2"/>
    </font>
    <font>
      <b/>
      <sz val="11"/>
      <name val="Calibri"/>
      <family val="2"/>
    </font>
    <font>
      <sz val="7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9"/>
      <color theme="0"/>
      <name val="Arial"/>
      <family val="2"/>
    </font>
    <font>
      <sz val="8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parajita"/>
      <family val="1"/>
    </font>
    <font>
      <b/>
      <sz val="11"/>
      <name val="Arial"/>
      <family val="2"/>
    </font>
    <font>
      <sz val="10"/>
      <color theme="1"/>
      <name val="Aparajita"/>
      <family val="1"/>
    </font>
    <font>
      <b/>
      <sz val="10"/>
      <color theme="0"/>
      <name val="Aparajita"/>
      <family val="1"/>
    </font>
    <font>
      <sz val="10"/>
      <name val="Aparajita"/>
      <family val="1"/>
    </font>
    <font>
      <b/>
      <sz val="10"/>
      <color theme="1"/>
      <name val="Aparajita"/>
      <family val="1"/>
    </font>
    <font>
      <sz val="11"/>
      <color theme="1"/>
      <name val="Aparajita"/>
      <family val="1"/>
    </font>
    <font>
      <b/>
      <sz val="8"/>
      <name val="Arial"/>
      <family val="2"/>
    </font>
    <font>
      <b/>
      <sz val="9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7"/>
      <color theme="1"/>
      <name val="Aparajita"/>
      <family val="1"/>
    </font>
    <font>
      <sz val="9"/>
      <color indexed="81"/>
      <name val="Tahoma"/>
      <family val="2"/>
    </font>
    <font>
      <b/>
      <sz val="6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4552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26862F"/>
        <bgColor indexed="64"/>
      </patternFill>
    </fill>
    <fill>
      <patternFill patternType="solid">
        <fgColor rgb="FF2666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ck">
        <color theme="0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theme="6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n">
        <color indexed="64"/>
      </right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68" fillId="0" borderId="0"/>
    <xf numFmtId="44" fontId="1" fillId="0" borderId="0" applyFont="0" applyFill="0" applyBorder="0" applyAlignment="0" applyProtection="0"/>
    <xf numFmtId="0" fontId="79" fillId="0" borderId="0"/>
    <xf numFmtId="44" fontId="79" fillId="0" borderId="0" applyFont="0" applyFill="0" applyBorder="0" applyAlignment="0" applyProtection="0"/>
  </cellStyleXfs>
  <cellXfs count="974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43" fontId="10" fillId="0" borderId="0" xfId="1" applyFont="1"/>
    <xf numFmtId="43" fontId="10" fillId="0" borderId="0" xfId="0" applyNumberFormat="1" applyFont="1"/>
    <xf numFmtId="0" fontId="14" fillId="0" borderId="0" xfId="0" applyFont="1"/>
    <xf numFmtId="0" fontId="17" fillId="0" borderId="0" xfId="0" applyFont="1"/>
    <xf numFmtId="0" fontId="17" fillId="0" borderId="5" xfId="0" applyFont="1" applyBorder="1"/>
    <xf numFmtId="44" fontId="17" fillId="0" borderId="5" xfId="2" applyFont="1" applyBorder="1"/>
    <xf numFmtId="0" fontId="17" fillId="0" borderId="0" xfId="0" applyFont="1" applyAlignment="1">
      <alignment vertical="center"/>
    </xf>
    <xf numFmtId="0" fontId="17" fillId="0" borderId="13" xfId="0" applyFont="1" applyBorder="1"/>
    <xf numFmtId="0" fontId="19" fillId="0" borderId="0" xfId="0" applyFont="1"/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0" xfId="0" applyFont="1"/>
    <xf numFmtId="0" fontId="19" fillId="0" borderId="0" xfId="0" applyFont="1" applyAlignment="1">
      <alignment horizontal="center"/>
    </xf>
    <xf numFmtId="17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10" fontId="26" fillId="0" borderId="7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164" fontId="27" fillId="0" borderId="20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1" fontId="27" fillId="0" borderId="20" xfId="0" applyNumberFormat="1" applyFont="1" applyBorder="1" applyAlignment="1">
      <alignment horizontal="center" vertical="center"/>
    </xf>
    <xf numFmtId="3" fontId="27" fillId="0" borderId="20" xfId="1" applyNumberFormat="1" applyFont="1" applyBorder="1" applyAlignment="1">
      <alignment horizontal="center" vertical="center"/>
    </xf>
    <xf numFmtId="43" fontId="0" fillId="0" borderId="21" xfId="1" applyFont="1" applyBorder="1" applyAlignment="1">
      <alignment horizontal="center" vertical="center"/>
    </xf>
    <xf numFmtId="43" fontId="0" fillId="5" borderId="21" xfId="1" applyFont="1" applyFill="1" applyBorder="1" applyAlignment="1">
      <alignment vertical="center"/>
    </xf>
    <xf numFmtId="0" fontId="0" fillId="5" borderId="21" xfId="0" applyFill="1" applyBorder="1" applyAlignment="1">
      <alignment vertical="center"/>
    </xf>
    <xf numFmtId="43" fontId="0" fillId="10" borderId="21" xfId="0" applyNumberFormat="1" applyFill="1" applyBorder="1" applyAlignment="1">
      <alignment vertical="center"/>
    </xf>
    <xf numFmtId="43" fontId="0" fillId="0" borderId="21" xfId="0" applyNumberFormat="1" applyBorder="1" applyAlignment="1">
      <alignment vertical="center"/>
    </xf>
    <xf numFmtId="0" fontId="0" fillId="0" borderId="0" xfId="0" applyAlignment="1">
      <alignment vertical="center"/>
    </xf>
    <xf numFmtId="44" fontId="0" fillId="0" borderId="0" xfId="2" applyFont="1"/>
    <xf numFmtId="0" fontId="0" fillId="0" borderId="20" xfId="0" applyBorder="1" applyAlignment="1">
      <alignment horizontal="left" vertical="center"/>
    </xf>
    <xf numFmtId="0" fontId="28" fillId="0" borderId="0" xfId="0" applyFont="1"/>
    <xf numFmtId="0" fontId="0" fillId="0" borderId="20" xfId="0" applyBorder="1" applyAlignment="1">
      <alignment horizontal="center" vertical="center"/>
    </xf>
    <xf numFmtId="0" fontId="0" fillId="0" borderId="23" xfId="0" applyBorder="1"/>
    <xf numFmtId="0" fontId="26" fillId="9" borderId="24" xfId="0" applyFont="1" applyFill="1" applyBorder="1" applyAlignment="1">
      <alignment horizontal="center" vertical="center"/>
    </xf>
    <xf numFmtId="0" fontId="26" fillId="9" borderId="24" xfId="0" applyFont="1" applyFill="1" applyBorder="1" applyAlignment="1">
      <alignment horizontal="centerContinuous" vertical="center"/>
    </xf>
    <xf numFmtId="0" fontId="26" fillId="9" borderId="24" xfId="0" applyFont="1" applyFill="1" applyBorder="1" applyAlignment="1">
      <alignment horizontal="center" vertical="center" wrapText="1"/>
    </xf>
    <xf numFmtId="0" fontId="23" fillId="7" borderId="24" xfId="0" applyFont="1" applyFill="1" applyBorder="1"/>
    <xf numFmtId="0" fontId="23" fillId="7" borderId="24" xfId="0" applyFont="1" applyFill="1" applyBorder="1" applyAlignment="1">
      <alignment horizontal="center"/>
    </xf>
    <xf numFmtId="0" fontId="15" fillId="0" borderId="25" xfId="0" applyFont="1" applyBorder="1" applyAlignment="1">
      <alignment horizontal="center" vertical="center"/>
    </xf>
    <xf numFmtId="49" fontId="20" fillId="3" borderId="24" xfId="1" applyNumberFormat="1" applyFont="1" applyFill="1" applyBorder="1" applyAlignment="1">
      <alignment horizontal="left" vertical="center" wrapText="1"/>
    </xf>
    <xf numFmtId="0" fontId="15" fillId="0" borderId="27" xfId="0" applyFont="1" applyBorder="1" applyAlignment="1">
      <alignment horizontal="center" vertical="center"/>
    </xf>
    <xf numFmtId="0" fontId="17" fillId="0" borderId="29" xfId="2" applyNumberFormat="1" applyFont="1" applyBorder="1" applyAlignment="1">
      <alignment horizontal="right"/>
    </xf>
    <xf numFmtId="0" fontId="15" fillId="0" borderId="24" xfId="0" applyFont="1" applyBorder="1" applyAlignment="1">
      <alignment horizontal="center" vertical="center"/>
    </xf>
    <xf numFmtId="164" fontId="15" fillId="0" borderId="24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3" fillId="0" borderId="0" xfId="0" applyFont="1"/>
    <xf numFmtId="0" fontId="27" fillId="0" borderId="0" xfId="0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9" fontId="29" fillId="11" borderId="36" xfId="3" applyFont="1" applyFill="1" applyBorder="1" applyAlignment="1">
      <alignment horizontal="center"/>
    </xf>
    <xf numFmtId="9" fontId="29" fillId="11" borderId="37" xfId="3" applyFont="1" applyFill="1" applyBorder="1" applyAlignment="1">
      <alignment horizontal="center"/>
    </xf>
    <xf numFmtId="0" fontId="29" fillId="11" borderId="39" xfId="0" applyFont="1" applyFill="1" applyBorder="1" applyAlignment="1">
      <alignment horizontal="center" vertical="center"/>
    </xf>
    <xf numFmtId="0" fontId="29" fillId="11" borderId="40" xfId="0" applyFont="1" applyFill="1" applyBorder="1" applyAlignment="1">
      <alignment horizontal="center" vertical="center"/>
    </xf>
    <xf numFmtId="44" fontId="29" fillId="11" borderId="35" xfId="2" applyFont="1" applyFill="1" applyBorder="1" applyAlignment="1">
      <alignment horizontal="center" vertical="center"/>
    </xf>
    <xf numFmtId="0" fontId="29" fillId="11" borderId="40" xfId="2" applyNumberFormat="1" applyFont="1" applyFill="1" applyBorder="1" applyAlignment="1">
      <alignment horizontal="left" vertical="center"/>
    </xf>
    <xf numFmtId="0" fontId="29" fillId="11" borderId="42" xfId="2" applyNumberFormat="1" applyFont="1" applyFill="1" applyBorder="1" applyAlignment="1">
      <alignment horizontal="left" vertical="center"/>
    </xf>
    <xf numFmtId="0" fontId="30" fillId="11" borderId="35" xfId="0" applyFont="1" applyFill="1" applyBorder="1" applyAlignment="1">
      <alignment horizontal="center" vertical="center"/>
    </xf>
    <xf numFmtId="0" fontId="30" fillId="11" borderId="40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43" fontId="32" fillId="0" borderId="20" xfId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44" fontId="0" fillId="0" borderId="5" xfId="2" applyFont="1" applyBorder="1"/>
    <xf numFmtId="0" fontId="0" fillId="0" borderId="32" xfId="0" applyBorder="1" applyAlignment="1">
      <alignment horizontal="center"/>
    </xf>
    <xf numFmtId="0" fontId="0" fillId="0" borderId="22" xfId="0" applyBorder="1"/>
    <xf numFmtId="0" fontId="0" fillId="0" borderId="43" xfId="0" applyBorder="1" applyAlignment="1">
      <alignment horizontal="center"/>
    </xf>
    <xf numFmtId="0" fontId="31" fillId="0" borderId="43" xfId="0" applyFont="1" applyBorder="1" applyAlignment="1">
      <alignment horizontal="left" vertical="center"/>
    </xf>
    <xf numFmtId="44" fontId="31" fillId="0" borderId="43" xfId="0" applyNumberFormat="1" applyFont="1" applyBorder="1" applyAlignment="1">
      <alignment horizontal="center" vertical="center"/>
    </xf>
    <xf numFmtId="43" fontId="17" fillId="9" borderId="43" xfId="0" applyNumberFormat="1" applyFont="1" applyFill="1" applyBorder="1" applyAlignment="1">
      <alignment horizontal="center"/>
    </xf>
    <xf numFmtId="43" fontId="32" fillId="9" borderId="43" xfId="0" applyNumberFormat="1" applyFont="1" applyFill="1" applyBorder="1" applyAlignment="1">
      <alignment horizontal="center" vertical="center"/>
    </xf>
    <xf numFmtId="43" fontId="32" fillId="0" borderId="43" xfId="0" applyNumberFormat="1" applyFont="1" applyBorder="1" applyAlignment="1">
      <alignment horizontal="center" vertical="center"/>
    </xf>
    <xf numFmtId="0" fontId="2" fillId="0" borderId="0" xfId="4"/>
    <xf numFmtId="0" fontId="0" fillId="0" borderId="0" xfId="0" applyAlignment="1">
      <alignment horizontal="left"/>
    </xf>
    <xf numFmtId="0" fontId="23" fillId="9" borderId="0" xfId="0" applyFont="1" applyFill="1" applyAlignment="1">
      <alignment horizontal="center"/>
    </xf>
    <xf numFmtId="44" fontId="0" fillId="0" borderId="0" xfId="0" applyNumberFormat="1"/>
    <xf numFmtId="0" fontId="39" fillId="0" borderId="0" xfId="0" applyFont="1"/>
    <xf numFmtId="0" fontId="23" fillId="0" borderId="10" xfId="0" applyFont="1" applyBorder="1"/>
    <xf numFmtId="14" fontId="0" fillId="0" borderId="12" xfId="0" applyNumberFormat="1" applyBorder="1"/>
    <xf numFmtId="0" fontId="23" fillId="0" borderId="12" xfId="0" applyFont="1" applyBorder="1"/>
    <xf numFmtId="0" fontId="0" fillId="0" borderId="12" xfId="0" applyBorder="1" applyAlignment="1">
      <alignment horizontal="left"/>
    </xf>
    <xf numFmtId="167" fontId="0" fillId="0" borderId="12" xfId="6" applyFont="1" applyBorder="1" applyAlignment="1"/>
    <xf numFmtId="0" fontId="23" fillId="0" borderId="49" xfId="0" applyFont="1" applyBorder="1"/>
    <xf numFmtId="0" fontId="23" fillId="0" borderId="12" xfId="0" applyFont="1" applyBorder="1" applyAlignment="1">
      <alignment horizontal="center"/>
    </xf>
    <xf numFmtId="0" fontId="0" fillId="0" borderId="51" xfId="0" applyBorder="1"/>
    <xf numFmtId="0" fontId="23" fillId="0" borderId="9" xfId="0" applyFont="1" applyBorder="1"/>
    <xf numFmtId="0" fontId="0" fillId="0" borderId="48" xfId="0" applyBorder="1"/>
    <xf numFmtId="0" fontId="0" fillId="0" borderId="49" xfId="0" applyBorder="1"/>
    <xf numFmtId="0" fontId="23" fillId="0" borderId="53" xfId="0" applyFont="1" applyBorder="1"/>
    <xf numFmtId="0" fontId="0" fillId="0" borderId="11" xfId="0" applyBorder="1"/>
    <xf numFmtId="0" fontId="0" fillId="0" borderId="53" xfId="0" applyBorder="1"/>
    <xf numFmtId="0" fontId="23" fillId="0" borderId="12" xfId="0" applyFont="1" applyBorder="1" applyAlignment="1">
      <alignment horizontal="left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vertical="top"/>
    </xf>
    <xf numFmtId="167" fontId="23" fillId="0" borderId="12" xfId="6" applyFont="1" applyBorder="1" applyAlignment="1">
      <alignment vertical="top"/>
    </xf>
    <xf numFmtId="0" fontId="0" fillId="0" borderId="50" xfId="0" applyBorder="1"/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47" xfId="0" applyBorder="1"/>
    <xf numFmtId="0" fontId="0" fillId="0" borderId="18" xfId="0" applyBorder="1"/>
    <xf numFmtId="0" fontId="0" fillId="0" borderId="0" xfId="0" applyAlignment="1">
      <alignment horizontal="right"/>
    </xf>
    <xf numFmtId="0" fontId="44" fillId="0" borderId="0" xfId="0" applyFont="1" applyAlignment="1">
      <alignment horizontal="left" vertical="center" wrapText="1"/>
    </xf>
    <xf numFmtId="49" fontId="0" fillId="0" borderId="0" xfId="0" applyNumberFormat="1"/>
    <xf numFmtId="0" fontId="23" fillId="0" borderId="0" xfId="0" applyFont="1" applyAlignment="1">
      <alignment horizontal="center"/>
    </xf>
    <xf numFmtId="0" fontId="0" fillId="0" borderId="52" xfId="0" applyBorder="1"/>
    <xf numFmtId="0" fontId="2" fillId="0" borderId="0" xfId="4" applyAlignment="1">
      <alignment horizontal="center"/>
    </xf>
    <xf numFmtId="0" fontId="35" fillId="0" borderId="0" xfId="0" applyFont="1"/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15" fontId="0" fillId="0" borderId="5" xfId="0" applyNumberFormat="1" applyBorder="1" applyAlignment="1">
      <alignment vertical="center"/>
    </xf>
    <xf numFmtId="15" fontId="0" fillId="0" borderId="5" xfId="0" applyNumberFormat="1" applyBorder="1"/>
    <xf numFmtId="1" fontId="0" fillId="0" borderId="5" xfId="0" applyNumberFormat="1" applyBorder="1"/>
    <xf numFmtId="2" fontId="0" fillId="0" borderId="0" xfId="0" applyNumberFormat="1"/>
    <xf numFmtId="0" fontId="23" fillId="0" borderId="5" xfId="0" applyFont="1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44" fontId="0" fillId="0" borderId="5" xfId="2" applyFont="1" applyBorder="1" applyAlignment="1">
      <alignment horizontal="center" vertical="center"/>
    </xf>
    <xf numFmtId="1" fontId="23" fillId="0" borderId="5" xfId="0" applyNumberFormat="1" applyFont="1" applyBorder="1" applyAlignment="1">
      <alignment horizontal="center" vertical="center"/>
    </xf>
    <xf numFmtId="44" fontId="23" fillId="0" borderId="5" xfId="2" applyFont="1" applyBorder="1" applyAlignment="1">
      <alignment horizontal="center" vertical="center"/>
    </xf>
    <xf numFmtId="1" fontId="23" fillId="0" borderId="0" xfId="0" applyNumberFormat="1" applyFont="1" applyAlignment="1">
      <alignment horizontal="center"/>
    </xf>
    <xf numFmtId="44" fontId="23" fillId="0" borderId="0" xfId="2" applyFont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47" fillId="6" borderId="5" xfId="0" applyFont="1" applyFill="1" applyBorder="1"/>
    <xf numFmtId="44" fontId="47" fillId="6" borderId="5" xfId="2" applyFont="1" applyFill="1" applyBorder="1" applyAlignment="1"/>
    <xf numFmtId="0" fontId="47" fillId="6" borderId="17" xfId="0" applyFont="1" applyFill="1" applyBorder="1"/>
    <xf numFmtId="44" fontId="17" fillId="0" borderId="0" xfId="0" applyNumberFormat="1" applyFont="1"/>
    <xf numFmtId="1" fontId="0" fillId="0" borderId="5" xfId="0" applyNumberFormat="1" applyBorder="1" applyAlignment="1">
      <alignment horizontal="center"/>
    </xf>
    <xf numFmtId="15" fontId="0" fillId="0" borderId="5" xfId="0" applyNumberFormat="1" applyBorder="1" applyAlignment="1">
      <alignment horizontal="center" vertical="center"/>
    </xf>
    <xf numFmtId="0" fontId="26" fillId="0" borderId="5" xfId="0" applyFont="1" applyBorder="1" applyAlignment="1">
      <alignment horizontal="left" vertical="center"/>
    </xf>
    <xf numFmtId="0" fontId="45" fillId="0" borderId="0" xfId="0" applyFont="1" applyAlignment="1">
      <alignment vertical="center"/>
    </xf>
    <xf numFmtId="0" fontId="26" fillId="0" borderId="0" xfId="0" applyFont="1"/>
    <xf numFmtId="0" fontId="45" fillId="0" borderId="0" xfId="0" applyFont="1"/>
    <xf numFmtId="44" fontId="13" fillId="5" borderId="26" xfId="2" applyFont="1" applyFill="1" applyBorder="1" applyAlignment="1">
      <alignment horizontal="center" vertical="center"/>
    </xf>
    <xf numFmtId="44" fontId="13" fillId="5" borderId="28" xfId="2" applyFont="1" applyFill="1" applyBorder="1" applyAlignment="1">
      <alignment horizontal="center" vertical="center"/>
    </xf>
    <xf numFmtId="44" fontId="13" fillId="5" borderId="31" xfId="2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 wrapText="1"/>
    </xf>
    <xf numFmtId="0" fontId="48" fillId="0" borderId="0" xfId="0" applyFont="1"/>
    <xf numFmtId="164" fontId="49" fillId="0" borderId="0" xfId="0" applyNumberFormat="1" applyFont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0" fontId="51" fillId="0" borderId="0" xfId="0" applyFont="1"/>
    <xf numFmtId="0" fontId="52" fillId="0" borderId="0" xfId="0" applyFont="1" applyAlignment="1">
      <alignment horizontal="center"/>
    </xf>
    <xf numFmtId="43" fontId="10" fillId="0" borderId="5" xfId="1" applyFont="1" applyBorder="1"/>
    <xf numFmtId="44" fontId="26" fillId="9" borderId="0" xfId="2" applyFont="1" applyFill="1" applyBorder="1" applyAlignment="1">
      <alignment horizontal="center" vertical="center"/>
    </xf>
    <xf numFmtId="44" fontId="23" fillId="3" borderId="0" xfId="2" applyFont="1" applyFill="1"/>
    <xf numFmtId="0" fontId="24" fillId="0" borderId="5" xfId="0" applyFont="1" applyBorder="1" applyAlignment="1">
      <alignment horizontal="center"/>
    </xf>
    <xf numFmtId="4" fontId="19" fillId="0" borderId="5" xfId="1" applyNumberFormat="1" applyFont="1" applyFill="1" applyBorder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164" fontId="27" fillId="9" borderId="0" xfId="0" applyNumberFormat="1" applyFont="1" applyFill="1" applyAlignment="1">
      <alignment horizontal="center" vertical="center"/>
    </xf>
    <xf numFmtId="0" fontId="0" fillId="3" borderId="0" xfId="0" applyFill="1"/>
    <xf numFmtId="0" fontId="22" fillId="3" borderId="0" xfId="0" applyFont="1" applyFill="1" applyAlignment="1">
      <alignment horizontal="center" vertical="center" wrapText="1"/>
    </xf>
    <xf numFmtId="1" fontId="27" fillId="3" borderId="0" xfId="0" applyNumberFormat="1" applyFon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" fontId="28" fillId="3" borderId="0" xfId="0" applyNumberFormat="1" applyFont="1" applyFill="1" applyAlignment="1">
      <alignment horizontal="center" vertical="center"/>
    </xf>
    <xf numFmtId="0" fontId="48" fillId="3" borderId="0" xfId="0" applyFont="1" applyFill="1"/>
    <xf numFmtId="0" fontId="24" fillId="3" borderId="0" xfId="0" applyFont="1" applyFill="1"/>
    <xf numFmtId="0" fontId="54" fillId="0" borderId="5" xfId="0" applyFont="1" applyBorder="1" applyAlignment="1">
      <alignment horizontal="center" vertical="center"/>
    </xf>
    <xf numFmtId="0" fontId="54" fillId="0" borderId="5" xfId="0" applyFont="1" applyBorder="1" applyAlignment="1">
      <alignment horizontal="center" vertical="center" wrapText="1"/>
    </xf>
    <xf numFmtId="10" fontId="54" fillId="0" borderId="5" xfId="0" applyNumberFormat="1" applyFont="1" applyBorder="1" applyAlignment="1">
      <alignment horizontal="center" vertical="center"/>
    </xf>
    <xf numFmtId="44" fontId="54" fillId="0" borderId="5" xfId="2" applyFont="1" applyBorder="1" applyAlignment="1">
      <alignment horizontal="center" vertical="center"/>
    </xf>
    <xf numFmtId="0" fontId="27" fillId="0" borderId="0" xfId="0" applyFont="1"/>
    <xf numFmtId="0" fontId="27" fillId="3" borderId="0" xfId="0" applyFont="1" applyFill="1"/>
    <xf numFmtId="0" fontId="35" fillId="0" borderId="5" xfId="0" applyFont="1" applyBorder="1"/>
    <xf numFmtId="0" fontId="55" fillId="0" borderId="0" xfId="0" applyFont="1"/>
    <xf numFmtId="0" fontId="55" fillId="3" borderId="0" xfId="0" applyFont="1" applyFill="1"/>
    <xf numFmtId="0" fontId="56" fillId="0" borderId="20" xfId="0" applyFont="1" applyBorder="1" applyAlignment="1">
      <alignment horizontal="center" vertical="center"/>
    </xf>
    <xf numFmtId="49" fontId="19" fillId="0" borderId="20" xfId="1" applyNumberFormat="1" applyFont="1" applyBorder="1" applyAlignment="1">
      <alignment horizontal="center" vertical="center" wrapText="1"/>
    </xf>
    <xf numFmtId="49" fontId="19" fillId="0" borderId="20" xfId="1" applyNumberFormat="1" applyFont="1" applyBorder="1" applyAlignment="1">
      <alignment horizontal="left" vertical="center" wrapText="1"/>
    </xf>
    <xf numFmtId="49" fontId="19" fillId="3" borderId="20" xfId="1" applyNumberFormat="1" applyFont="1" applyFill="1" applyBorder="1" applyAlignment="1">
      <alignment horizontal="left" vertical="center" wrapText="1"/>
    </xf>
    <xf numFmtId="169" fontId="57" fillId="16" borderId="0" xfId="0" applyNumberFormat="1" applyFont="1" applyFill="1" applyAlignment="1">
      <alignment vertical="center" wrapText="1"/>
    </xf>
    <xf numFmtId="0" fontId="9" fillId="0" borderId="9" xfId="4" applyFont="1" applyBorder="1" applyAlignment="1">
      <alignment horizontal="center"/>
    </xf>
    <xf numFmtId="0" fontId="27" fillId="0" borderId="0" xfId="0" applyFont="1" applyAlignment="1">
      <alignment horizontal="left" vertical="center"/>
    </xf>
    <xf numFmtId="43" fontId="0" fillId="0" borderId="0" xfId="1" applyFont="1" applyBorder="1" applyAlignment="1">
      <alignment horizontal="center" vertical="center"/>
    </xf>
    <xf numFmtId="49" fontId="20" fillId="0" borderId="24" xfId="0" applyNumberFormat="1" applyFont="1" applyBorder="1" applyAlignment="1">
      <alignment horizontal="center" vertical="center" wrapText="1"/>
    </xf>
    <xf numFmtId="49" fontId="20" fillId="0" borderId="24" xfId="0" applyNumberFormat="1" applyFont="1" applyBorder="1" applyAlignment="1">
      <alignment horizontal="left" vertical="center" wrapText="1"/>
    </xf>
    <xf numFmtId="3" fontId="20" fillId="0" borderId="24" xfId="0" applyNumberFormat="1" applyFont="1" applyBorder="1" applyAlignment="1">
      <alignment horizontal="center" vertical="center"/>
    </xf>
    <xf numFmtId="44" fontId="15" fillId="0" borderId="24" xfId="0" applyNumberFormat="1" applyFont="1" applyBorder="1" applyAlignment="1">
      <alignment horizontal="center" vertical="center"/>
    </xf>
    <xf numFmtId="44" fontId="15" fillId="9" borderId="24" xfId="0" applyNumberFormat="1" applyFont="1" applyFill="1" applyBorder="1" applyAlignment="1">
      <alignment horizontal="center" vertical="center"/>
    </xf>
    <xf numFmtId="0" fontId="58" fillId="0" borderId="20" xfId="4" applyFont="1" applyBorder="1" applyAlignment="1">
      <alignment horizontal="left" vertical="center"/>
    </xf>
    <xf numFmtId="44" fontId="58" fillId="0" borderId="20" xfId="2" applyFont="1" applyBorder="1" applyAlignment="1">
      <alignment horizontal="center" vertical="center"/>
    </xf>
    <xf numFmtId="0" fontId="59" fillId="0" borderId="0" xfId="0" applyFont="1" applyAlignment="1">
      <alignment horizontal="center"/>
    </xf>
    <xf numFmtId="0" fontId="24" fillId="0" borderId="32" xfId="0" applyFont="1" applyBorder="1" applyAlignment="1">
      <alignment horizontal="center"/>
    </xf>
    <xf numFmtId="0" fontId="20" fillId="0" borderId="43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/>
    <xf numFmtId="0" fontId="0" fillId="0" borderId="61" xfId="0" applyBorder="1"/>
    <xf numFmtId="43" fontId="0" fillId="0" borderId="21" xfId="1" applyFont="1" applyFill="1" applyBorder="1" applyAlignment="1">
      <alignment horizontal="center" vertical="center"/>
    </xf>
    <xf numFmtId="44" fontId="23" fillId="0" borderId="0" xfId="2" applyFont="1" applyFill="1"/>
    <xf numFmtId="1" fontId="27" fillId="0" borderId="62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4" fontId="27" fillId="0" borderId="21" xfId="1" applyNumberFormat="1" applyFont="1" applyBorder="1" applyAlignment="1">
      <alignment horizontal="center" vertical="center"/>
    </xf>
    <xf numFmtId="4" fontId="27" fillId="2" borderId="21" xfId="1" applyNumberFormat="1" applyFont="1" applyFill="1" applyBorder="1" applyAlignment="1">
      <alignment horizontal="center" vertical="center"/>
    </xf>
    <xf numFmtId="0" fontId="60" fillId="0" borderId="0" xfId="0" applyFont="1" applyAlignment="1">
      <alignment horizontal="center"/>
    </xf>
    <xf numFmtId="0" fontId="27" fillId="0" borderId="5" xfId="0" applyFont="1" applyBorder="1" applyAlignment="1">
      <alignment horizontal="center" vertical="center"/>
    </xf>
    <xf numFmtId="3" fontId="27" fillId="0" borderId="5" xfId="1" applyNumberFormat="1" applyFont="1" applyBorder="1" applyAlignment="1">
      <alignment horizontal="center" vertical="center"/>
    </xf>
    <xf numFmtId="4" fontId="27" fillId="4" borderId="5" xfId="1" applyNumberFormat="1" applyFont="1" applyFill="1" applyBorder="1" applyAlignment="1">
      <alignment horizontal="center" vertical="center"/>
    </xf>
    <xf numFmtId="0" fontId="5" fillId="3" borderId="0" xfId="4" applyFont="1" applyFill="1" applyAlignment="1">
      <alignment horizontal="center"/>
    </xf>
    <xf numFmtId="0" fontId="53" fillId="0" borderId="0" xfId="4" applyFont="1" applyAlignment="1">
      <alignment horizontal="center"/>
    </xf>
    <xf numFmtId="0" fontId="15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49" fontId="20" fillId="0" borderId="0" xfId="1" applyNumberFormat="1" applyFont="1" applyBorder="1" applyAlignment="1">
      <alignment horizontal="center" vertical="center" wrapText="1"/>
    </xf>
    <xf numFmtId="49" fontId="20" fillId="0" borderId="0" xfId="1" applyNumberFormat="1" applyFont="1" applyBorder="1" applyAlignment="1">
      <alignment horizontal="left" vertical="center" wrapText="1"/>
    </xf>
    <xf numFmtId="3" fontId="20" fillId="0" borderId="0" xfId="1" applyNumberFormat="1" applyFont="1" applyBorder="1" applyAlignment="1">
      <alignment horizontal="center" vertical="center"/>
    </xf>
    <xf numFmtId="44" fontId="15" fillId="0" borderId="0" xfId="2" applyFont="1" applyBorder="1" applyAlignment="1">
      <alignment horizontal="center" vertical="center"/>
    </xf>
    <xf numFmtId="44" fontId="13" fillId="5" borderId="0" xfId="2" applyFont="1" applyFill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 vertical="center"/>
    </xf>
    <xf numFmtId="49" fontId="19" fillId="0" borderId="21" xfId="1" applyNumberFormat="1" applyFont="1" applyBorder="1" applyAlignment="1">
      <alignment horizontal="center" vertical="center" wrapText="1"/>
    </xf>
    <xf numFmtId="49" fontId="19" fillId="0" borderId="21" xfId="1" applyNumberFormat="1" applyFont="1" applyBorder="1" applyAlignment="1">
      <alignment horizontal="left" vertical="center" wrapText="1"/>
    </xf>
    <xf numFmtId="0" fontId="13" fillId="0" borderId="21" xfId="0" applyFont="1" applyBorder="1" applyAlignment="1">
      <alignment horizontal="center" vertical="center"/>
    </xf>
    <xf numFmtId="44" fontId="13" fillId="0" borderId="21" xfId="2" applyFont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49" fontId="19" fillId="3" borderId="20" xfId="1" applyNumberFormat="1" applyFont="1" applyFill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164" fontId="13" fillId="0" borderId="22" xfId="0" applyNumberFormat="1" applyFont="1" applyBorder="1" applyAlignment="1">
      <alignment horizontal="center" vertical="center"/>
    </xf>
    <xf numFmtId="49" fontId="19" fillId="0" borderId="22" xfId="1" applyNumberFormat="1" applyFont="1" applyBorder="1" applyAlignment="1">
      <alignment horizontal="center" vertical="center" wrapText="1"/>
    </xf>
    <xf numFmtId="49" fontId="19" fillId="0" borderId="22" xfId="1" applyNumberFormat="1" applyFont="1" applyBorder="1" applyAlignment="1">
      <alignment horizontal="left" vertical="center" wrapText="1"/>
    </xf>
    <xf numFmtId="0" fontId="13" fillId="0" borderId="22" xfId="0" applyFont="1" applyBorder="1" applyAlignment="1">
      <alignment horizontal="center" vertical="center"/>
    </xf>
    <xf numFmtId="0" fontId="15" fillId="9" borderId="24" xfId="0" applyFont="1" applyFill="1" applyBorder="1" applyAlignment="1">
      <alignment vertical="center" textRotation="255" wrapText="1"/>
    </xf>
    <xf numFmtId="169" fontId="66" fillId="16" borderId="0" xfId="0" applyNumberFormat="1" applyFont="1" applyFill="1" applyAlignment="1">
      <alignment vertical="center" wrapText="1"/>
    </xf>
    <xf numFmtId="0" fontId="27" fillId="0" borderId="0" xfId="4" applyFont="1"/>
    <xf numFmtId="0" fontId="0" fillId="0" borderId="0" xfId="0" applyAlignment="1">
      <alignment vertical="center" wrapText="1"/>
    </xf>
    <xf numFmtId="3" fontId="0" fillId="0" borderId="20" xfId="1" applyNumberFormat="1" applyFont="1" applyFill="1" applyBorder="1" applyAlignment="1">
      <alignment horizontal="center" vertical="center"/>
    </xf>
    <xf numFmtId="3" fontId="1" fillId="0" borderId="20" xfId="1" applyNumberFormat="1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/>
    </xf>
    <xf numFmtId="44" fontId="0" fillId="0" borderId="5" xfId="0" applyNumberFormat="1" applyBorder="1"/>
    <xf numFmtId="0" fontId="19" fillId="0" borderId="5" xfId="1" applyNumberFormat="1" applyFont="1" applyFill="1" applyBorder="1" applyAlignment="1">
      <alignment horizontal="center" vertical="center"/>
    </xf>
    <xf numFmtId="0" fontId="24" fillId="0" borderId="5" xfId="0" applyFont="1" applyBorder="1"/>
    <xf numFmtId="43" fontId="0" fillId="0" borderId="5" xfId="1" applyFont="1" applyBorder="1"/>
    <xf numFmtId="43" fontId="51" fillId="0" borderId="5" xfId="1" applyFont="1" applyBorder="1"/>
    <xf numFmtId="43" fontId="24" fillId="0" borderId="5" xfId="1" applyFont="1" applyBorder="1"/>
    <xf numFmtId="43" fontId="55" fillId="0" borderId="5" xfId="1" applyFont="1" applyBorder="1"/>
    <xf numFmtId="43" fontId="24" fillId="0" borderId="0" xfId="0" applyNumberFormat="1" applyFont="1"/>
    <xf numFmtId="0" fontId="18" fillId="0" borderId="0" xfId="0" applyFont="1"/>
    <xf numFmtId="0" fontId="29" fillId="11" borderId="41" xfId="0" applyFont="1" applyFill="1" applyBorder="1" applyAlignment="1">
      <alignment vertical="center"/>
    </xf>
    <xf numFmtId="0" fontId="0" fillId="0" borderId="30" xfId="0" applyBorder="1"/>
    <xf numFmtId="0" fontId="31" fillId="0" borderId="43" xfId="0" applyFont="1" applyBorder="1" applyAlignment="1">
      <alignment vertical="center"/>
    </xf>
    <xf numFmtId="3" fontId="27" fillId="0" borderId="20" xfId="1" applyNumberFormat="1" applyFont="1" applyFill="1" applyBorder="1" applyAlignment="1">
      <alignment horizontal="center" vertical="center"/>
    </xf>
    <xf numFmtId="0" fontId="5" fillId="3" borderId="0" xfId="4" applyFont="1" applyFill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164" fontId="34" fillId="0" borderId="0" xfId="0" applyNumberFormat="1" applyFont="1" applyAlignment="1">
      <alignment horizontal="center"/>
    </xf>
    <xf numFmtId="0" fontId="65" fillId="0" borderId="0" xfId="0" applyFont="1" applyAlignment="1">
      <alignment horizontal="left" vertical="center"/>
    </xf>
    <xf numFmtId="165" fontId="35" fillId="0" borderId="0" xfId="0" applyNumberFormat="1" applyFont="1" applyAlignment="1">
      <alignment horizontal="center"/>
    </xf>
    <xf numFmtId="0" fontId="65" fillId="0" borderId="0" xfId="0" applyFont="1" applyAlignment="1">
      <alignment horizontal="center"/>
    </xf>
    <xf numFmtId="44" fontId="35" fillId="0" borderId="0" xfId="2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15" fontId="67" fillId="0" borderId="5" xfId="0" applyNumberFormat="1" applyFont="1" applyBorder="1" applyAlignment="1">
      <alignment horizontal="center" vertical="center"/>
    </xf>
    <xf numFmtId="0" fontId="67" fillId="0" borderId="5" xfId="0" applyFont="1" applyBorder="1" applyAlignment="1">
      <alignment horizontal="center" vertical="center"/>
    </xf>
    <xf numFmtId="1" fontId="67" fillId="0" borderId="5" xfId="0" applyNumberFormat="1" applyFont="1" applyBorder="1" applyAlignment="1">
      <alignment horizontal="center" vertical="center"/>
    </xf>
    <xf numFmtId="44" fontId="67" fillId="0" borderId="5" xfId="2" applyFont="1" applyBorder="1" applyAlignment="1">
      <alignment horizontal="center" vertical="center"/>
    </xf>
    <xf numFmtId="44" fontId="71" fillId="0" borderId="0" xfId="0" applyNumberFormat="1" applyFont="1"/>
    <xf numFmtId="0" fontId="72" fillId="0" borderId="0" xfId="0" applyFont="1"/>
    <xf numFmtId="0" fontId="0" fillId="9" borderId="22" xfId="0" applyFill="1" applyBorder="1" applyProtection="1">
      <protection locked="0"/>
    </xf>
    <xf numFmtId="43" fontId="17" fillId="7" borderId="20" xfId="1" applyFont="1" applyFill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59" fillId="18" borderId="5" xfId="0" applyFont="1" applyFill="1" applyBorder="1" applyAlignment="1">
      <alignment horizontal="centerContinuous" vertical="center"/>
    </xf>
    <xf numFmtId="0" fontId="59" fillId="18" borderId="5" xfId="0" applyFont="1" applyFill="1" applyBorder="1" applyAlignment="1">
      <alignment horizontal="center" vertical="center"/>
    </xf>
    <xf numFmtId="0" fontId="17" fillId="0" borderId="66" xfId="0" applyFont="1" applyBorder="1"/>
    <xf numFmtId="0" fontId="17" fillId="0" borderId="66" xfId="0" applyFont="1" applyBorder="1" applyAlignment="1">
      <alignment vertical="center"/>
    </xf>
    <xf numFmtId="0" fontId="17" fillId="0" borderId="67" xfId="0" applyFont="1" applyBorder="1"/>
    <xf numFmtId="0" fontId="17" fillId="0" borderId="68" xfId="0" applyFont="1" applyBorder="1"/>
    <xf numFmtId="0" fontId="17" fillId="0" borderId="14" xfId="0" applyFont="1" applyBorder="1"/>
    <xf numFmtId="0" fontId="17" fillId="0" borderId="69" xfId="0" applyFont="1" applyBorder="1"/>
    <xf numFmtId="0" fontId="17" fillId="0" borderId="70" xfId="0" applyFont="1" applyBorder="1"/>
    <xf numFmtId="0" fontId="18" fillId="0" borderId="70" xfId="0" applyFont="1" applyBorder="1" applyAlignment="1">
      <alignment horizontal="center" vertical="center"/>
    </xf>
    <xf numFmtId="44" fontId="17" fillId="0" borderId="70" xfId="2" applyFont="1" applyFill="1" applyBorder="1"/>
    <xf numFmtId="44" fontId="18" fillId="0" borderId="70" xfId="2" applyFont="1" applyFill="1" applyBorder="1" applyAlignment="1"/>
    <xf numFmtId="0" fontId="17" fillId="0" borderId="71" xfId="0" applyFont="1" applyBorder="1"/>
    <xf numFmtId="44" fontId="0" fillId="0" borderId="21" xfId="2" applyFont="1" applyBorder="1" applyAlignment="1" applyProtection="1">
      <alignment vertical="center"/>
      <protection locked="0"/>
    </xf>
    <xf numFmtId="0" fontId="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44" fontId="27" fillId="0" borderId="0" xfId="2" applyFont="1" applyFill="1" applyAlignment="1">
      <alignment horizontal="center"/>
    </xf>
    <xf numFmtId="0" fontId="9" fillId="0" borderId="0" xfId="4" applyFont="1" applyAlignment="1">
      <alignment horizontal="center"/>
    </xf>
    <xf numFmtId="14" fontId="0" fillId="0" borderId="0" xfId="0" applyNumberFormat="1" applyAlignment="1">
      <alignment horizontal="center"/>
    </xf>
    <xf numFmtId="9" fontId="26" fillId="0" borderId="7" xfId="0" applyNumberFormat="1" applyFont="1" applyBorder="1" applyAlignment="1">
      <alignment horizontal="center" vertical="center" wrapText="1"/>
    </xf>
    <xf numFmtId="49" fontId="27" fillId="0" borderId="20" xfId="1" applyNumberFormat="1" applyFont="1" applyFill="1" applyBorder="1" applyAlignment="1">
      <alignment horizontal="left" vertical="center" wrapText="1"/>
    </xf>
    <xf numFmtId="44" fontId="27" fillId="0" borderId="20" xfId="2" applyFont="1" applyFill="1" applyBorder="1" applyAlignment="1">
      <alignment horizontal="center" vertical="center"/>
    </xf>
    <xf numFmtId="43" fontId="27" fillId="0" borderId="20" xfId="1" applyFont="1" applyFill="1" applyBorder="1" applyAlignment="1">
      <alignment horizontal="center" vertical="center"/>
    </xf>
    <xf numFmtId="44" fontId="24" fillId="0" borderId="21" xfId="2" applyFont="1" applyFill="1" applyBorder="1" applyAlignment="1" applyProtection="1">
      <alignment vertical="center"/>
      <protection locked="0"/>
    </xf>
    <xf numFmtId="43" fontId="0" fillId="0" borderId="21" xfId="1" applyFont="1" applyFill="1" applyBorder="1" applyAlignment="1" applyProtection="1">
      <alignment vertical="center"/>
      <protection locked="0"/>
    </xf>
    <xf numFmtId="43" fontId="0" fillId="0" borderId="21" xfId="1" applyFont="1" applyFill="1" applyBorder="1" applyAlignment="1">
      <alignment vertical="center"/>
    </xf>
    <xf numFmtId="49" fontId="24" fillId="0" borderId="20" xfId="1" applyNumberFormat="1" applyFont="1" applyFill="1" applyBorder="1" applyAlignment="1">
      <alignment horizontal="left" vertical="center" wrapText="1"/>
    </xf>
    <xf numFmtId="44" fontId="1" fillId="0" borderId="20" xfId="2" applyFont="1" applyFill="1" applyBorder="1" applyAlignment="1">
      <alignment horizontal="center" vertical="center"/>
    </xf>
    <xf numFmtId="49" fontId="26" fillId="0" borderId="0" xfId="1" applyNumberFormat="1" applyFont="1" applyFill="1" applyBorder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3" fontId="26" fillId="0" borderId="0" xfId="1" applyNumberFormat="1" applyFont="1" applyFill="1" applyBorder="1" applyAlignment="1">
      <alignment horizontal="center" vertical="center"/>
    </xf>
    <xf numFmtId="44" fontId="26" fillId="0" borderId="0" xfId="2" applyFont="1" applyFill="1" applyBorder="1" applyAlignment="1">
      <alignment horizontal="center" vertical="center"/>
    </xf>
    <xf numFmtId="44" fontId="43" fillId="0" borderId="0" xfId="2" applyFont="1" applyFill="1"/>
    <xf numFmtId="44" fontId="24" fillId="0" borderId="0" xfId="0" applyNumberFormat="1" applyFont="1"/>
    <xf numFmtId="44" fontId="48" fillId="0" borderId="0" xfId="2" applyFont="1" applyFill="1"/>
    <xf numFmtId="0" fontId="74" fillId="0" borderId="0" xfId="0" applyFont="1"/>
    <xf numFmtId="0" fontId="6" fillId="0" borderId="0" xfId="0" applyFont="1"/>
    <xf numFmtId="0" fontId="12" fillId="0" borderId="5" xfId="0" applyFont="1" applyBorder="1" applyAlignment="1">
      <alignment horizontal="right"/>
    </xf>
    <xf numFmtId="4" fontId="52" fillId="0" borderId="5" xfId="0" applyNumberFormat="1" applyFont="1" applyBorder="1" applyAlignment="1">
      <alignment horizontal="center"/>
    </xf>
    <xf numFmtId="43" fontId="12" fillId="0" borderId="5" xfId="1" applyFont="1" applyFill="1" applyBorder="1"/>
    <xf numFmtId="43" fontId="10" fillId="0" borderId="0" xfId="1" applyFont="1" applyFill="1"/>
    <xf numFmtId="10" fontId="10" fillId="0" borderId="5" xfId="0" applyNumberFormat="1" applyFont="1" applyBorder="1"/>
    <xf numFmtId="2" fontId="11" fillId="0" borderId="5" xfId="0" applyNumberFormat="1" applyFont="1" applyBorder="1" applyAlignment="1">
      <alignment horizontal="center"/>
    </xf>
    <xf numFmtId="10" fontId="10" fillId="0" borderId="5" xfId="1" applyNumberFormat="1" applyFont="1" applyFill="1" applyBorder="1"/>
    <xf numFmtId="2" fontId="10" fillId="0" borderId="0" xfId="0" applyNumberFormat="1" applyFont="1"/>
    <xf numFmtId="0" fontId="12" fillId="0" borderId="5" xfId="0" applyFont="1" applyBorder="1"/>
    <xf numFmtId="2" fontId="52" fillId="0" borderId="5" xfId="0" applyNumberFormat="1" applyFont="1" applyBorder="1" applyAlignment="1">
      <alignment horizontal="center"/>
    </xf>
    <xf numFmtId="0" fontId="52" fillId="0" borderId="0" xfId="0" applyFont="1"/>
    <xf numFmtId="1" fontId="52" fillId="0" borderId="5" xfId="0" applyNumberFormat="1" applyFont="1" applyBorder="1" applyAlignment="1">
      <alignment horizontal="center"/>
    </xf>
    <xf numFmtId="43" fontId="10" fillId="0" borderId="5" xfId="1" applyFont="1" applyFill="1" applyBorder="1"/>
    <xf numFmtId="0" fontId="2" fillId="0" borderId="5" xfId="0" applyFont="1" applyBorder="1"/>
    <xf numFmtId="43" fontId="2" fillId="0" borderId="0" xfId="0" applyNumberFormat="1" applyFont="1"/>
    <xf numFmtId="0" fontId="35" fillId="0" borderId="70" xfId="0" applyFont="1" applyBorder="1"/>
    <xf numFmtId="44" fontId="29" fillId="11" borderId="36" xfId="2" applyFont="1" applyFill="1" applyBorder="1" applyAlignment="1">
      <alignment horizontal="center"/>
    </xf>
    <xf numFmtId="44" fontId="29" fillId="11" borderId="37" xfId="2" applyFont="1" applyFill="1" applyBorder="1" applyAlignment="1">
      <alignment horizontal="center"/>
    </xf>
    <xf numFmtId="1" fontId="32" fillId="9" borderId="20" xfId="1" applyNumberFormat="1" applyFont="1" applyFill="1" applyBorder="1" applyAlignment="1" applyProtection="1">
      <alignment horizontal="center" vertical="center"/>
      <protection locked="0"/>
    </xf>
    <xf numFmtId="1" fontId="17" fillId="9" borderId="20" xfId="1" applyNumberFormat="1" applyFont="1" applyFill="1" applyBorder="1" applyAlignment="1" applyProtection="1">
      <alignment horizontal="center" vertical="center"/>
      <protection locked="0"/>
    </xf>
    <xf numFmtId="43" fontId="0" fillId="0" borderId="21" xfId="1" applyFont="1" applyFill="1" applyBorder="1" applyAlignment="1" applyProtection="1">
      <alignment vertical="center"/>
    </xf>
    <xf numFmtId="9" fontId="29" fillId="11" borderId="36" xfId="3" applyFont="1" applyFill="1" applyBorder="1" applyAlignment="1" applyProtection="1">
      <alignment horizontal="center"/>
    </xf>
    <xf numFmtId="9" fontId="29" fillId="11" borderId="37" xfId="3" applyFont="1" applyFill="1" applyBorder="1" applyAlignment="1" applyProtection="1">
      <alignment horizontal="center"/>
    </xf>
    <xf numFmtId="43" fontId="32" fillId="0" borderId="20" xfId="1" applyFont="1" applyFill="1" applyBorder="1" applyAlignment="1" applyProtection="1">
      <alignment horizontal="center" vertical="center"/>
    </xf>
    <xf numFmtId="43" fontId="17" fillId="7" borderId="20" xfId="1" applyFont="1" applyFill="1" applyBorder="1" applyAlignment="1" applyProtection="1">
      <alignment horizontal="center" vertical="center"/>
    </xf>
    <xf numFmtId="0" fontId="0" fillId="9" borderId="22" xfId="0" applyFill="1" applyBorder="1"/>
    <xf numFmtId="0" fontId="19" fillId="0" borderId="0" xfId="4" applyFont="1" applyAlignment="1">
      <alignment horizontal="center"/>
    </xf>
    <xf numFmtId="0" fontId="19" fillId="0" borderId="0" xfId="4" applyFont="1"/>
    <xf numFmtId="0" fontId="23" fillId="0" borderId="44" xfId="4" applyFont="1" applyBorder="1" applyAlignment="1">
      <alignment horizontal="center" vertical="center"/>
    </xf>
    <xf numFmtId="0" fontId="20" fillId="0" borderId="45" xfId="4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37" fillId="5" borderId="45" xfId="4" applyFont="1" applyFill="1" applyBorder="1" applyAlignment="1">
      <alignment horizontal="center" vertical="center" wrapText="1"/>
    </xf>
    <xf numFmtId="0" fontId="20" fillId="0" borderId="46" xfId="4" applyFont="1" applyBorder="1" applyAlignment="1">
      <alignment horizontal="center" vertical="center"/>
    </xf>
    <xf numFmtId="0" fontId="0" fillId="0" borderId="65" xfId="0" applyBorder="1" applyAlignment="1">
      <alignment horizontal="center"/>
    </xf>
    <xf numFmtId="44" fontId="0" fillId="0" borderId="22" xfId="2" applyFont="1" applyBorder="1" applyAlignment="1" applyProtection="1">
      <alignment horizontal="center"/>
    </xf>
    <xf numFmtId="166" fontId="31" fillId="0" borderId="20" xfId="5" applyFont="1" applyFill="1" applyBorder="1" applyProtection="1"/>
    <xf numFmtId="166" fontId="31" fillId="0" borderId="20" xfId="5" applyFont="1" applyBorder="1" applyAlignment="1" applyProtection="1">
      <alignment horizontal="center"/>
    </xf>
    <xf numFmtId="166" fontId="31" fillId="0" borderId="22" xfId="5" applyFont="1" applyFill="1" applyBorder="1" applyProtection="1"/>
    <xf numFmtId="166" fontId="31" fillId="0" borderId="21" xfId="5" applyFont="1" applyFill="1" applyBorder="1" applyProtection="1"/>
    <xf numFmtId="14" fontId="0" fillId="0" borderId="43" xfId="0" applyNumberFormat="1" applyBorder="1" applyAlignment="1">
      <alignment horizontal="center"/>
    </xf>
    <xf numFmtId="0" fontId="0" fillId="0" borderId="43" xfId="0" applyBorder="1"/>
    <xf numFmtId="0" fontId="0" fillId="3" borderId="4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21" xfId="0" applyBorder="1" applyAlignment="1">
      <alignment horizontal="center"/>
    </xf>
    <xf numFmtId="0" fontId="0" fillId="0" borderId="63" xfId="0" applyBorder="1" applyAlignment="1">
      <alignment horizontal="center"/>
    </xf>
    <xf numFmtId="44" fontId="23" fillId="14" borderId="0" xfId="0" applyNumberFormat="1" applyFont="1" applyFill="1"/>
    <xf numFmtId="0" fontId="29" fillId="11" borderId="39" xfId="0" applyFont="1" applyFill="1" applyBorder="1" applyAlignment="1" applyProtection="1">
      <alignment horizontal="center" vertical="center"/>
      <protection locked="0"/>
    </xf>
    <xf numFmtId="0" fontId="58" fillId="0" borderId="20" xfId="4" applyFont="1" applyBorder="1" applyAlignment="1" applyProtection="1">
      <alignment horizontal="left" vertical="center"/>
      <protection locked="0"/>
    </xf>
    <xf numFmtId="0" fontId="29" fillId="11" borderId="40" xfId="0" applyFont="1" applyFill="1" applyBorder="1" applyAlignment="1" applyProtection="1">
      <alignment horizontal="center" vertical="center"/>
      <protection locked="0"/>
    </xf>
    <xf numFmtId="0" fontId="29" fillId="11" borderId="41" xfId="0" applyFont="1" applyFill="1" applyBorder="1" applyAlignment="1" applyProtection="1">
      <alignment vertical="center"/>
      <protection locked="0"/>
    </xf>
    <xf numFmtId="44" fontId="29" fillId="11" borderId="35" xfId="2" applyFont="1" applyFill="1" applyBorder="1" applyAlignment="1" applyProtection="1">
      <alignment horizontal="center" vertical="center"/>
      <protection locked="0"/>
    </xf>
    <xf numFmtId="0" fontId="29" fillId="11" borderId="40" xfId="2" applyNumberFormat="1" applyFont="1" applyFill="1" applyBorder="1" applyAlignment="1" applyProtection="1">
      <alignment horizontal="left" vertical="center"/>
      <protection locked="0"/>
    </xf>
    <xf numFmtId="0" fontId="29" fillId="11" borderId="42" xfId="2" applyNumberFormat="1" applyFont="1" applyFill="1" applyBorder="1" applyAlignment="1" applyProtection="1">
      <alignment horizontal="left" vertical="center"/>
      <protection locked="0"/>
    </xf>
    <xf numFmtId="0" fontId="30" fillId="11" borderId="35" xfId="0" applyFont="1" applyFill="1" applyBorder="1" applyAlignment="1" applyProtection="1">
      <alignment horizontal="center" vertical="center"/>
      <protection locked="0"/>
    </xf>
    <xf numFmtId="0" fontId="30" fillId="11" borderId="40" xfId="0" applyFont="1" applyFill="1" applyBorder="1" applyAlignment="1" applyProtection="1">
      <alignment horizontal="center" vertical="center"/>
      <protection locked="0"/>
    </xf>
    <xf numFmtId="0" fontId="58" fillId="0" borderId="20" xfId="4" applyFont="1" applyBorder="1" applyAlignment="1">
      <alignment horizontal="center" vertical="center"/>
    </xf>
    <xf numFmtId="44" fontId="17" fillId="0" borderId="0" xfId="2" applyFont="1"/>
    <xf numFmtId="44" fontId="0" fillId="0" borderId="21" xfId="2" applyFont="1" applyBorder="1" applyAlignment="1">
      <alignment vertical="center"/>
    </xf>
    <xf numFmtId="44" fontId="27" fillId="0" borderId="21" xfId="2" applyFont="1" applyBorder="1" applyAlignment="1" applyProtection="1">
      <alignment vertical="center"/>
      <protection locked="0"/>
    </xf>
    <xf numFmtId="0" fontId="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0" fontId="19" fillId="0" borderId="0" xfId="0" applyNumberFormat="1" applyFont="1"/>
    <xf numFmtId="170" fontId="53" fillId="0" borderId="0" xfId="4" applyNumberFormat="1" applyFont="1" applyAlignment="1">
      <alignment horizontal="center"/>
    </xf>
    <xf numFmtId="170" fontId="19" fillId="0" borderId="0" xfId="0" applyNumberFormat="1" applyFont="1" applyAlignment="1">
      <alignment horizontal="center"/>
    </xf>
    <xf numFmtId="170" fontId="27" fillId="0" borderId="20" xfId="1" applyNumberFormat="1" applyFont="1" applyBorder="1" applyAlignment="1">
      <alignment horizontal="center" vertical="center" wrapText="1"/>
    </xf>
    <xf numFmtId="170" fontId="27" fillId="0" borderId="5" xfId="1" applyNumberFormat="1" applyFont="1" applyBorder="1" applyAlignment="1">
      <alignment horizontal="center" vertical="center" wrapText="1"/>
    </xf>
    <xf numFmtId="170" fontId="0" fillId="0" borderId="0" xfId="0" applyNumberFormat="1"/>
    <xf numFmtId="170" fontId="24" fillId="0" borderId="0" xfId="0" applyNumberFormat="1" applyFont="1"/>
    <xf numFmtId="170" fontId="51" fillId="0" borderId="0" xfId="0" applyNumberFormat="1" applyFont="1"/>
    <xf numFmtId="170" fontId="55" fillId="0" borderId="0" xfId="0" applyNumberFormat="1" applyFont="1"/>
    <xf numFmtId="0" fontId="20" fillId="0" borderId="1" xfId="0" applyFont="1" applyBorder="1" applyAlignment="1">
      <alignment horizontal="center" vertical="center" wrapText="1"/>
    </xf>
    <xf numFmtId="44" fontId="17" fillId="9" borderId="20" xfId="2" applyFont="1" applyFill="1" applyBorder="1" applyAlignment="1" applyProtection="1">
      <alignment horizontal="center" vertical="center"/>
      <protection locked="0"/>
    </xf>
    <xf numFmtId="44" fontId="32" fillId="9" borderId="20" xfId="2" applyFont="1" applyFill="1" applyBorder="1" applyAlignment="1" applyProtection="1">
      <alignment horizontal="center" vertical="center"/>
      <protection locked="0"/>
    </xf>
    <xf numFmtId="0" fontId="27" fillId="0" borderId="20" xfId="0" applyFont="1" applyBorder="1" applyAlignment="1">
      <alignment horizontal="left" vertical="center" wrapText="1"/>
    </xf>
    <xf numFmtId="0" fontId="66" fillId="16" borderId="73" xfId="0" applyFont="1" applyFill="1" applyBorder="1" applyAlignment="1">
      <alignment horizontal="left" vertical="center" wrapText="1"/>
    </xf>
    <xf numFmtId="168" fontId="66" fillId="16" borderId="73" xfId="0" applyNumberFormat="1" applyFont="1" applyFill="1" applyBorder="1" applyAlignment="1">
      <alignment vertical="center" wrapText="1"/>
    </xf>
    <xf numFmtId="0" fontId="66" fillId="16" borderId="74" xfId="0" applyFont="1" applyFill="1" applyBorder="1" applyAlignment="1">
      <alignment horizontal="left" vertical="center" wrapText="1"/>
    </xf>
    <xf numFmtId="168" fontId="66" fillId="16" borderId="74" xfId="0" applyNumberFormat="1" applyFont="1" applyFill="1" applyBorder="1" applyAlignment="1">
      <alignment vertical="center" wrapText="1"/>
    </xf>
    <xf numFmtId="0" fontId="46" fillId="0" borderId="0" xfId="4" applyFont="1"/>
    <xf numFmtId="0" fontId="46" fillId="0" borderId="0" xfId="4" applyFont="1" applyAlignment="1">
      <alignment horizontal="center"/>
    </xf>
    <xf numFmtId="0" fontId="66" fillId="16" borderId="75" xfId="0" applyFont="1" applyFill="1" applyBorder="1" applyAlignment="1">
      <alignment horizontal="left" vertical="center" wrapText="1"/>
    </xf>
    <xf numFmtId="168" fontId="66" fillId="16" borderId="75" xfId="0" applyNumberFormat="1" applyFont="1" applyFill="1" applyBorder="1" applyAlignment="1">
      <alignment vertical="center" wrapText="1"/>
    </xf>
    <xf numFmtId="0" fontId="2" fillId="0" borderId="78" xfId="4" applyBorder="1" applyAlignment="1">
      <alignment horizontal="center"/>
    </xf>
    <xf numFmtId="0" fontId="27" fillId="0" borderId="79" xfId="4" applyFont="1" applyBorder="1" applyAlignment="1">
      <alignment horizontal="center"/>
    </xf>
    <xf numFmtId="0" fontId="9" fillId="0" borderId="80" xfId="4" applyFont="1" applyBorder="1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horizontal="center"/>
    </xf>
    <xf numFmtId="43" fontId="0" fillId="0" borderId="0" xfId="0" applyNumberFormat="1"/>
    <xf numFmtId="0" fontId="23" fillId="19" borderId="82" xfId="0" applyFont="1" applyFill="1" applyBorder="1"/>
    <xf numFmtId="44" fontId="0" fillId="3" borderId="21" xfId="2" applyFont="1" applyFill="1" applyBorder="1" applyAlignment="1" applyProtection="1">
      <alignment vertical="center"/>
      <protection locked="0"/>
    </xf>
    <xf numFmtId="44" fontId="23" fillId="0" borderId="0" xfId="2" applyFont="1"/>
    <xf numFmtId="0" fontId="27" fillId="3" borderId="20" xfId="0" applyFont="1" applyFill="1" applyBorder="1" applyAlignment="1">
      <alignment horizontal="center" vertical="center"/>
    </xf>
    <xf numFmtId="44" fontId="0" fillId="0" borderId="21" xfId="2" applyFont="1" applyFill="1" applyBorder="1" applyAlignment="1" applyProtection="1">
      <alignment vertical="center"/>
      <protection locked="0"/>
    </xf>
    <xf numFmtId="170" fontId="27" fillId="0" borderId="20" xfId="1" applyNumberFormat="1" applyFont="1" applyFill="1" applyBorder="1" applyAlignment="1">
      <alignment horizontal="center" vertical="center" wrapText="1"/>
    </xf>
    <xf numFmtId="4" fontId="27" fillId="0" borderId="21" xfId="1" applyNumberFormat="1" applyFont="1" applyFill="1" applyBorder="1" applyAlignment="1">
      <alignment horizontal="center" vertical="center"/>
    </xf>
    <xf numFmtId="0" fontId="0" fillId="0" borderId="0" xfId="2" applyNumberFormat="1" applyFont="1"/>
    <xf numFmtId="44" fontId="24" fillId="0" borderId="0" xfId="2" applyFont="1"/>
    <xf numFmtId="8" fontId="0" fillId="0" borderId="0" xfId="0" applyNumberFormat="1"/>
    <xf numFmtId="44" fontId="0" fillId="0" borderId="0" xfId="0" applyNumberFormat="1" applyAlignment="1">
      <alignment vertical="center" wrapText="1"/>
    </xf>
    <xf numFmtId="0" fontId="75" fillId="21" borderId="5" xfId="0" applyFont="1" applyFill="1" applyBorder="1" applyAlignment="1">
      <alignment horizontal="left" vertical="center"/>
    </xf>
    <xf numFmtId="44" fontId="27" fillId="0" borderId="83" xfId="2" applyFont="1" applyFill="1" applyBorder="1" applyAlignment="1">
      <alignment horizontal="center" vertical="center"/>
    </xf>
    <xf numFmtId="44" fontId="0" fillId="0" borderId="84" xfId="2" applyFont="1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15" fontId="27" fillId="0" borderId="83" xfId="0" applyNumberFormat="1" applyFont="1" applyBorder="1" applyAlignment="1">
      <alignment horizontal="center" vertical="center"/>
    </xf>
    <xf numFmtId="15" fontId="0" fillId="0" borderId="84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5" fontId="0" fillId="0" borderId="18" xfId="0" applyNumberFormat="1" applyBorder="1" applyAlignment="1">
      <alignment horizontal="center" vertical="center"/>
    </xf>
    <xf numFmtId="44" fontId="0" fillId="0" borderId="18" xfId="2" applyFont="1" applyBorder="1" applyAlignment="1">
      <alignment horizontal="center" vertical="center"/>
    </xf>
    <xf numFmtId="15" fontId="27" fillId="0" borderId="87" xfId="0" applyNumberFormat="1" applyFont="1" applyBorder="1" applyAlignment="1">
      <alignment horizontal="center" vertical="center"/>
    </xf>
    <xf numFmtId="15" fontId="0" fillId="0" borderId="88" xfId="0" applyNumberFormat="1" applyBorder="1" applyAlignment="1">
      <alignment horizontal="center" vertical="center"/>
    </xf>
    <xf numFmtId="15" fontId="0" fillId="0" borderId="58" xfId="0" applyNumberFormat="1" applyBorder="1" applyAlignment="1">
      <alignment horizontal="center" vertical="center"/>
    </xf>
    <xf numFmtId="0" fontId="27" fillId="0" borderId="87" xfId="0" applyFont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" fontId="27" fillId="0" borderId="87" xfId="0" applyNumberFormat="1" applyFont="1" applyBorder="1" applyAlignment="1">
      <alignment horizontal="center" vertical="center"/>
    </xf>
    <xf numFmtId="1" fontId="0" fillId="0" borderId="88" xfId="0" applyNumberFormat="1" applyBorder="1" applyAlignment="1">
      <alignment horizontal="center" vertical="center"/>
    </xf>
    <xf numFmtId="1" fontId="0" fillId="0" borderId="58" xfId="0" applyNumberFormat="1" applyBorder="1" applyAlignment="1">
      <alignment horizontal="center" vertical="center"/>
    </xf>
    <xf numFmtId="0" fontId="76" fillId="21" borderId="9" xfId="0" applyFont="1" applyFill="1" applyBorder="1" applyAlignment="1">
      <alignment horizontal="center" vertical="center"/>
    </xf>
    <xf numFmtId="44" fontId="73" fillId="21" borderId="12" xfId="2" applyFont="1" applyFill="1" applyBorder="1" applyAlignment="1">
      <alignment horizontal="center" vertical="center"/>
    </xf>
    <xf numFmtId="1" fontId="73" fillId="21" borderId="9" xfId="0" applyNumberFormat="1" applyFont="1" applyFill="1" applyBorder="1" applyAlignment="1">
      <alignment horizontal="center" vertical="center"/>
    </xf>
    <xf numFmtId="0" fontId="18" fillId="21" borderId="5" xfId="0" applyFont="1" applyFill="1" applyBorder="1" applyAlignment="1">
      <alignment horizontal="center"/>
    </xf>
    <xf numFmtId="0" fontId="17" fillId="0" borderId="89" xfId="0" applyFont="1" applyBorder="1"/>
    <xf numFmtId="44" fontId="17" fillId="0" borderId="89" xfId="2" applyFont="1" applyBorder="1"/>
    <xf numFmtId="0" fontId="18" fillId="21" borderId="54" xfId="0" applyFont="1" applyFill="1" applyBorder="1"/>
    <xf numFmtId="44" fontId="18" fillId="21" borderId="59" xfId="2" applyFont="1" applyFill="1" applyBorder="1" applyAlignment="1"/>
    <xf numFmtId="0" fontId="18" fillId="21" borderId="91" xfId="0" applyFont="1" applyFill="1" applyBorder="1"/>
    <xf numFmtId="0" fontId="18" fillId="21" borderId="90" xfId="0" applyFont="1" applyFill="1" applyBorder="1"/>
    <xf numFmtId="44" fontId="59" fillId="21" borderId="60" xfId="2" applyFont="1" applyFill="1" applyBorder="1" applyAlignment="1"/>
    <xf numFmtId="44" fontId="59" fillId="21" borderId="90" xfId="2" applyFont="1" applyFill="1" applyBorder="1" applyAlignment="1"/>
    <xf numFmtId="0" fontId="77" fillId="21" borderId="5" xfId="0" applyFont="1" applyFill="1" applyBorder="1" applyAlignment="1">
      <alignment horizontal="left" vertical="center"/>
    </xf>
    <xf numFmtId="0" fontId="78" fillId="0" borderId="5" xfId="0" applyFont="1" applyBorder="1"/>
    <xf numFmtId="0" fontId="23" fillId="0" borderId="56" xfId="0" applyFont="1" applyBorder="1" applyAlignment="1">
      <alignment horizontal="center" vertical="center"/>
    </xf>
    <xf numFmtId="0" fontId="59" fillId="21" borderId="47" xfId="0" applyFont="1" applyFill="1" applyBorder="1" applyAlignment="1">
      <alignment horizontal="center"/>
    </xf>
    <xf numFmtId="0" fontId="59" fillId="21" borderId="49" xfId="0" applyFont="1" applyFill="1" applyBorder="1" applyAlignment="1">
      <alignment horizontal="center"/>
    </xf>
    <xf numFmtId="0" fontId="59" fillId="21" borderId="56" xfId="0" applyFont="1" applyFill="1" applyBorder="1" applyAlignment="1">
      <alignment horizontal="center"/>
    </xf>
    <xf numFmtId="44" fontId="23" fillId="0" borderId="9" xfId="2" applyFont="1" applyBorder="1" applyAlignment="1">
      <alignment horizontal="center" vertical="center"/>
    </xf>
    <xf numFmtId="0" fontId="0" fillId="0" borderId="86" xfId="0" applyBorder="1" applyAlignment="1">
      <alignment horizontal="center"/>
    </xf>
    <xf numFmtId="167" fontId="23" fillId="0" borderId="84" xfId="6" applyFont="1" applyFill="1" applyBorder="1" applyAlignment="1">
      <alignment vertical="center"/>
    </xf>
    <xf numFmtId="167" fontId="1" fillId="0" borderId="84" xfId="6" applyFont="1" applyFill="1" applyBorder="1" applyAlignment="1">
      <alignment vertical="center"/>
    </xf>
    <xf numFmtId="167" fontId="0" fillId="0" borderId="84" xfId="6" applyFont="1" applyFill="1" applyBorder="1" applyAlignment="1">
      <alignment vertical="center"/>
    </xf>
    <xf numFmtId="17" fontId="17" fillId="0" borderId="88" xfId="0" applyNumberFormat="1" applyFont="1" applyBorder="1" applyAlignment="1">
      <alignment horizontal="center"/>
    </xf>
    <xf numFmtId="14" fontId="0" fillId="0" borderId="88" xfId="0" applyNumberFormat="1" applyBorder="1" applyAlignment="1">
      <alignment horizontal="center" vertical="center"/>
    </xf>
    <xf numFmtId="0" fontId="0" fillId="0" borderId="92" xfId="0" applyBorder="1" applyAlignment="1">
      <alignment horizontal="center"/>
    </xf>
    <xf numFmtId="14" fontId="0" fillId="0" borderId="93" xfId="0" applyNumberFormat="1" applyBorder="1" applyAlignment="1">
      <alignment horizontal="center" vertical="center"/>
    </xf>
    <xf numFmtId="167" fontId="0" fillId="0" borderId="94" xfId="6" applyFont="1" applyFill="1" applyBorder="1" applyAlignment="1">
      <alignment vertical="center"/>
    </xf>
    <xf numFmtId="0" fontId="80" fillId="0" borderId="0" xfId="9" applyFont="1"/>
    <xf numFmtId="0" fontId="80" fillId="0" borderId="95" xfId="9" applyFont="1" applyBorder="1"/>
    <xf numFmtId="0" fontId="80" fillId="0" borderId="96" xfId="9" applyFont="1" applyBorder="1"/>
    <xf numFmtId="0" fontId="80" fillId="0" borderId="97" xfId="9" applyFont="1" applyBorder="1"/>
    <xf numFmtId="44" fontId="81" fillId="0" borderId="98" xfId="10" applyFont="1" applyBorder="1" applyAlignment="1">
      <alignment vertical="top" wrapText="1" readingOrder="1"/>
    </xf>
    <xf numFmtId="0" fontId="80" fillId="0" borderId="20" xfId="9" applyFont="1" applyBorder="1"/>
    <xf numFmtId="44" fontId="83" fillId="0" borderId="46" xfId="10" applyFont="1" applyBorder="1" applyAlignment="1">
      <alignment horizontal="center" vertical="center"/>
    </xf>
    <xf numFmtId="0" fontId="84" fillId="0" borderId="45" xfId="9" applyFont="1" applyBorder="1" applyAlignment="1">
      <alignment horizontal="center" vertical="center" wrapText="1" readingOrder="1"/>
    </xf>
    <xf numFmtId="0" fontId="84" fillId="0" borderId="44" xfId="9" applyFont="1" applyBorder="1" applyAlignment="1">
      <alignment horizontal="center" vertical="center" wrapText="1" readingOrder="1"/>
    </xf>
    <xf numFmtId="0" fontId="84" fillId="0" borderId="95" xfId="9" applyFont="1" applyBorder="1" applyAlignment="1">
      <alignment horizontal="center" vertical="center" wrapText="1" readingOrder="1"/>
    </xf>
    <xf numFmtId="0" fontId="84" fillId="0" borderId="96" xfId="9" applyFont="1" applyBorder="1" applyAlignment="1">
      <alignment horizontal="center" vertical="center" wrapText="1" readingOrder="1"/>
    </xf>
    <xf numFmtId="0" fontId="84" fillId="0" borderId="97" xfId="9" applyFont="1" applyBorder="1" applyAlignment="1">
      <alignment horizontal="center" vertical="center" wrapText="1" readingOrder="1"/>
    </xf>
    <xf numFmtId="0" fontId="80" fillId="0" borderId="98" xfId="9" applyFont="1" applyBorder="1" applyAlignment="1">
      <alignment horizontal="center" vertical="center"/>
    </xf>
    <xf numFmtId="0" fontId="80" fillId="0" borderId="20" xfId="9" applyFont="1" applyBorder="1" applyAlignment="1">
      <alignment horizontal="center" vertical="center"/>
    </xf>
    <xf numFmtId="0" fontId="80" fillId="0" borderId="99" xfId="9" applyFont="1" applyBorder="1" applyAlignment="1">
      <alignment horizontal="center" vertical="center"/>
    </xf>
    <xf numFmtId="0" fontId="84" fillId="0" borderId="102" xfId="9" applyFont="1" applyBorder="1" applyAlignment="1">
      <alignment horizontal="center" vertical="center" wrapText="1" readingOrder="1"/>
    </xf>
    <xf numFmtId="0" fontId="84" fillId="0" borderId="103" xfId="9" applyFont="1" applyBorder="1" applyAlignment="1">
      <alignment horizontal="center" vertical="center" wrapText="1" readingOrder="1"/>
    </xf>
    <xf numFmtId="0" fontId="84" fillId="0" borderId="104" xfId="9" applyFont="1" applyBorder="1" applyAlignment="1">
      <alignment horizontal="center" vertical="center" wrapText="1" readingOrder="1"/>
    </xf>
    <xf numFmtId="0" fontId="84" fillId="0" borderId="56" xfId="9" applyFont="1" applyBorder="1" applyAlignment="1">
      <alignment horizontal="center" vertical="center" wrapText="1" readingOrder="1"/>
    </xf>
    <xf numFmtId="0" fontId="84" fillId="0" borderId="57" xfId="9" applyFont="1" applyBorder="1" applyAlignment="1">
      <alignment horizontal="center" vertical="center" wrapText="1" readingOrder="1"/>
    </xf>
    <xf numFmtId="0" fontId="84" fillId="0" borderId="58" xfId="9" applyFont="1" applyBorder="1" applyAlignment="1">
      <alignment horizontal="center" vertical="center" wrapText="1" readingOrder="1"/>
    </xf>
    <xf numFmtId="164" fontId="66" fillId="16" borderId="0" xfId="0" applyNumberFormat="1" applyFont="1" applyFill="1" applyAlignment="1">
      <alignment horizontal="center" vertical="center" wrapText="1"/>
    </xf>
    <xf numFmtId="44" fontId="48" fillId="0" borderId="0" xfId="0" applyNumberFormat="1" applyFont="1"/>
    <xf numFmtId="0" fontId="0" fillId="5" borderId="86" xfId="0" applyFill="1" applyBorder="1" applyAlignment="1">
      <alignment horizontal="center" vertical="center"/>
    </xf>
    <xf numFmtId="15" fontId="27" fillId="5" borderId="88" xfId="0" applyNumberFormat="1" applyFont="1" applyFill="1" applyBorder="1" applyAlignment="1">
      <alignment horizontal="center" vertical="center"/>
    </xf>
    <xf numFmtId="15" fontId="27" fillId="5" borderId="84" xfId="0" applyNumberFormat="1" applyFont="1" applyFill="1" applyBorder="1" applyAlignment="1">
      <alignment horizontal="center" vertical="center"/>
    </xf>
    <xf numFmtId="0" fontId="27" fillId="5" borderId="88" xfId="0" applyFont="1" applyFill="1" applyBorder="1" applyAlignment="1">
      <alignment horizontal="center" vertical="center"/>
    </xf>
    <xf numFmtId="1" fontId="27" fillId="5" borderId="88" xfId="0" applyNumberFormat="1" applyFont="1" applyFill="1" applyBorder="1" applyAlignment="1">
      <alignment horizontal="center" vertical="center"/>
    </xf>
    <xf numFmtId="44" fontId="27" fillId="5" borderId="84" xfId="2" applyFont="1" applyFill="1" applyBorder="1" applyAlignment="1">
      <alignment horizontal="center" vertical="center"/>
    </xf>
    <xf numFmtId="15" fontId="0" fillId="5" borderId="88" xfId="0" applyNumberFormat="1" applyFill="1" applyBorder="1" applyAlignment="1">
      <alignment horizontal="center" vertical="center"/>
    </xf>
    <xf numFmtId="15" fontId="0" fillId="5" borderId="84" xfId="0" applyNumberFormat="1" applyFill="1" applyBorder="1" applyAlignment="1">
      <alignment horizontal="center" vertical="center"/>
    </xf>
    <xf numFmtId="0" fontId="0" fillId="5" borderId="88" xfId="0" applyFill="1" applyBorder="1" applyAlignment="1">
      <alignment horizontal="center" vertical="center"/>
    </xf>
    <xf numFmtId="1" fontId="0" fillId="5" borderId="88" xfId="0" applyNumberFormat="1" applyFill="1" applyBorder="1" applyAlignment="1">
      <alignment horizontal="center" vertical="center"/>
    </xf>
    <xf numFmtId="44" fontId="0" fillId="5" borderId="84" xfId="2" applyFont="1" applyFill="1" applyBorder="1" applyAlignment="1">
      <alignment horizontal="center" vertical="center"/>
    </xf>
    <xf numFmtId="0" fontId="82" fillId="0" borderId="101" xfId="9" applyFont="1" applyBorder="1" applyAlignment="1">
      <alignment horizontal="center" vertical="center"/>
    </xf>
    <xf numFmtId="0" fontId="82" fillId="0" borderId="99" xfId="9" applyFont="1" applyBorder="1" applyAlignment="1">
      <alignment horizontal="center" vertical="center"/>
    </xf>
    <xf numFmtId="0" fontId="81" fillId="0" borderId="21" xfId="9" applyFont="1" applyBorder="1" applyAlignment="1">
      <alignment horizontal="left" vertical="center" wrapText="1" readingOrder="1"/>
    </xf>
    <xf numFmtId="0" fontId="81" fillId="0" borderId="20" xfId="9" applyFont="1" applyBorder="1" applyAlignment="1">
      <alignment horizontal="left" vertical="center" wrapText="1" readingOrder="1"/>
    </xf>
    <xf numFmtId="0" fontId="82" fillId="0" borderId="20" xfId="9" applyFont="1" applyBorder="1" applyAlignment="1">
      <alignment horizontal="left" vertical="center"/>
    </xf>
    <xf numFmtId="0" fontId="80" fillId="0" borderId="20" xfId="9" applyFont="1" applyBorder="1" applyAlignment="1">
      <alignment horizontal="left" vertical="center"/>
    </xf>
    <xf numFmtId="44" fontId="81" fillId="0" borderId="100" xfId="10" applyFont="1" applyBorder="1" applyAlignment="1">
      <alignment vertical="center" wrapText="1" readingOrder="1"/>
    </xf>
    <xf numFmtId="44" fontId="81" fillId="0" borderId="98" xfId="10" applyFont="1" applyBorder="1" applyAlignment="1">
      <alignment vertical="center" wrapText="1" readingOrder="1"/>
    </xf>
    <xf numFmtId="0" fontId="81" fillId="0" borderId="21" xfId="9" applyFont="1" applyBorder="1" applyAlignment="1">
      <alignment horizontal="center" vertical="center" wrapText="1" readingOrder="1"/>
    </xf>
    <xf numFmtId="0" fontId="81" fillId="0" borderId="20" xfId="9" applyFont="1" applyBorder="1" applyAlignment="1">
      <alignment horizontal="center" vertical="center" wrapText="1" readingOrder="1"/>
    </xf>
    <xf numFmtId="0" fontId="82" fillId="0" borderId="20" xfId="9" applyFont="1" applyBorder="1" applyAlignment="1">
      <alignment horizontal="center" vertical="center"/>
    </xf>
    <xf numFmtId="0" fontId="66" fillId="16" borderId="105" xfId="0" applyFont="1" applyFill="1" applyBorder="1" applyAlignment="1">
      <alignment horizontal="left" vertical="center" wrapText="1"/>
    </xf>
    <xf numFmtId="168" fontId="66" fillId="16" borderId="105" xfId="0" applyNumberFormat="1" applyFont="1" applyFill="1" applyBorder="1" applyAlignment="1">
      <alignment vertical="center" wrapText="1"/>
    </xf>
    <xf numFmtId="0" fontId="87" fillId="0" borderId="107" xfId="0" applyFont="1" applyBorder="1" applyAlignment="1">
      <alignment horizontal="left" vertical="top" wrapText="1"/>
    </xf>
    <xf numFmtId="44" fontId="0" fillId="0" borderId="0" xfId="2" applyFont="1" applyAlignment="1">
      <alignment horizontal="right"/>
    </xf>
    <xf numFmtId="44" fontId="86" fillId="0" borderId="107" xfId="2" applyFont="1" applyBorder="1" applyAlignment="1">
      <alignment horizontal="right" shrinkToFit="1"/>
    </xf>
    <xf numFmtId="43" fontId="0" fillId="10" borderId="21" xfId="0" applyNumberFormat="1" applyFill="1" applyBorder="1" applyAlignment="1">
      <alignment horizontal="right"/>
    </xf>
    <xf numFmtId="2" fontId="0" fillId="5" borderId="21" xfId="0" applyNumberFormat="1" applyFill="1" applyBorder="1" applyAlignment="1">
      <alignment vertical="center"/>
    </xf>
    <xf numFmtId="0" fontId="89" fillId="0" borderId="108" xfId="0" applyFont="1" applyBorder="1" applyAlignment="1">
      <alignment horizontal="center" vertical="center" wrapText="1" readingOrder="1"/>
    </xf>
    <xf numFmtId="44" fontId="89" fillId="0" borderId="108" xfId="10" applyFont="1" applyBorder="1" applyAlignment="1">
      <alignment horizontal="center" vertical="center" wrapText="1" readingOrder="1"/>
    </xf>
    <xf numFmtId="0" fontId="91" fillId="0" borderId="108" xfId="0" applyFont="1" applyBorder="1" applyAlignment="1">
      <alignment horizontal="left" vertical="center" wrapText="1" readingOrder="1"/>
    </xf>
    <xf numFmtId="44" fontId="91" fillId="0" borderId="108" xfId="10" applyFont="1" applyBorder="1" applyAlignment="1">
      <alignment horizontal="right" vertical="center" wrapText="1" readingOrder="1"/>
    </xf>
    <xf numFmtId="173" fontId="91" fillId="0" borderId="108" xfId="0" applyNumberFormat="1" applyFont="1" applyBorder="1" applyAlignment="1">
      <alignment horizontal="center" vertical="center" wrapText="1" readingOrder="1"/>
    </xf>
    <xf numFmtId="44" fontId="89" fillId="0" borderId="108" xfId="10" applyFont="1" applyBorder="1" applyAlignment="1">
      <alignment horizontal="right" vertical="center" wrapText="1" readingOrder="1"/>
    </xf>
    <xf numFmtId="173" fontId="89" fillId="0" borderId="108" xfId="0" applyNumberFormat="1" applyFont="1" applyBorder="1" applyAlignment="1">
      <alignment horizontal="center" vertical="center" wrapText="1" readingOrder="1"/>
    </xf>
    <xf numFmtId="0" fontId="80" fillId="0" borderId="0" xfId="0" applyFont="1"/>
    <xf numFmtId="44" fontId="80" fillId="0" borderId="0" xfId="10" applyFont="1"/>
    <xf numFmtId="0" fontId="80" fillId="0" borderId="0" xfId="0" applyFont="1" applyAlignment="1">
      <alignment horizontal="center" vertical="center"/>
    </xf>
    <xf numFmtId="1" fontId="80" fillId="0" borderId="0" xfId="0" applyNumberFormat="1" applyFont="1" applyAlignment="1">
      <alignment horizontal="center" vertical="center"/>
    </xf>
    <xf numFmtId="172" fontId="80" fillId="0" borderId="0" xfId="0" applyNumberFormat="1" applyFont="1"/>
    <xf numFmtId="1" fontId="89" fillId="0" borderId="110" xfId="0" applyNumberFormat="1" applyFont="1" applyBorder="1" applyAlignment="1">
      <alignment horizontal="center" vertical="center" wrapText="1" readingOrder="1"/>
    </xf>
    <xf numFmtId="1" fontId="91" fillId="0" borderId="110" xfId="0" applyNumberFormat="1" applyFont="1" applyBorder="1" applyAlignment="1">
      <alignment horizontal="center" vertical="center" wrapText="1" readingOrder="1"/>
    </xf>
    <xf numFmtId="172" fontId="89" fillId="0" borderId="5" xfId="0" applyNumberFormat="1" applyFont="1" applyBorder="1" applyAlignment="1">
      <alignment horizontal="center" vertical="center" wrapText="1" readingOrder="1"/>
    </xf>
    <xf numFmtId="172" fontId="91" fillId="0" borderId="5" xfId="0" applyNumberFormat="1" applyFont="1" applyBorder="1" applyAlignment="1">
      <alignment horizontal="right" vertical="center" wrapText="1" readingOrder="1"/>
    </xf>
    <xf numFmtId="44" fontId="89" fillId="0" borderId="5" xfId="10" applyFont="1" applyBorder="1" applyAlignment="1">
      <alignment horizontal="right" vertical="center" wrapText="1" readingOrder="1"/>
    </xf>
    <xf numFmtId="44" fontId="0" fillId="0" borderId="0" xfId="2" applyFont="1" applyAlignment="1">
      <alignment horizontal="center" vertical="center"/>
    </xf>
    <xf numFmtId="44" fontId="23" fillId="0" borderId="5" xfId="2" applyFont="1" applyFill="1" applyBorder="1" applyAlignment="1">
      <alignment horizontal="center" vertical="center"/>
    </xf>
    <xf numFmtId="172" fontId="0" fillId="0" borderId="5" xfId="2" applyNumberFormat="1" applyFont="1" applyBorder="1" applyAlignment="1">
      <alignment horizontal="center" vertical="center"/>
    </xf>
    <xf numFmtId="1" fontId="0" fillId="0" borderId="0" xfId="2" applyNumberFormat="1" applyFont="1" applyAlignment="1">
      <alignment horizontal="center" vertical="center"/>
    </xf>
    <xf numFmtId="172" fontId="0" fillId="0" borderId="5" xfId="2" applyNumberFormat="1" applyFont="1" applyBorder="1"/>
    <xf numFmtId="172" fontId="17" fillId="0" borderId="5" xfId="2" applyNumberFormat="1" applyFont="1" applyBorder="1" applyAlignment="1">
      <alignment horizontal="right" vertical="center"/>
    </xf>
    <xf numFmtId="172" fontId="92" fillId="0" borderId="5" xfId="0" applyNumberFormat="1" applyFont="1" applyBorder="1" applyAlignment="1">
      <alignment horizontal="right" vertical="center" wrapText="1" readingOrder="1"/>
    </xf>
    <xf numFmtId="44" fontId="17" fillId="0" borderId="5" xfId="2" applyFont="1" applyBorder="1" applyAlignment="1">
      <alignment horizontal="right" vertical="center"/>
    </xf>
    <xf numFmtId="0" fontId="91" fillId="0" borderId="108" xfId="0" applyFont="1" applyBorder="1" applyAlignment="1">
      <alignment vertical="center" wrapText="1" readingOrder="1"/>
    </xf>
    <xf numFmtId="44" fontId="23" fillId="22" borderId="5" xfId="2" applyFont="1" applyFill="1" applyBorder="1" applyAlignment="1">
      <alignment horizontal="center" vertical="center"/>
    </xf>
    <xf numFmtId="172" fontId="17" fillId="22" borderId="5" xfId="2" applyNumberFormat="1" applyFont="1" applyFill="1" applyBorder="1" applyAlignment="1">
      <alignment horizontal="right" vertical="center"/>
    </xf>
    <xf numFmtId="0" fontId="89" fillId="0" borderId="5" xfId="0" applyFont="1" applyBorder="1" applyAlignment="1">
      <alignment horizontal="center" vertical="center" wrapText="1" readingOrder="1"/>
    </xf>
    <xf numFmtId="0" fontId="89" fillId="0" borderId="5" xfId="0" applyFont="1" applyBorder="1" applyAlignment="1">
      <alignment vertical="center" wrapText="1" readingOrder="1"/>
    </xf>
    <xf numFmtId="44" fontId="89" fillId="0" borderId="5" xfId="10" applyFont="1" applyBorder="1" applyAlignment="1">
      <alignment horizontal="center" vertical="center" wrapText="1" readingOrder="1"/>
    </xf>
    <xf numFmtId="1" fontId="89" fillId="0" borderId="5" xfId="0" applyNumberFormat="1" applyFont="1" applyBorder="1" applyAlignment="1">
      <alignment horizontal="center" vertical="center" wrapText="1" readingOrder="1"/>
    </xf>
    <xf numFmtId="0" fontId="91" fillId="0" borderId="5" xfId="0" applyFont="1" applyBorder="1" applyAlignment="1">
      <alignment horizontal="left" vertical="center" wrapText="1" readingOrder="1"/>
    </xf>
    <xf numFmtId="0" fontId="91" fillId="0" borderId="5" xfId="0" applyFont="1" applyBorder="1" applyAlignment="1">
      <alignment vertical="center" wrapText="1" readingOrder="1"/>
    </xf>
    <xf numFmtId="44" fontId="91" fillId="0" borderId="5" xfId="10" applyFont="1" applyBorder="1" applyAlignment="1">
      <alignment horizontal="right" vertical="center" wrapText="1" readingOrder="1"/>
    </xf>
    <xf numFmtId="1" fontId="91" fillId="0" borderId="5" xfId="0" applyNumberFormat="1" applyFont="1" applyBorder="1" applyAlignment="1">
      <alignment horizontal="center" vertical="center" wrapText="1" readingOrder="1"/>
    </xf>
    <xf numFmtId="0" fontId="91" fillId="0" borderId="108" xfId="0" applyFont="1" applyBorder="1" applyAlignment="1">
      <alignment horizontal="right" vertical="center" wrapText="1" readingOrder="1"/>
    </xf>
    <xf numFmtId="0" fontId="93" fillId="0" borderId="0" xfId="0" applyFont="1" applyAlignment="1">
      <alignment vertical="center" wrapText="1"/>
    </xf>
    <xf numFmtId="0" fontId="93" fillId="0" borderId="0" xfId="0" applyFont="1" applyAlignment="1">
      <alignment horizontal="center" vertical="center" wrapText="1"/>
    </xf>
    <xf numFmtId="0" fontId="93" fillId="0" borderId="0" xfId="0" applyFont="1" applyAlignment="1">
      <alignment horizontal="left" vertical="center" wrapText="1"/>
    </xf>
    <xf numFmtId="2" fontId="94" fillId="0" borderId="20" xfId="0" applyNumberFormat="1" applyFont="1" applyBorder="1" applyAlignment="1">
      <alignment horizontal="center" vertical="center" wrapText="1"/>
    </xf>
    <xf numFmtId="0" fontId="94" fillId="0" borderId="111" xfId="0" applyFont="1" applyBorder="1" applyAlignment="1">
      <alignment horizontal="left" vertical="center" wrapText="1"/>
    </xf>
    <xf numFmtId="0" fontId="94" fillId="0" borderId="0" xfId="0" applyFont="1" applyAlignment="1">
      <alignment horizontal="center" vertical="center" wrapText="1"/>
    </xf>
    <xf numFmtId="0" fontId="94" fillId="0" borderId="0" xfId="0" applyFont="1" applyAlignment="1">
      <alignment vertical="center" wrapText="1"/>
    </xf>
    <xf numFmtId="20" fontId="94" fillId="15" borderId="112" xfId="0" applyNumberFormat="1" applyFont="1" applyFill="1" applyBorder="1" applyAlignment="1">
      <alignment horizontal="center" vertical="center" wrapText="1"/>
    </xf>
    <xf numFmtId="0" fontId="94" fillId="15" borderId="113" xfId="0" applyFont="1" applyFill="1" applyBorder="1" applyAlignment="1">
      <alignment horizontal="center" vertical="center" wrapText="1"/>
    </xf>
    <xf numFmtId="20" fontId="94" fillId="0" borderId="20" xfId="0" applyNumberFormat="1" applyFont="1" applyBorder="1" applyAlignment="1">
      <alignment horizontal="center" vertical="center" wrapText="1"/>
    </xf>
    <xf numFmtId="0" fontId="94" fillId="0" borderId="114" xfId="0" applyFont="1" applyBorder="1" applyAlignment="1">
      <alignment horizontal="center" vertical="center" wrapText="1"/>
    </xf>
    <xf numFmtId="0" fontId="94" fillId="0" borderId="20" xfId="0" quotePrefix="1" applyFont="1" applyBorder="1" applyAlignment="1">
      <alignment horizontal="center" vertical="center" wrapText="1"/>
    </xf>
    <xf numFmtId="20" fontId="94" fillId="15" borderId="20" xfId="0" applyNumberFormat="1" applyFont="1" applyFill="1" applyBorder="1" applyAlignment="1">
      <alignment horizontal="center" vertical="center" wrapText="1"/>
    </xf>
    <xf numFmtId="0" fontId="94" fillId="15" borderId="114" xfId="0" applyFont="1" applyFill="1" applyBorder="1" applyAlignment="1">
      <alignment horizontal="center" vertical="center" wrapText="1"/>
    </xf>
    <xf numFmtId="0" fontId="97" fillId="23" borderId="115" xfId="0" applyFont="1" applyFill="1" applyBorder="1" applyAlignment="1">
      <alignment horizontal="center" vertical="center" wrapText="1"/>
    </xf>
    <xf numFmtId="0" fontId="96" fillId="23" borderId="116" xfId="0" applyFont="1" applyFill="1" applyBorder="1" applyAlignment="1">
      <alignment horizontal="center" vertical="center" wrapText="1"/>
    </xf>
    <xf numFmtId="46" fontId="94" fillId="3" borderId="20" xfId="0" applyNumberFormat="1" applyFont="1" applyFill="1" applyBorder="1" applyAlignment="1">
      <alignment horizontal="center" vertical="center" wrapText="1"/>
    </xf>
    <xf numFmtId="0" fontId="96" fillId="24" borderId="104" xfId="0" applyFont="1" applyFill="1" applyBorder="1" applyAlignment="1">
      <alignment horizontal="center" vertical="center" wrapText="1"/>
    </xf>
    <xf numFmtId="0" fontId="95" fillId="24" borderId="103" xfId="0" applyFont="1" applyFill="1" applyBorder="1" applyAlignment="1">
      <alignment horizontal="center" vertical="center" wrapText="1"/>
    </xf>
    <xf numFmtId="0" fontId="96" fillId="23" borderId="117" xfId="0" applyFont="1" applyFill="1" applyBorder="1" applyAlignment="1">
      <alignment horizontal="center" vertical="center" wrapText="1"/>
    </xf>
    <xf numFmtId="0" fontId="94" fillId="0" borderId="27" xfId="0" applyFont="1" applyBorder="1" applyAlignment="1">
      <alignment horizontal="center" vertical="center" wrapText="1"/>
    </xf>
    <xf numFmtId="0" fontId="94" fillId="15" borderId="27" xfId="0" applyFont="1" applyFill="1" applyBorder="1" applyAlignment="1">
      <alignment horizontal="center" vertical="center" wrapText="1"/>
    </xf>
    <xf numFmtId="0" fontId="94" fillId="15" borderId="62" xfId="0" applyFont="1" applyFill="1" applyBorder="1" applyAlignment="1">
      <alignment horizontal="center" vertical="center" wrapText="1"/>
    </xf>
    <xf numFmtId="0" fontId="96" fillId="24" borderId="118" xfId="0" applyFont="1" applyFill="1" applyBorder="1" applyAlignment="1">
      <alignment horizontal="center" vertical="center" wrapText="1"/>
    </xf>
    <xf numFmtId="43" fontId="0" fillId="9" borderId="22" xfId="0" applyNumberFormat="1" applyFill="1" applyBorder="1"/>
    <xf numFmtId="2" fontId="93" fillId="0" borderId="0" xfId="0" applyNumberFormat="1" applyFont="1" applyAlignment="1">
      <alignment horizontal="center" vertical="center" wrapText="1"/>
    </xf>
    <xf numFmtId="14" fontId="19" fillId="0" borderId="0" xfId="4" applyNumberFormat="1" applyFont="1"/>
    <xf numFmtId="14" fontId="20" fillId="5" borderId="45" xfId="0" applyNumberFormat="1" applyFont="1" applyFill="1" applyBorder="1" applyAlignment="1">
      <alignment horizontal="center" vertical="center" wrapText="1"/>
    </xf>
    <xf numFmtId="14" fontId="24" fillId="0" borderId="0" xfId="0" applyNumberFormat="1" applyFont="1" applyAlignment="1">
      <alignment horizontal="center" vertical="center"/>
    </xf>
    <xf numFmtId="0" fontId="19" fillId="0" borderId="0" xfId="4" applyFont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pivotButton="1"/>
    <xf numFmtId="46" fontId="93" fillId="0" borderId="0" xfId="0" applyNumberFormat="1" applyFont="1" applyAlignment="1">
      <alignment horizontal="left" vertical="center" wrapText="1"/>
    </xf>
    <xf numFmtId="20" fontId="93" fillId="0" borderId="0" xfId="0" applyNumberFormat="1" applyFont="1" applyAlignment="1">
      <alignment horizontal="left" vertical="center" wrapText="1"/>
    </xf>
    <xf numFmtId="44" fontId="20" fillId="9" borderId="0" xfId="2" applyFont="1" applyFill="1" applyBorder="1" applyAlignment="1">
      <alignment horizontal="center" vertical="center"/>
    </xf>
    <xf numFmtId="43" fontId="2" fillId="0" borderId="5" xfId="1" applyFont="1" applyBorder="1"/>
    <xf numFmtId="0" fontId="43" fillId="0" borderId="5" xfId="0" applyFont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3" fillId="5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10" fontId="9" fillId="0" borderId="5" xfId="0" applyNumberFormat="1" applyFont="1" applyBorder="1" applyAlignment="1">
      <alignment horizontal="center"/>
    </xf>
    <xf numFmtId="0" fontId="43" fillId="5" borderId="5" xfId="0" applyFont="1" applyFill="1" applyBorder="1"/>
    <xf numFmtId="43" fontId="9" fillId="5" borderId="5" xfId="1" applyFont="1" applyFill="1" applyBorder="1" applyAlignment="1">
      <alignment horizontal="center"/>
    </xf>
    <xf numFmtId="43" fontId="2" fillId="0" borderId="5" xfId="1" applyFont="1" applyBorder="1" applyAlignment="1">
      <alignment horizontal="center"/>
    </xf>
    <xf numFmtId="0" fontId="9" fillId="5" borderId="5" xfId="0" applyFont="1" applyFill="1" applyBorder="1"/>
    <xf numFmtId="0" fontId="29" fillId="11" borderId="41" xfId="0" applyFont="1" applyFill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43" fontId="17" fillId="9" borderId="20" xfId="1" applyFont="1" applyFill="1" applyBorder="1" applyAlignment="1" applyProtection="1">
      <alignment horizontal="center" vertical="center"/>
      <protection locked="0"/>
    </xf>
    <xf numFmtId="13" fontId="0" fillId="0" borderId="0" xfId="2" applyNumberFormat="1" applyFont="1" applyAlignment="1">
      <alignment horizontal="center" vertical="center"/>
    </xf>
    <xf numFmtId="172" fontId="0" fillId="0" borderId="0" xfId="2" applyNumberFormat="1" applyFont="1" applyAlignment="1">
      <alignment horizontal="center" vertical="center"/>
    </xf>
    <xf numFmtId="1" fontId="35" fillId="0" borderId="0" xfId="2" applyNumberFormat="1" applyFont="1" applyAlignment="1">
      <alignment horizontal="center" vertical="center"/>
    </xf>
    <xf numFmtId="44" fontId="16" fillId="0" borderId="5" xfId="2" applyFont="1" applyBorder="1" applyAlignment="1">
      <alignment horizontal="center" vertical="center"/>
    </xf>
    <xf numFmtId="172" fontId="17" fillId="5" borderId="5" xfId="2" applyNumberFormat="1" applyFont="1" applyFill="1" applyBorder="1" applyAlignment="1">
      <alignment horizontal="right" vertical="center"/>
    </xf>
    <xf numFmtId="172" fontId="92" fillId="5" borderId="5" xfId="0" applyNumberFormat="1" applyFont="1" applyFill="1" applyBorder="1" applyAlignment="1">
      <alignment horizontal="right" vertical="center" wrapText="1" readingOrder="1"/>
    </xf>
    <xf numFmtId="0" fontId="58" fillId="25" borderId="20" xfId="4" applyFont="1" applyFill="1" applyBorder="1" applyAlignment="1">
      <alignment horizontal="left" vertical="center"/>
    </xf>
    <xf numFmtId="0" fontId="0" fillId="25" borderId="0" xfId="0" applyFill="1" applyAlignment="1">
      <alignment horizontal="center"/>
    </xf>
    <xf numFmtId="14" fontId="24" fillId="25" borderId="0" xfId="0" applyNumberFormat="1" applyFont="1" applyFill="1" applyAlignment="1">
      <alignment horizontal="center" vertical="center"/>
    </xf>
    <xf numFmtId="44" fontId="0" fillId="25" borderId="22" xfId="2" applyFont="1" applyFill="1" applyBorder="1" applyAlignment="1" applyProtection="1">
      <alignment horizontal="center"/>
    </xf>
    <xf numFmtId="166" fontId="31" fillId="25" borderId="20" xfId="5" applyFont="1" applyFill="1" applyBorder="1" applyProtection="1"/>
    <xf numFmtId="166" fontId="31" fillId="25" borderId="20" xfId="5" applyFont="1" applyFill="1" applyBorder="1" applyAlignment="1" applyProtection="1">
      <alignment horizontal="center"/>
    </xf>
    <xf numFmtId="0" fontId="0" fillId="25" borderId="43" xfId="0" applyFill="1" applyBorder="1" applyAlignment="1">
      <alignment horizontal="center" vertical="center"/>
    </xf>
    <xf numFmtId="0" fontId="0" fillId="25" borderId="43" xfId="0" applyFill="1" applyBorder="1" applyAlignment="1">
      <alignment horizontal="center"/>
    </xf>
    <xf numFmtId="1" fontId="26" fillId="0" borderId="64" xfId="0" applyNumberFormat="1" applyFont="1" applyBorder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0" fillId="0" borderId="0" xfId="0" applyNumberFormat="1"/>
    <xf numFmtId="1" fontId="24" fillId="25" borderId="0" xfId="0" applyNumberFormat="1" applyFont="1" applyFill="1" applyAlignment="1">
      <alignment horizontal="center" vertical="center"/>
    </xf>
    <xf numFmtId="0" fontId="53" fillId="0" borderId="0" xfId="4" applyFont="1"/>
    <xf numFmtId="43" fontId="27" fillId="0" borderId="21" xfId="1" applyFont="1" applyFill="1" applyBorder="1" applyAlignment="1">
      <alignment horizontal="center" vertical="center"/>
    </xf>
    <xf numFmtId="169" fontId="2" fillId="0" borderId="0" xfId="4" applyNumberFormat="1"/>
    <xf numFmtId="0" fontId="100" fillId="3" borderId="0" xfId="4" applyFont="1" applyFill="1" applyAlignment="1">
      <alignment horizontal="center"/>
    </xf>
    <xf numFmtId="0" fontId="101" fillId="0" borderId="15" xfId="0" applyFont="1" applyBorder="1" applyAlignment="1">
      <alignment horizontal="left" vertical="center"/>
    </xf>
    <xf numFmtId="0" fontId="101" fillId="0" borderId="17" xfId="0" applyFont="1" applyBorder="1" applyAlignment="1">
      <alignment horizontal="left" vertical="center"/>
    </xf>
    <xf numFmtId="44" fontId="101" fillId="0" borderId="5" xfId="2" applyFont="1" applyBorder="1"/>
    <xf numFmtId="0" fontId="101" fillId="0" borderId="15" xfId="0" applyFont="1" applyBorder="1" applyAlignment="1">
      <alignment horizontal="center"/>
    </xf>
    <xf numFmtId="0" fontId="101" fillId="0" borderId="17" xfId="0" applyFont="1" applyBorder="1" applyAlignment="1">
      <alignment horizontal="center"/>
    </xf>
    <xf numFmtId="0" fontId="99" fillId="0" borderId="0" xfId="0" applyFont="1"/>
    <xf numFmtId="0" fontId="102" fillId="18" borderId="5" xfId="0" applyFont="1" applyFill="1" applyBorder="1" applyAlignment="1">
      <alignment horizontal="centerContinuous" vertical="center"/>
    </xf>
    <xf numFmtId="44" fontId="102" fillId="18" borderId="5" xfId="2" applyFont="1" applyFill="1" applyBorder="1" applyAlignment="1"/>
    <xf numFmtId="0" fontId="101" fillId="0" borderId="0" xfId="0" applyFont="1"/>
    <xf numFmtId="0" fontId="102" fillId="18" borderId="5" xfId="0" applyFont="1" applyFill="1" applyBorder="1" applyAlignment="1">
      <alignment horizontal="left" vertical="center"/>
    </xf>
    <xf numFmtId="0" fontId="101" fillId="0" borderId="20" xfId="0" applyFont="1" applyBorder="1"/>
    <xf numFmtId="0" fontId="101" fillId="0" borderId="20" xfId="0" applyFont="1" applyBorder="1" applyAlignment="1">
      <alignment horizontal="left"/>
    </xf>
    <xf numFmtId="0" fontId="104" fillId="0" borderId="0" xfId="0" applyFont="1"/>
    <xf numFmtId="17" fontId="105" fillId="0" borderId="0" xfId="0" applyNumberFormat="1" applyFont="1" applyAlignment="1">
      <alignment horizontal="left"/>
    </xf>
    <xf numFmtId="0" fontId="104" fillId="0" borderId="0" xfId="0" applyFont="1" applyAlignment="1">
      <alignment horizontal="right"/>
    </xf>
    <xf numFmtId="0" fontId="99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01" fillId="0" borderId="21" xfId="0" applyFont="1" applyBorder="1"/>
    <xf numFmtId="0" fontId="103" fillId="0" borderId="63" xfId="0" applyFont="1" applyBorder="1" applyAlignment="1">
      <alignment vertical="center"/>
    </xf>
    <xf numFmtId="4" fontId="67" fillId="0" borderId="21" xfId="1" applyNumberFormat="1" applyFont="1" applyBorder="1" applyAlignment="1">
      <alignment horizontal="center" vertical="center"/>
    </xf>
    <xf numFmtId="44" fontId="23" fillId="0" borderId="9" xfId="2" applyFont="1" applyBorder="1" applyAlignment="1">
      <alignment horizontal="center" wrapText="1"/>
    </xf>
    <xf numFmtId="0" fontId="17" fillId="0" borderId="9" xfId="2" applyNumberFormat="1" applyFont="1" applyBorder="1" applyAlignment="1">
      <alignment horizontal="center" vertical="center" wrapText="1"/>
    </xf>
    <xf numFmtId="0" fontId="99" fillId="0" borderId="20" xfId="0" applyFont="1" applyBorder="1"/>
    <xf numFmtId="43" fontId="0" fillId="0" borderId="0" xfId="1" applyFont="1"/>
    <xf numFmtId="0" fontId="0" fillId="3" borderId="20" xfId="0" applyFill="1" applyBorder="1" applyAlignment="1">
      <alignment horizontal="center" vertical="center"/>
    </xf>
    <xf numFmtId="44" fontId="58" fillId="0" borderId="20" xfId="2" applyFont="1" applyBorder="1" applyAlignment="1">
      <alignment horizontal="right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23" fillId="5" borderId="89" xfId="0" applyFont="1" applyFill="1" applyBorder="1" applyAlignment="1">
      <alignment vertical="center"/>
    </xf>
    <xf numFmtId="0" fontId="23" fillId="5" borderId="90" xfId="0" applyFont="1" applyFill="1" applyBorder="1" applyAlignment="1">
      <alignment vertical="center"/>
    </xf>
    <xf numFmtId="0" fontId="94" fillId="0" borderId="111" xfId="0" applyFont="1" applyBorder="1" applyAlignment="1">
      <alignment horizontal="center" vertical="center" wrapText="1"/>
    </xf>
    <xf numFmtId="44" fontId="46" fillId="0" borderId="0" xfId="2" applyFont="1"/>
    <xf numFmtId="44" fontId="9" fillId="0" borderId="81" xfId="2" applyFont="1" applyBorder="1" applyAlignment="1">
      <alignment horizontal="center"/>
    </xf>
    <xf numFmtId="44" fontId="66" fillId="16" borderId="76" xfId="2" applyFont="1" applyFill="1" applyBorder="1" applyAlignment="1">
      <alignment vertical="center" wrapText="1"/>
    </xf>
    <xf numFmtId="44" fontId="66" fillId="16" borderId="106" xfId="2" applyFont="1" applyFill="1" applyBorder="1" applyAlignment="1">
      <alignment vertical="center" wrapText="1"/>
    </xf>
    <xf numFmtId="44" fontId="66" fillId="16" borderId="77" xfId="2" applyFont="1" applyFill="1" applyBorder="1" applyAlignment="1">
      <alignment vertical="center" wrapText="1"/>
    </xf>
    <xf numFmtId="44" fontId="2" fillId="0" borderId="0" xfId="2" applyFont="1"/>
    <xf numFmtId="44" fontId="9" fillId="0" borderId="0" xfId="2" applyFont="1" applyAlignment="1">
      <alignment horizontal="center"/>
    </xf>
    <xf numFmtId="44" fontId="66" fillId="16" borderId="0" xfId="2" applyFont="1" applyFill="1" applyAlignment="1">
      <alignment vertical="center" wrapText="1"/>
    </xf>
    <xf numFmtId="0" fontId="9" fillId="0" borderId="119" xfId="4" applyFont="1" applyBorder="1" applyAlignment="1">
      <alignment horizontal="center"/>
    </xf>
    <xf numFmtId="164" fontId="66" fillId="16" borderId="120" xfId="0" applyNumberFormat="1" applyFont="1" applyFill="1" applyBorder="1" applyAlignment="1">
      <alignment horizontal="center" vertical="center" wrapText="1"/>
    </xf>
    <xf numFmtId="44" fontId="0" fillId="0" borderId="18" xfId="2" applyFont="1" applyBorder="1"/>
    <xf numFmtId="164" fontId="66" fillId="16" borderId="121" xfId="0" applyNumberFormat="1" applyFont="1" applyFill="1" applyBorder="1" applyAlignment="1">
      <alignment horizontal="center" vertical="center" wrapText="1"/>
    </xf>
    <xf numFmtId="164" fontId="66" fillId="16" borderId="122" xfId="0" applyNumberFormat="1" applyFont="1" applyFill="1" applyBorder="1" applyAlignment="1">
      <alignment horizontal="center" vertical="center" wrapText="1"/>
    </xf>
    <xf numFmtId="164" fontId="66" fillId="16" borderId="123" xfId="0" applyNumberFormat="1" applyFont="1" applyFill="1" applyBorder="1" applyAlignment="1">
      <alignment horizontal="center" vertical="center" wrapText="1"/>
    </xf>
    <xf numFmtId="44" fontId="0" fillId="0" borderId="0" xfId="2" applyFont="1" applyFill="1"/>
    <xf numFmtId="0" fontId="0" fillId="0" borderId="0" xfId="2" applyNumberFormat="1" applyFont="1" applyFill="1"/>
    <xf numFmtId="0" fontId="108" fillId="0" borderId="43" xfId="0" applyFont="1" applyBorder="1" applyAlignment="1">
      <alignment horizontal="center" vertical="center"/>
    </xf>
    <xf numFmtId="0" fontId="108" fillId="0" borderId="43" xfId="0" applyFont="1" applyBorder="1" applyAlignment="1">
      <alignment horizontal="center"/>
    </xf>
    <xf numFmtId="166" fontId="107" fillId="0" borderId="20" xfId="5" applyFont="1" applyFill="1" applyBorder="1" applyProtection="1"/>
    <xf numFmtId="14" fontId="0" fillId="25" borderId="43" xfId="0" applyNumberFormat="1" applyFill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4" fontId="26" fillId="26" borderId="21" xfId="1" applyNumberFormat="1" applyFont="1" applyFill="1" applyBorder="1" applyAlignment="1">
      <alignment horizontal="center" vertical="center"/>
    </xf>
    <xf numFmtId="0" fontId="109" fillId="0" borderId="0" xfId="0" applyFont="1"/>
    <xf numFmtId="171" fontId="27" fillId="0" borderId="0" xfId="0" applyNumberFormat="1" applyFont="1"/>
    <xf numFmtId="171" fontId="0" fillId="0" borderId="0" xfId="0" applyNumberFormat="1"/>
    <xf numFmtId="171" fontId="27" fillId="0" borderId="20" xfId="1" applyNumberFormat="1" applyFont="1" applyFill="1" applyBorder="1" applyAlignment="1">
      <alignment horizontal="center" vertical="center" wrapText="1"/>
    </xf>
    <xf numFmtId="171" fontId="1" fillId="0" borderId="20" xfId="1" applyNumberFormat="1" applyFont="1" applyFill="1" applyBorder="1" applyAlignment="1">
      <alignment horizontal="center" vertical="center" wrapText="1"/>
    </xf>
    <xf numFmtId="171" fontId="26" fillId="0" borderId="0" xfId="1" applyNumberFormat="1" applyFont="1" applyFill="1" applyBorder="1" applyAlignment="1">
      <alignment horizontal="center" vertical="center" wrapText="1"/>
    </xf>
    <xf numFmtId="171" fontId="23" fillId="0" borderId="0" xfId="0" applyNumberFormat="1" applyFont="1"/>
    <xf numFmtId="171" fontId="48" fillId="0" borderId="0" xfId="0" applyNumberFormat="1" applyFont="1"/>
    <xf numFmtId="171" fontId="7" fillId="0" borderId="0" xfId="0" applyNumberFormat="1" applyFont="1" applyAlignment="1">
      <alignment horizontal="center"/>
    </xf>
    <xf numFmtId="171" fontId="6" fillId="0" borderId="0" xfId="0" applyNumberFormat="1" applyFont="1" applyAlignment="1">
      <alignment horizontal="centerContinuous" vertical="center"/>
    </xf>
    <xf numFmtId="171" fontId="0" fillId="0" borderId="20" xfId="1" applyNumberFormat="1" applyFont="1" applyFill="1" applyBorder="1" applyAlignment="1">
      <alignment horizontal="center" vertical="center" wrapText="1"/>
    </xf>
    <xf numFmtId="1" fontId="100" fillId="3" borderId="0" xfId="4" applyNumberFormat="1" applyFont="1" applyFill="1" applyAlignment="1">
      <alignment horizontal="center"/>
    </xf>
    <xf numFmtId="0" fontId="100" fillId="3" borderId="0" xfId="4" applyFont="1" applyFill="1" applyAlignment="1">
      <alignment horizontal="center" vertical="center"/>
    </xf>
    <xf numFmtId="0" fontId="31" fillId="0" borderId="20" xfId="4" applyFont="1" applyBorder="1" applyAlignment="1">
      <alignment horizontal="left" vertical="center"/>
    </xf>
    <xf numFmtId="0" fontId="27" fillId="0" borderId="43" xfId="0" applyFont="1" applyBorder="1" applyAlignment="1">
      <alignment horizontal="center"/>
    </xf>
    <xf numFmtId="14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44" fontId="27" fillId="0" borderId="22" xfId="2" applyFont="1" applyFill="1" applyBorder="1" applyAlignment="1" applyProtection="1">
      <alignment horizontal="center"/>
    </xf>
    <xf numFmtId="0" fontId="58" fillId="3" borderId="20" xfId="4" applyFont="1" applyFill="1" applyBorder="1" applyAlignment="1">
      <alignment horizontal="left" vertical="center"/>
    </xf>
    <xf numFmtId="14" fontId="24" fillId="3" borderId="0" xfId="0" applyNumberFormat="1" applyFont="1" applyFill="1" applyAlignment="1">
      <alignment horizontal="center" vertical="center"/>
    </xf>
    <xf numFmtId="1" fontId="24" fillId="3" borderId="0" xfId="0" applyNumberFormat="1" applyFont="1" applyFill="1" applyAlignment="1">
      <alignment horizontal="center" vertical="center"/>
    </xf>
    <xf numFmtId="44" fontId="0" fillId="3" borderId="22" xfId="2" applyFont="1" applyFill="1" applyBorder="1" applyAlignment="1" applyProtection="1">
      <alignment horizontal="center"/>
    </xf>
    <xf numFmtId="166" fontId="31" fillId="3" borderId="20" xfId="5" applyFont="1" applyFill="1" applyBorder="1" applyProtection="1"/>
    <xf numFmtId="0" fontId="94" fillId="27" borderId="0" xfId="0" applyFont="1" applyFill="1" applyAlignment="1">
      <alignment horizontal="center" vertical="center" wrapText="1"/>
    </xf>
    <xf numFmtId="171" fontId="27" fillId="0" borderId="20" xfId="0" applyNumberFormat="1" applyFont="1" applyBorder="1" applyAlignment="1">
      <alignment horizontal="center" vertical="center"/>
    </xf>
    <xf numFmtId="0" fontId="2" fillId="0" borderId="124" xfId="4" applyBorder="1" applyAlignment="1">
      <alignment horizontal="center"/>
    </xf>
    <xf numFmtId="0" fontId="2" fillId="0" borderId="58" xfId="4" applyBorder="1" applyAlignment="1">
      <alignment horizontal="center"/>
    </xf>
    <xf numFmtId="1" fontId="44" fillId="0" borderId="0" xfId="0" applyNumberFormat="1" applyFont="1" applyAlignment="1">
      <alignment horizontal="left" vertical="center" wrapText="1"/>
    </xf>
    <xf numFmtId="44" fontId="2" fillId="0" borderId="0" xfId="4" applyNumberFormat="1"/>
    <xf numFmtId="0" fontId="58" fillId="2" borderId="20" xfId="4" applyFont="1" applyFill="1" applyBorder="1" applyAlignment="1">
      <alignment horizontal="left" vertical="center"/>
    </xf>
    <xf numFmtId="0" fontId="0" fillId="2" borderId="43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/>
    </xf>
    <xf numFmtId="0" fontId="0" fillId="2" borderId="0" xfId="0" applyFill="1" applyAlignment="1">
      <alignment horizontal="center"/>
    </xf>
    <xf numFmtId="14" fontId="24" fillId="2" borderId="0" xfId="0" applyNumberFormat="1" applyFont="1" applyFill="1" applyAlignment="1">
      <alignment horizontal="center" vertical="center"/>
    </xf>
    <xf numFmtId="1" fontId="24" fillId="2" borderId="0" xfId="0" applyNumberFormat="1" applyFont="1" applyFill="1" applyAlignment="1">
      <alignment horizontal="center" vertical="center"/>
    </xf>
    <xf numFmtId="44" fontId="0" fillId="2" borderId="22" xfId="2" applyFont="1" applyFill="1" applyBorder="1" applyAlignment="1" applyProtection="1">
      <alignment horizontal="center"/>
    </xf>
    <xf numFmtId="166" fontId="31" fillId="2" borderId="20" xfId="5" applyFont="1" applyFill="1" applyBorder="1" applyProtection="1"/>
    <xf numFmtId="166" fontId="31" fillId="2" borderId="20" xfId="5" applyFont="1" applyFill="1" applyBorder="1" applyAlignment="1" applyProtection="1">
      <alignment horizontal="center"/>
    </xf>
    <xf numFmtId="1" fontId="27" fillId="2" borderId="87" xfId="0" applyNumberFormat="1" applyFont="1" applyFill="1" applyBorder="1" applyAlignment="1">
      <alignment horizontal="center" vertical="center"/>
    </xf>
    <xf numFmtId="49" fontId="58" fillId="0" borderId="20" xfId="4" applyNumberFormat="1" applyFont="1" applyBorder="1" applyAlignment="1">
      <alignment horizontal="center" vertical="center"/>
    </xf>
    <xf numFmtId="49" fontId="24" fillId="0" borderId="20" xfId="1" applyNumberFormat="1" applyFont="1" applyFill="1" applyBorder="1" applyAlignment="1">
      <alignment horizontal="center" vertical="center" wrapText="1"/>
    </xf>
    <xf numFmtId="44" fontId="0" fillId="0" borderId="22" xfId="2" applyFont="1" applyFill="1" applyBorder="1" applyAlignment="1" applyProtection="1">
      <alignment horizontal="center"/>
    </xf>
    <xf numFmtId="0" fontId="13" fillId="0" borderId="21" xfId="2" applyNumberFormat="1" applyFont="1" applyBorder="1" applyAlignment="1">
      <alignment horizontal="center" vertical="center"/>
    </xf>
    <xf numFmtId="166" fontId="71" fillId="2" borderId="20" xfId="5" applyFont="1" applyFill="1" applyBorder="1" applyAlignment="1" applyProtection="1">
      <alignment horizontal="center"/>
    </xf>
    <xf numFmtId="17" fontId="105" fillId="0" borderId="0" xfId="0" applyNumberFormat="1" applyFont="1" applyAlignment="1">
      <alignment horizontal="center" vertical="center"/>
    </xf>
    <xf numFmtId="43" fontId="27" fillId="28" borderId="20" xfId="1" applyFont="1" applyFill="1" applyBorder="1" applyAlignment="1">
      <alignment horizontal="center" vertical="center"/>
    </xf>
    <xf numFmtId="0" fontId="71" fillId="2" borderId="20" xfId="4" applyFont="1" applyFill="1" applyBorder="1" applyAlignment="1">
      <alignment horizontal="left" vertical="center"/>
    </xf>
    <xf numFmtId="0" fontId="67" fillId="2" borderId="43" xfId="0" applyFont="1" applyFill="1" applyBorder="1" applyAlignment="1">
      <alignment horizontal="center" vertical="center"/>
    </xf>
    <xf numFmtId="0" fontId="67" fillId="2" borderId="43" xfId="0" applyFont="1" applyFill="1" applyBorder="1" applyAlignment="1">
      <alignment horizontal="center"/>
    </xf>
    <xf numFmtId="0" fontId="67" fillId="2" borderId="0" xfId="0" applyFont="1" applyFill="1" applyAlignment="1">
      <alignment horizontal="center"/>
    </xf>
    <xf numFmtId="14" fontId="112" fillId="2" borderId="0" xfId="0" applyNumberFormat="1" applyFont="1" applyFill="1" applyAlignment="1">
      <alignment horizontal="center" vertical="center"/>
    </xf>
    <xf numFmtId="1" fontId="112" fillId="2" borderId="0" xfId="0" applyNumberFormat="1" applyFont="1" applyFill="1" applyAlignment="1">
      <alignment horizontal="center" vertical="center"/>
    </xf>
    <xf numFmtId="44" fontId="67" fillId="2" borderId="22" xfId="2" applyFont="1" applyFill="1" applyBorder="1" applyAlignment="1" applyProtection="1">
      <alignment horizontal="center"/>
    </xf>
    <xf numFmtId="166" fontId="71" fillId="2" borderId="20" xfId="5" applyFont="1" applyFill="1" applyBorder="1" applyProtection="1"/>
    <xf numFmtId="0" fontId="27" fillId="0" borderId="43" xfId="0" applyFont="1" applyBorder="1" applyAlignment="1">
      <alignment horizontal="center" vertical="center"/>
    </xf>
    <xf numFmtId="46" fontId="113" fillId="2" borderId="20" xfId="0" applyNumberFormat="1" applyFont="1" applyFill="1" applyBorder="1" applyAlignment="1">
      <alignment horizontal="center" vertical="center" wrapText="1"/>
    </xf>
    <xf numFmtId="9" fontId="93" fillId="0" borderId="0" xfId="0" applyNumberFormat="1" applyFont="1" applyAlignment="1">
      <alignment horizontal="left" vertical="center" wrapText="1"/>
    </xf>
    <xf numFmtId="4" fontId="24" fillId="0" borderId="0" xfId="0" applyNumberFormat="1" applyFont="1"/>
    <xf numFmtId="0" fontId="67" fillId="0" borderId="20" xfId="0" applyFont="1" applyBorder="1" applyAlignment="1">
      <alignment horizontal="center" vertical="center"/>
    </xf>
    <xf numFmtId="171" fontId="67" fillId="0" borderId="20" xfId="1" applyNumberFormat="1" applyFont="1" applyFill="1" applyBorder="1" applyAlignment="1">
      <alignment horizontal="center" vertical="center" wrapText="1"/>
    </xf>
    <xf numFmtId="49" fontId="67" fillId="0" borderId="20" xfId="1" applyNumberFormat="1" applyFont="1" applyFill="1" applyBorder="1" applyAlignment="1">
      <alignment horizontal="left" vertical="center" wrapText="1"/>
    </xf>
    <xf numFmtId="3" fontId="67" fillId="0" borderId="20" xfId="1" applyNumberFormat="1" applyFont="1" applyFill="1" applyBorder="1" applyAlignment="1">
      <alignment horizontal="center" vertical="center"/>
    </xf>
    <xf numFmtId="44" fontId="67" fillId="0" borderId="20" xfId="2" applyFont="1" applyFill="1" applyBorder="1" applyAlignment="1">
      <alignment horizontal="center" vertical="center"/>
    </xf>
    <xf numFmtId="0" fontId="13" fillId="0" borderId="0" xfId="0" applyFont="1" applyAlignment="1">
      <alignment horizontal="left" wrapText="1"/>
    </xf>
    <xf numFmtId="0" fontId="106" fillId="3" borderId="0" xfId="4" applyFont="1" applyFill="1" applyAlignment="1">
      <alignment horizontal="left" wrapText="1"/>
    </xf>
    <xf numFmtId="0" fontId="35" fillId="0" borderId="0" xfId="0" applyFont="1" applyAlignment="1">
      <alignment horizontal="left" wrapText="1"/>
    </xf>
    <xf numFmtId="0" fontId="16" fillId="9" borderId="0" xfId="0" applyFont="1" applyFill="1" applyAlignment="1">
      <alignment horizontal="left" wrapText="1"/>
    </xf>
    <xf numFmtId="0" fontId="1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58" fillId="0" borderId="0" xfId="4" applyFont="1" applyAlignment="1">
      <alignment horizontal="left" vertical="center"/>
    </xf>
    <xf numFmtId="0" fontId="101" fillId="0" borderId="15" xfId="0" applyFont="1" applyBorder="1" applyAlignment="1">
      <alignment horizontal="left" vertical="center"/>
    </xf>
    <xf numFmtId="0" fontId="101" fillId="0" borderId="17" xfId="0" applyFont="1" applyBorder="1" applyAlignment="1">
      <alignment horizontal="left" vertical="center"/>
    </xf>
    <xf numFmtId="0" fontId="101" fillId="0" borderId="15" xfId="0" applyFont="1" applyBorder="1" applyAlignment="1">
      <alignment horizontal="center"/>
    </xf>
    <xf numFmtId="0" fontId="101" fillId="0" borderId="17" xfId="0" applyFont="1" applyBorder="1" applyAlignment="1">
      <alignment horizontal="center"/>
    </xf>
    <xf numFmtId="0" fontId="101" fillId="0" borderId="20" xfId="0" applyFont="1" applyBorder="1" applyAlignment="1">
      <alignment horizontal="left"/>
    </xf>
    <xf numFmtId="0" fontId="112" fillId="0" borderId="20" xfId="0" applyFont="1" applyBorder="1" applyAlignment="1">
      <alignment horizontal="left" vertical="center" wrapText="1"/>
    </xf>
    <xf numFmtId="44" fontId="27" fillId="3" borderId="21" xfId="2" applyFont="1" applyFill="1" applyBorder="1" applyAlignment="1">
      <alignment vertical="center"/>
    </xf>
    <xf numFmtId="44" fontId="26" fillId="3" borderId="0" xfId="2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66" fontId="31" fillId="3" borderId="22" xfId="5" applyFont="1" applyFill="1" applyBorder="1" applyProtection="1"/>
    <xf numFmtId="166" fontId="31" fillId="3" borderId="20" xfId="5" applyFont="1" applyFill="1" applyBorder="1" applyAlignment="1" applyProtection="1">
      <alignment horizontal="center"/>
    </xf>
    <xf numFmtId="44" fontId="0" fillId="3" borderId="0" xfId="2" applyFont="1" applyFill="1"/>
    <xf numFmtId="0" fontId="0" fillId="3" borderId="0" xfId="2" applyNumberFormat="1" applyFont="1" applyFill="1"/>
    <xf numFmtId="0" fontId="58" fillId="3" borderId="20" xfId="4" applyNumberFormat="1" applyFont="1" applyFill="1" applyBorder="1" applyAlignment="1">
      <alignment horizontal="left" vertical="center"/>
    </xf>
    <xf numFmtId="166" fontId="31" fillId="3" borderId="21" xfId="5" applyFont="1" applyFill="1" applyBorder="1" applyProtection="1"/>
    <xf numFmtId="0" fontId="71" fillId="3" borderId="20" xfId="4" applyFont="1" applyFill="1" applyBorder="1" applyAlignment="1">
      <alignment horizontal="left" vertical="center"/>
    </xf>
    <xf numFmtId="0" fontId="67" fillId="3" borderId="43" xfId="0" applyFont="1" applyFill="1" applyBorder="1" applyAlignment="1">
      <alignment horizontal="center" vertical="center"/>
    </xf>
    <xf numFmtId="0" fontId="67" fillId="3" borderId="43" xfId="0" applyFont="1" applyFill="1" applyBorder="1" applyAlignment="1">
      <alignment horizontal="center"/>
    </xf>
    <xf numFmtId="14" fontId="112" fillId="3" borderId="0" xfId="0" applyNumberFormat="1" applyFont="1" applyFill="1" applyAlignment="1">
      <alignment horizontal="center" vertical="center"/>
    </xf>
    <xf numFmtId="1" fontId="112" fillId="3" borderId="0" xfId="0" applyNumberFormat="1" applyFont="1" applyFill="1" applyAlignment="1">
      <alignment horizontal="center" vertical="center"/>
    </xf>
    <xf numFmtId="44" fontId="67" fillId="3" borderId="22" xfId="2" applyFont="1" applyFill="1" applyBorder="1" applyAlignment="1" applyProtection="1">
      <alignment horizontal="center"/>
    </xf>
    <xf numFmtId="0" fontId="71" fillId="0" borderId="20" xfId="4" applyFont="1" applyBorder="1" applyAlignment="1">
      <alignment horizontal="left" vertical="center"/>
    </xf>
    <xf numFmtId="0" fontId="67" fillId="0" borderId="65" xfId="0" applyFont="1" applyBorder="1" applyAlignment="1">
      <alignment horizontal="center" vertical="center"/>
    </xf>
    <xf numFmtId="0" fontId="67" fillId="0" borderId="65" xfId="0" applyFont="1" applyBorder="1" applyAlignment="1">
      <alignment horizontal="center"/>
    </xf>
    <xf numFmtId="14" fontId="67" fillId="0" borderId="65" xfId="0" applyNumberFormat="1" applyFont="1" applyBorder="1" applyAlignment="1">
      <alignment horizontal="center"/>
    </xf>
    <xf numFmtId="14" fontId="112" fillId="0" borderId="0" xfId="0" applyNumberFormat="1" applyFont="1" applyAlignment="1">
      <alignment horizontal="center" vertical="center"/>
    </xf>
    <xf numFmtId="1" fontId="112" fillId="0" borderId="0" xfId="0" applyNumberFormat="1" applyFont="1" applyAlignment="1">
      <alignment horizontal="center" vertical="center"/>
    </xf>
    <xf numFmtId="44" fontId="67" fillId="0" borderId="22" xfId="2" applyFont="1" applyBorder="1" applyAlignment="1" applyProtection="1">
      <alignment horizontal="center"/>
    </xf>
    <xf numFmtId="43" fontId="0" fillId="5" borderId="21" xfId="1" applyFont="1" applyFill="1" applyBorder="1" applyAlignment="1">
      <alignment horizontal="center" vertical="center"/>
    </xf>
    <xf numFmtId="44" fontId="23" fillId="0" borderId="0" xfId="2" applyFont="1" applyFill="1" applyAlignment="1">
      <alignment horizontal="center"/>
    </xf>
    <xf numFmtId="44" fontId="0" fillId="0" borderId="0" xfId="2" applyFont="1" applyAlignment="1">
      <alignment horizontal="center"/>
    </xf>
    <xf numFmtId="0" fontId="48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0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9" fillId="0" borderId="20" xfId="0" applyFont="1" applyBorder="1" applyAlignment="1">
      <alignment horizontal="center" vertical="center" wrapText="1"/>
    </xf>
    <xf numFmtId="0" fontId="25" fillId="8" borderId="10" xfId="0" applyFont="1" applyFill="1" applyBorder="1" applyAlignment="1">
      <alignment horizontal="center"/>
    </xf>
    <xf numFmtId="0" fontId="25" fillId="8" borderId="11" xfId="0" applyFont="1" applyFill="1" applyBorder="1" applyAlignment="1">
      <alignment horizontal="center"/>
    </xf>
    <xf numFmtId="0" fontId="25" fillId="8" borderId="12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44" fontId="15" fillId="0" borderId="1" xfId="2" applyFont="1" applyFill="1" applyBorder="1" applyAlignment="1">
      <alignment horizontal="center" vertical="center" wrapText="1"/>
    </xf>
    <xf numFmtId="44" fontId="15" fillId="0" borderId="7" xfId="2" applyFont="1" applyFill="1" applyBorder="1" applyAlignment="1">
      <alignment horizontal="center" vertical="center" wrapText="1"/>
    </xf>
    <xf numFmtId="44" fontId="15" fillId="0" borderId="2" xfId="2" applyFont="1" applyFill="1" applyBorder="1" applyAlignment="1">
      <alignment horizontal="center" vertical="center" wrapText="1"/>
    </xf>
    <xf numFmtId="44" fontId="15" fillId="0" borderId="19" xfId="2" applyFont="1" applyFill="1" applyBorder="1" applyAlignment="1">
      <alignment horizontal="center" vertical="center" wrapText="1"/>
    </xf>
    <xf numFmtId="9" fontId="15" fillId="0" borderId="1" xfId="0" applyNumberFormat="1" applyFont="1" applyBorder="1" applyAlignment="1">
      <alignment horizontal="center" vertical="center" wrapText="1"/>
    </xf>
    <xf numFmtId="9" fontId="15" fillId="0" borderId="7" xfId="0" applyNumberFormat="1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5" fillId="17" borderId="7" xfId="0" applyFont="1" applyFill="1" applyBorder="1" applyAlignment="1">
      <alignment horizontal="center" vertical="center" wrapText="1"/>
    </xf>
    <xf numFmtId="0" fontId="43" fillId="0" borderId="5" xfId="0" applyFont="1" applyBorder="1" applyAlignment="1">
      <alignment horizontal="center"/>
    </xf>
    <xf numFmtId="44" fontId="25" fillId="7" borderId="10" xfId="2" applyFont="1" applyFill="1" applyBorder="1" applyAlignment="1">
      <alignment horizontal="center"/>
    </xf>
    <xf numFmtId="44" fontId="25" fillId="7" borderId="11" xfId="2" applyFont="1" applyFill="1" applyBorder="1" applyAlignment="1">
      <alignment horizontal="center"/>
    </xf>
    <xf numFmtId="44" fontId="25" fillId="7" borderId="12" xfId="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171" fontId="20" fillId="0" borderId="1" xfId="0" applyNumberFormat="1" applyFont="1" applyBorder="1" applyAlignment="1">
      <alignment horizontal="center" vertical="center" wrapText="1"/>
    </xf>
    <xf numFmtId="171" fontId="20" fillId="0" borderId="7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54" fillId="0" borderId="5" xfId="0" applyFont="1" applyBorder="1" applyAlignment="1">
      <alignment horizontal="center" vertical="center" wrapText="1"/>
    </xf>
    <xf numFmtId="0" fontId="54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9" borderId="3" xfId="0" applyFont="1" applyFill="1" applyBorder="1" applyAlignment="1">
      <alignment horizontal="center" vertical="center" wrapText="1"/>
    </xf>
    <xf numFmtId="0" fontId="22" fillId="9" borderId="8" xfId="0" applyFont="1" applyFill="1" applyBorder="1" applyAlignment="1">
      <alignment horizontal="center" vertical="center" wrapText="1"/>
    </xf>
    <xf numFmtId="0" fontId="54" fillId="0" borderId="5" xfId="0" applyFont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 wrapText="1"/>
    </xf>
    <xf numFmtId="0" fontId="15" fillId="17" borderId="19" xfId="0" applyFont="1" applyFill="1" applyBorder="1" applyAlignment="1">
      <alignment horizontal="center" vertical="center" wrapText="1"/>
    </xf>
    <xf numFmtId="170" fontId="54" fillId="0" borderId="5" xfId="0" applyNumberFormat="1" applyFont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 wrapText="1"/>
    </xf>
    <xf numFmtId="0" fontId="53" fillId="0" borderId="0" xfId="4" applyFont="1" applyAlignment="1">
      <alignment horizontal="right"/>
    </xf>
    <xf numFmtId="0" fontId="5" fillId="3" borderId="0" xfId="4" applyFont="1" applyFill="1" applyAlignment="1">
      <alignment horizontal="right"/>
    </xf>
    <xf numFmtId="0" fontId="5" fillId="3" borderId="0" xfId="4" applyFont="1" applyFill="1" applyAlignment="1">
      <alignment horizontal="center"/>
    </xf>
    <xf numFmtId="0" fontId="5" fillId="3" borderId="0" xfId="4" applyFont="1" applyFill="1" applyAlignment="1">
      <alignment horizontal="center" vertical="center"/>
    </xf>
    <xf numFmtId="0" fontId="53" fillId="0" borderId="0" xfId="4" applyFont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111" fillId="0" borderId="2" xfId="0" applyFont="1" applyBorder="1" applyAlignment="1">
      <alignment horizontal="center" vertical="center" wrapText="1"/>
    </xf>
    <xf numFmtId="0" fontId="111" fillId="0" borderId="19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44" fontId="26" fillId="0" borderId="1" xfId="2" applyFont="1" applyFill="1" applyBorder="1" applyAlignment="1">
      <alignment horizontal="center" vertical="center" wrapText="1"/>
    </xf>
    <xf numFmtId="44" fontId="26" fillId="0" borderId="7" xfId="2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6" fillId="7" borderId="0" xfId="0" applyFont="1" applyFill="1" applyAlignment="1">
      <alignment horizontal="center"/>
    </xf>
    <xf numFmtId="0" fontId="61" fillId="13" borderId="0" xfId="0" applyFont="1" applyFill="1" applyAlignment="1">
      <alignment horizontal="center" vertical="center"/>
    </xf>
    <xf numFmtId="0" fontId="45" fillId="7" borderId="0" xfId="0" applyFont="1" applyFill="1" applyAlignment="1">
      <alignment horizontal="center"/>
    </xf>
    <xf numFmtId="0" fontId="62" fillId="13" borderId="0" xfId="0" applyFont="1" applyFill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9" fontId="15" fillId="0" borderId="3" xfId="0" applyNumberFormat="1" applyFont="1" applyBorder="1" applyAlignment="1">
      <alignment horizontal="center" vertical="center" wrapText="1"/>
    </xf>
    <xf numFmtId="9" fontId="15" fillId="0" borderId="8" xfId="0" applyNumberFormat="1" applyFont="1" applyBorder="1" applyAlignment="1">
      <alignment horizontal="center" vertical="center" wrapText="1"/>
    </xf>
    <xf numFmtId="9" fontId="15" fillId="0" borderId="2" xfId="0" applyNumberFormat="1" applyFont="1" applyBorder="1" applyAlignment="1">
      <alignment horizontal="center" vertical="center" wrapText="1"/>
    </xf>
    <xf numFmtId="9" fontId="15" fillId="0" borderId="19" xfId="0" applyNumberFormat="1" applyFont="1" applyBorder="1" applyAlignment="1">
      <alignment horizontal="center" vertical="center" wrapText="1"/>
    </xf>
    <xf numFmtId="0" fontId="59" fillId="18" borderId="15" xfId="0" applyFont="1" applyFill="1" applyBorder="1" applyAlignment="1">
      <alignment horizontal="center" vertical="center"/>
    </xf>
    <xf numFmtId="0" fontId="59" fillId="18" borderId="17" xfId="0" applyFont="1" applyFill="1" applyBorder="1" applyAlignment="1">
      <alignment horizontal="center" vertical="center"/>
    </xf>
    <xf numFmtId="0" fontId="101" fillId="0" borderId="20" xfId="0" applyFont="1" applyBorder="1" applyAlignment="1">
      <alignment horizontal="left"/>
    </xf>
    <xf numFmtId="0" fontId="104" fillId="0" borderId="0" xfId="0" applyFont="1" applyAlignment="1">
      <alignment horizontal="center" vertical="center"/>
    </xf>
    <xf numFmtId="0" fontId="101" fillId="0" borderId="5" xfId="0" applyFont="1" applyBorder="1" applyAlignment="1">
      <alignment horizontal="left"/>
    </xf>
    <xf numFmtId="0" fontId="99" fillId="0" borderId="15" xfId="0" applyFont="1" applyBorder="1" applyAlignment="1">
      <alignment horizontal="left"/>
    </xf>
    <xf numFmtId="0" fontId="99" fillId="0" borderId="17" xfId="0" applyFont="1" applyBorder="1" applyAlignment="1">
      <alignment horizontal="left"/>
    </xf>
    <xf numFmtId="0" fontId="101" fillId="0" borderId="15" xfId="0" applyFont="1" applyBorder="1" applyAlignment="1">
      <alignment horizontal="left" vertical="center"/>
    </xf>
    <xf numFmtId="0" fontId="101" fillId="0" borderId="17" xfId="0" applyFont="1" applyBorder="1" applyAlignment="1">
      <alignment horizontal="left" vertical="center"/>
    </xf>
    <xf numFmtId="0" fontId="101" fillId="0" borderId="15" xfId="0" applyFont="1" applyBorder="1" applyAlignment="1">
      <alignment horizontal="left"/>
    </xf>
    <xf numFmtId="0" fontId="101" fillId="0" borderId="17" xfId="0" applyFont="1" applyBorder="1" applyAlignment="1">
      <alignment horizontal="left"/>
    </xf>
    <xf numFmtId="0" fontId="101" fillId="0" borderId="15" xfId="0" applyFont="1" applyBorder="1" applyAlignment="1">
      <alignment horizontal="center"/>
    </xf>
    <xf numFmtId="0" fontId="101" fillId="0" borderId="17" xfId="0" applyFont="1" applyBorder="1" applyAlignment="1">
      <alignment horizontal="center"/>
    </xf>
    <xf numFmtId="0" fontId="102" fillId="18" borderId="15" xfId="0" applyFont="1" applyFill="1" applyBorder="1" applyAlignment="1">
      <alignment horizontal="left" vertical="center"/>
    </xf>
    <xf numFmtId="0" fontId="102" fillId="18" borderId="17" xfId="0" applyFont="1" applyFill="1" applyBorder="1" applyAlignment="1">
      <alignment horizontal="left" vertical="center"/>
    </xf>
    <xf numFmtId="0" fontId="102" fillId="18" borderId="14" xfId="0" applyFont="1" applyFill="1" applyBorder="1" applyAlignment="1">
      <alignment horizontal="center" vertical="center"/>
    </xf>
    <xf numFmtId="0" fontId="102" fillId="18" borderId="69" xfId="0" applyFont="1" applyFill="1" applyBorder="1" applyAlignment="1">
      <alignment horizontal="center" vertical="center"/>
    </xf>
    <xf numFmtId="0" fontId="101" fillId="0" borderId="5" xfId="0" applyFont="1" applyBorder="1" applyAlignment="1">
      <alignment horizontal="center"/>
    </xf>
    <xf numFmtId="0" fontId="24" fillId="0" borderId="0" xfId="0" applyFont="1" applyAlignment="1">
      <alignment horizontal="left"/>
    </xf>
    <xf numFmtId="0" fontId="24" fillId="0" borderId="5" xfId="0" applyFont="1" applyBorder="1" applyAlignment="1">
      <alignment horizontal="center" vertical="center"/>
    </xf>
    <xf numFmtId="171" fontId="0" fillId="0" borderId="5" xfId="0" applyNumberFormat="1" applyBorder="1" applyAlignment="1">
      <alignment horizontal="center"/>
    </xf>
    <xf numFmtId="44" fontId="0" fillId="0" borderId="5" xfId="2" applyFont="1" applyBorder="1" applyAlignment="1">
      <alignment horizontal="center"/>
    </xf>
    <xf numFmtId="0" fontId="76" fillId="21" borderId="49" xfId="0" applyFont="1" applyFill="1" applyBorder="1" applyAlignment="1">
      <alignment horizontal="center" vertical="center"/>
    </xf>
    <xf numFmtId="0" fontId="76" fillId="21" borderId="52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76" fillId="21" borderId="56" xfId="0" applyFont="1" applyFill="1" applyBorder="1" applyAlignment="1">
      <alignment horizontal="center" vertical="center"/>
    </xf>
    <xf numFmtId="0" fontId="76" fillId="21" borderId="58" xfId="0" applyFont="1" applyFill="1" applyBorder="1" applyAlignment="1">
      <alignment horizontal="center" vertical="center"/>
    </xf>
    <xf numFmtId="0" fontId="76" fillId="21" borderId="47" xfId="0" applyFont="1" applyFill="1" applyBorder="1" applyAlignment="1">
      <alignment horizontal="center" vertical="center"/>
    </xf>
    <xf numFmtId="0" fontId="73" fillId="21" borderId="10" xfId="0" applyFont="1" applyFill="1" applyBorder="1" applyAlignment="1">
      <alignment horizontal="center" vertical="center"/>
    </xf>
    <xf numFmtId="0" fontId="73" fillId="21" borderId="11" xfId="0" applyFont="1" applyFill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61" fillId="20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/>
    </xf>
    <xf numFmtId="9" fontId="18" fillId="12" borderId="33" xfId="3" applyFont="1" applyFill="1" applyBorder="1" applyAlignment="1">
      <alignment horizontal="center" vertical="center"/>
    </xf>
    <xf numFmtId="9" fontId="18" fillId="12" borderId="72" xfId="3" applyFont="1" applyFill="1" applyBorder="1" applyAlignment="1">
      <alignment horizontal="center" vertical="center"/>
    </xf>
    <xf numFmtId="9" fontId="18" fillId="12" borderId="34" xfId="3" applyFont="1" applyFill="1" applyBorder="1" applyAlignment="1">
      <alignment horizontal="center" vertical="center"/>
    </xf>
    <xf numFmtId="0" fontId="18" fillId="13" borderId="35" xfId="0" applyFont="1" applyFill="1" applyBorder="1" applyAlignment="1">
      <alignment horizontal="center" vertical="center" wrapText="1"/>
    </xf>
    <xf numFmtId="0" fontId="18" fillId="13" borderId="38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right"/>
    </xf>
    <xf numFmtId="0" fontId="41" fillId="0" borderId="0" xfId="0" applyFont="1" applyAlignment="1">
      <alignment horizontal="right"/>
    </xf>
    <xf numFmtId="0" fontId="62" fillId="21" borderId="47" xfId="0" applyFont="1" applyFill="1" applyBorder="1" applyAlignment="1">
      <alignment horizontal="center" vertical="center"/>
    </xf>
    <xf numFmtId="0" fontId="62" fillId="21" borderId="48" xfId="0" applyFont="1" applyFill="1" applyBorder="1" applyAlignment="1">
      <alignment horizontal="center" vertical="center"/>
    </xf>
    <xf numFmtId="0" fontId="62" fillId="21" borderId="49" xfId="0" applyFont="1" applyFill="1" applyBorder="1" applyAlignment="1">
      <alignment horizontal="center" vertical="center"/>
    </xf>
    <xf numFmtId="0" fontId="62" fillId="21" borderId="50" xfId="0" applyFont="1" applyFill="1" applyBorder="1" applyAlignment="1">
      <alignment horizontal="center" vertical="center"/>
    </xf>
    <xf numFmtId="0" fontId="62" fillId="21" borderId="51" xfId="0" applyFont="1" applyFill="1" applyBorder="1" applyAlignment="1">
      <alignment horizontal="center" vertical="center"/>
    </xf>
    <xf numFmtId="0" fontId="62" fillId="21" borderId="52" xfId="0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right"/>
    </xf>
    <xf numFmtId="14" fontId="0" fillId="0" borderId="12" xfId="0" applyNumberFormat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167" fontId="0" fillId="0" borderId="10" xfId="6" applyFont="1" applyBorder="1" applyAlignment="1">
      <alignment horizontal="right" vertical="center"/>
    </xf>
    <xf numFmtId="167" fontId="0" fillId="0" borderId="12" xfId="6" applyFont="1" applyBorder="1" applyAlignment="1">
      <alignment horizontal="right" vertical="center"/>
    </xf>
    <xf numFmtId="0" fontId="0" fillId="0" borderId="47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49" fontId="27" fillId="0" borderId="10" xfId="1" applyNumberFormat="1" applyFont="1" applyFill="1" applyBorder="1" applyAlignment="1">
      <alignment horizontal="right" vertical="center" wrapText="1"/>
    </xf>
    <xf numFmtId="49" fontId="27" fillId="0" borderId="12" xfId="1" applyNumberFormat="1" applyFont="1" applyFill="1" applyBorder="1" applyAlignment="1">
      <alignment horizontal="right" vertical="center" wrapText="1"/>
    </xf>
    <xf numFmtId="0" fontId="23" fillId="0" borderId="47" xfId="0" applyFont="1" applyBorder="1" applyAlignment="1">
      <alignment horizontal="left"/>
    </xf>
    <xf numFmtId="0" fontId="23" fillId="0" borderId="48" xfId="0" applyFont="1" applyBorder="1" applyAlignment="1">
      <alignment horizontal="left"/>
    </xf>
    <xf numFmtId="0" fontId="73" fillId="21" borderId="12" xfId="0" applyFont="1" applyFill="1" applyBorder="1" applyAlignment="1">
      <alignment horizontal="center" vertical="center"/>
    </xf>
    <xf numFmtId="0" fontId="23" fillId="0" borderId="54" xfId="0" applyFont="1" applyBorder="1" applyAlignment="1">
      <alignment horizontal="left"/>
    </xf>
    <xf numFmtId="0" fontId="23" fillId="0" borderId="55" xfId="0" applyFont="1" applyBorder="1" applyAlignment="1">
      <alignment horizontal="left"/>
    </xf>
    <xf numFmtId="0" fontId="23" fillId="0" borderId="10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62" fillId="21" borderId="53" xfId="0" applyFont="1" applyFill="1" applyBorder="1" applyAlignment="1">
      <alignment horizontal="center" vertical="center"/>
    </xf>
    <xf numFmtId="0" fontId="62" fillId="21" borderId="0" xfId="0" applyFont="1" applyFill="1" applyAlignment="1">
      <alignment horizontal="center" vertical="center"/>
    </xf>
    <xf numFmtId="0" fontId="62" fillId="21" borderId="18" xfId="0" applyFont="1" applyFill="1" applyBorder="1" applyAlignment="1">
      <alignment horizontal="center" vertical="center"/>
    </xf>
    <xf numFmtId="167" fontId="42" fillId="0" borderId="56" xfId="6" applyFont="1" applyFill="1" applyBorder="1" applyAlignment="1">
      <alignment horizontal="center" vertical="center"/>
    </xf>
    <xf numFmtId="167" fontId="42" fillId="0" borderId="57" xfId="6" applyFont="1" applyFill="1" applyBorder="1" applyAlignment="1">
      <alignment horizontal="center" vertical="center"/>
    </xf>
    <xf numFmtId="167" fontId="42" fillId="0" borderId="58" xfId="6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top"/>
    </xf>
    <xf numFmtId="14" fontId="23" fillId="0" borderId="12" xfId="0" applyNumberFormat="1" applyFont="1" applyBorder="1" applyAlignment="1">
      <alignment horizontal="center" vertical="top"/>
    </xf>
    <xf numFmtId="0" fontId="23" fillId="0" borderId="1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0" fillId="0" borderId="5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0" xfId="0" applyAlignment="1">
      <alignment horizontal="left"/>
    </xf>
    <xf numFmtId="9" fontId="18" fillId="12" borderId="33" xfId="3" applyFont="1" applyFill="1" applyBorder="1" applyAlignment="1" applyProtection="1">
      <alignment horizontal="center" vertical="center"/>
    </xf>
    <xf numFmtId="9" fontId="18" fillId="12" borderId="34" xfId="3" applyFont="1" applyFill="1" applyBorder="1" applyAlignment="1" applyProtection="1">
      <alignment horizontal="center" vertical="center"/>
    </xf>
    <xf numFmtId="0" fontId="98" fillId="15" borderId="13" xfId="0" applyFont="1" applyFill="1" applyBorder="1" applyAlignment="1">
      <alignment horizontal="center" vertical="center" wrapText="1"/>
    </xf>
    <xf numFmtId="0" fontId="63" fillId="13" borderId="0" xfId="4" applyFont="1" applyFill="1" applyAlignment="1">
      <alignment horizontal="center"/>
    </xf>
    <xf numFmtId="0" fontId="36" fillId="11" borderId="0" xfId="0" applyFont="1" applyFill="1" applyAlignment="1">
      <alignment horizontal="center" vertical="center"/>
    </xf>
    <xf numFmtId="0" fontId="64" fillId="20" borderId="0" xfId="0" applyFont="1" applyFill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5" fontId="0" fillId="0" borderId="5" xfId="0" applyNumberFormat="1" applyBorder="1" applyAlignment="1">
      <alignment horizontal="center"/>
    </xf>
    <xf numFmtId="14" fontId="27" fillId="0" borderId="10" xfId="1" applyNumberFormat="1" applyFont="1" applyFill="1" applyBorder="1" applyAlignment="1">
      <alignment horizontal="right" vertical="center" wrapText="1"/>
    </xf>
    <xf numFmtId="14" fontId="27" fillId="0" borderId="12" xfId="1" applyNumberFormat="1" applyFont="1" applyFill="1" applyBorder="1" applyAlignment="1">
      <alignment horizontal="right" vertical="center" wrapText="1"/>
    </xf>
    <xf numFmtId="1" fontId="0" fillId="0" borderId="10" xfId="0" applyNumberFormat="1" applyBorder="1" applyAlignment="1">
      <alignment horizontal="right"/>
    </xf>
    <xf numFmtId="1" fontId="0" fillId="0" borderId="12" xfId="0" applyNumberFormat="1" applyBorder="1" applyAlignment="1">
      <alignment horizontal="right"/>
    </xf>
    <xf numFmtId="0" fontId="85" fillId="0" borderId="0" xfId="9" applyFont="1" applyAlignment="1">
      <alignment horizontal="center" vertical="center" wrapText="1" readingOrder="1"/>
    </xf>
    <xf numFmtId="0" fontId="89" fillId="0" borderId="108" xfId="0" applyFont="1" applyBorder="1" applyAlignment="1">
      <alignment horizontal="right" vertical="center" wrapText="1" readingOrder="1"/>
    </xf>
    <xf numFmtId="0" fontId="90" fillId="0" borderId="109" xfId="0" applyFont="1" applyBorder="1" applyAlignment="1">
      <alignment vertical="top" wrapText="1"/>
    </xf>
    <xf numFmtId="0" fontId="0" fillId="3" borderId="22" xfId="0" applyFill="1" applyBorder="1" applyAlignment="1">
      <alignment horizontal="center" vertical="center"/>
    </xf>
    <xf numFmtId="0" fontId="101" fillId="0" borderId="28" xfId="0" applyFont="1" applyBorder="1" applyAlignment="1">
      <alignment horizontal="center"/>
    </xf>
    <xf numFmtId="0" fontId="101" fillId="0" borderId="27" xfId="0" applyFont="1" applyBorder="1" applyAlignment="1">
      <alignment horizontal="center"/>
    </xf>
    <xf numFmtId="49" fontId="99" fillId="0" borderId="20" xfId="0" applyNumberFormat="1" applyFont="1" applyBorder="1"/>
  </cellXfs>
  <cellStyles count="11">
    <cellStyle name="Millares" xfId="1" builtinId="3"/>
    <cellStyle name="Moneda" xfId="2" builtinId="4"/>
    <cellStyle name="Moneda 2" xfId="5" xr:uid="{A279680B-9481-4171-A1C0-1FE14EBA60C4}"/>
    <cellStyle name="Moneda 2 2" xfId="6" xr:uid="{45DFC95B-E116-4A3D-8FBA-F30662C8D2A2}"/>
    <cellStyle name="Moneda 3" xfId="8" xr:uid="{2377EE8D-DB1C-4BFC-B0D0-A179831C867B}"/>
    <cellStyle name="Moneda 4" xfId="10" xr:uid="{FE5FD950-C8A1-4A42-B4FE-0667AB22DBC8}"/>
    <cellStyle name="Normal" xfId="0" builtinId="0"/>
    <cellStyle name="Normal 2" xfId="4" xr:uid="{00000000-0005-0000-0000-000003000000}"/>
    <cellStyle name="Normal 3" xfId="7" xr:uid="{953B486B-1339-451D-9802-26C2B5D00D90}"/>
    <cellStyle name="Normal 4" xfId="9" xr:uid="{6D9C4DE4-014C-483C-9159-538183BF16C0}"/>
    <cellStyle name="Porcentaje" xfId="3" builtinId="5"/>
  </cellStyles>
  <dxfs count="103">
    <dxf>
      <font>
        <b/>
        <i val="0"/>
        <color theme="5" tint="-0.2499465926084170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4" formatCode="_ &quot;$&quot;* #,##0.00_ ;_ &quot;$&quot;* \-#,##0.00_ ;_ &quot;$&quot;* &quot;-&quot;??_ ;_ @_ 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0000000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0"/>
    </dxf>
    <dxf>
      <protection locked="1" hidden="0"/>
    </dxf>
    <dxf>
      <border outline="0"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protection locked="0" hidden="0"/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4" formatCode="_ &quot;$&quot;* #,##0.00_ ;_ &quot;$&quot;* \-#,##0.00_ ;_ &quot;$&quot;* &quot;-&quot;??_ ;_ @_ 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000000000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4" formatCode="_ &quot;$&quot;* #,##0.00_ ;_ &quot;$&quot;* \-#,##0.00_ ;_ &quot;$&quot;* &quot;-&quot;??_ ;_ @_ 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000000000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color rgb="FFFF0000"/>
      </font>
      <fill>
        <patternFill>
          <bgColor theme="5" tint="0.79998168889431442"/>
        </patternFill>
      </fill>
    </dxf>
    <dxf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4" formatCode="_ &quot;$&quot;* #,##0.00_ ;_ &quot;$&quot;* \-#,##0.00_ ;_ &quot;$&quot;* &quot;-&quot;??_ ;_ @_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4" formatCode="_ &quot;$&quot;* #,##0.00_ ;_ &quot;$&quot;* \-#,##0.00_ ;_ &quot;$&quot;* &quot;-&quot;??_ ;_ @_ "/>
      <alignment horizontal="center" vertical="center" textRotation="0" wrapText="0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4" formatCode="0000000000"/>
      <alignment horizontal="center" vertical="center" textRotation="0" wrapText="0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4" formatCode="00000000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medium">
          <color theme="0" tint="-0.499984740745262"/>
        </top>
      </border>
    </dxf>
    <dxf>
      <border diagonalUp="0" diagonalDown="0">
        <left style="medium">
          <color theme="0" tint="-0.499984740745262"/>
        </left>
        <right style="medium">
          <color theme="0" tint="-0.499984740745262"/>
        </right>
        <top/>
        <bottom/>
        <vertical style="medium">
          <color theme="0" tint="-0.499984740745262"/>
        </vertical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ill>
        <patternFill>
          <bgColor rgb="FFFFFF8B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26862F"/>
      <color rgb="FF266624"/>
      <color rgb="FF345525"/>
      <color rgb="FFD363BB"/>
      <color rgb="FF3D5E2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4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4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4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10.png"/><Relationship Id="rId1" Type="http://schemas.openxmlformats.org/officeDocument/2006/relationships/image" Target="../media/image8.png"/></Relationships>
</file>

<file path=xl/drawings/_rels/drawing17.xml.rels><?xml version="1.0" encoding="UTF-8" standalone="yes"?>
<Relationships xmlns="http://schemas.openxmlformats.org/package/2006/relationships"><Relationship Id="rId3" Type="http://schemas.microsoft.com/office/2007/relationships/hdphoto" Target="../media/hdphoto3.wdp"/><Relationship Id="rId2" Type="http://schemas.openxmlformats.org/officeDocument/2006/relationships/image" Target="../media/image11.png"/><Relationship Id="rId1" Type="http://schemas.openxmlformats.org/officeDocument/2006/relationships/image" Target="../media/image8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64</xdr:row>
      <xdr:rowOff>130629</xdr:rowOff>
    </xdr:from>
    <xdr:to>
      <xdr:col>9</xdr:col>
      <xdr:colOff>185057</xdr:colOff>
      <xdr:row>71</xdr:row>
      <xdr:rowOff>21772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05C3AEE-5CDC-FF83-DAB7-208469CEC768}"/>
            </a:ext>
          </a:extLst>
        </xdr:cNvPr>
        <xdr:cNvSpPr txBox="1"/>
      </xdr:nvSpPr>
      <xdr:spPr>
        <a:xfrm>
          <a:off x="2439761" y="17907000"/>
          <a:ext cx="2469696" cy="1883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EC" sz="1200" b="1">
              <a:latin typeface="Baskerville Old Face" panose="02020602080505020303" pitchFamily="18" charset="0"/>
            </a:rPr>
            <a:t>____________________________________________</a:t>
          </a:r>
          <a:br>
            <a:rPr lang="es-EC" sz="1200" b="1">
              <a:latin typeface="Baskerville Old Face" panose="02020602080505020303" pitchFamily="18" charset="0"/>
            </a:rPr>
          </a:br>
          <a:r>
            <a:rPr lang="es-EC" sz="1200" b="1">
              <a:latin typeface="Baskerville Old Face" panose="02020602080505020303" pitchFamily="18" charset="0"/>
            </a:rPr>
            <a:t>TNLGO.</a:t>
          </a:r>
          <a:r>
            <a:rPr lang="es-EC" sz="1200" b="1" baseline="0">
              <a:latin typeface="Baskerville Old Face" panose="02020602080505020303" pitchFamily="18" charset="0"/>
            </a:rPr>
            <a:t> JOSÉ LLUMI GUAMBO</a:t>
          </a:r>
        </a:p>
        <a:p>
          <a:pPr algn="ctr"/>
          <a:r>
            <a:rPr lang="es-EC" sz="1200" b="1" baseline="0">
              <a:latin typeface="Baskerville Old Face" panose="02020602080505020303" pitchFamily="18" charset="0"/>
            </a:rPr>
            <a:t>PDTE. CONSEJO ADMINISTRACIÓN</a:t>
          </a:r>
          <a:endParaRPr lang="es-EC" sz="1200" b="1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12</xdr:col>
      <xdr:colOff>372834</xdr:colOff>
      <xdr:row>63</xdr:row>
      <xdr:rowOff>40822</xdr:rowOff>
    </xdr:from>
    <xdr:to>
      <xdr:col>17</xdr:col>
      <xdr:colOff>576942</xdr:colOff>
      <xdr:row>69</xdr:row>
      <xdr:rowOff>171450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C2A3B5C-DCAB-400F-B981-A59DFF7EB58C}"/>
            </a:ext>
          </a:extLst>
        </xdr:cNvPr>
        <xdr:cNvSpPr txBox="1"/>
      </xdr:nvSpPr>
      <xdr:spPr>
        <a:xfrm>
          <a:off x="7668984" y="17928772"/>
          <a:ext cx="3737883" cy="14831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EC" sz="1200" b="1">
              <a:latin typeface="Baskerville Old Face" panose="02020602080505020303" pitchFamily="18" charset="0"/>
            </a:rPr>
            <a:t>____________________________________________</a:t>
          </a:r>
          <a:br>
            <a:rPr lang="es-EC" sz="1200" b="1">
              <a:latin typeface="Baskerville Old Face" panose="02020602080505020303" pitchFamily="18" charset="0"/>
            </a:rPr>
          </a:br>
          <a:r>
            <a:rPr lang="es-EC" sz="1200" b="1">
              <a:latin typeface="Baskerville Old Face" panose="02020602080505020303" pitchFamily="18" charset="0"/>
            </a:rPr>
            <a:t>ING.</a:t>
          </a:r>
          <a:r>
            <a:rPr lang="es-EC" sz="1200" b="1" baseline="0">
              <a:latin typeface="Baskerville Old Face" panose="02020602080505020303" pitchFamily="18" charset="0"/>
            </a:rPr>
            <a:t> ALFREDO PILATAXI Y.</a:t>
          </a:r>
        </a:p>
        <a:p>
          <a:pPr algn="ctr"/>
          <a:r>
            <a:rPr lang="es-EC" sz="1200" b="1" baseline="0">
              <a:latin typeface="Baskerville Old Face" panose="02020602080505020303" pitchFamily="18" charset="0"/>
            </a:rPr>
            <a:t>GERENTE GENERAL</a:t>
          </a:r>
          <a:endParaRPr lang="es-EC" sz="1200" b="1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20</xdr:col>
      <xdr:colOff>618315</xdr:colOff>
      <xdr:row>63</xdr:row>
      <xdr:rowOff>40821</xdr:rowOff>
    </xdr:from>
    <xdr:to>
      <xdr:col>28</xdr:col>
      <xdr:colOff>685809</xdr:colOff>
      <xdr:row>69</xdr:row>
      <xdr:rowOff>171450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EEB2DD2-8B20-4F35-BC92-08BE203E1226}"/>
            </a:ext>
          </a:extLst>
        </xdr:cNvPr>
        <xdr:cNvSpPr txBox="1"/>
      </xdr:nvSpPr>
      <xdr:spPr>
        <a:xfrm>
          <a:off x="17572815" y="17528721"/>
          <a:ext cx="3763194" cy="1502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EC" sz="1200" b="1">
              <a:latin typeface="Baskerville Old Face" panose="02020602080505020303" pitchFamily="18" charset="0"/>
            </a:rPr>
            <a:t>____________________________________________</a:t>
          </a:r>
          <a:br>
            <a:rPr lang="es-EC" sz="1200" b="1">
              <a:latin typeface="Baskerville Old Face" panose="02020602080505020303" pitchFamily="18" charset="0"/>
            </a:rPr>
          </a:br>
          <a:r>
            <a:rPr lang="es-EC" sz="1200" b="1">
              <a:latin typeface="Baskerville Old Face" panose="02020602080505020303" pitchFamily="18" charset="0"/>
            </a:rPr>
            <a:t>CPA.</a:t>
          </a:r>
          <a:r>
            <a:rPr lang="es-EC" sz="1200" b="1" baseline="0">
              <a:latin typeface="Baskerville Old Face" panose="02020602080505020303" pitchFamily="18" charset="0"/>
            </a:rPr>
            <a:t> MA. TERESA YUNDA C.</a:t>
          </a:r>
        </a:p>
        <a:p>
          <a:pPr algn="ctr"/>
          <a:r>
            <a:rPr lang="es-EC" sz="1200" b="1" baseline="0">
              <a:latin typeface="Baskerville Old Face" panose="02020602080505020303" pitchFamily="18" charset="0"/>
            </a:rPr>
            <a:t>CONTADORA GENERAL</a:t>
          </a:r>
          <a:endParaRPr lang="es-EC" sz="1200" b="1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32</xdr:col>
      <xdr:colOff>419100</xdr:colOff>
      <xdr:row>63</xdr:row>
      <xdr:rowOff>38100</xdr:rowOff>
    </xdr:from>
    <xdr:to>
      <xdr:col>36</xdr:col>
      <xdr:colOff>1028700</xdr:colOff>
      <xdr:row>69</xdr:row>
      <xdr:rowOff>171450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5786E03E-F5DF-4BC5-BD2B-2476A77B1D12}"/>
            </a:ext>
          </a:extLst>
        </xdr:cNvPr>
        <xdr:cNvSpPr txBox="1"/>
      </xdr:nvSpPr>
      <xdr:spPr>
        <a:xfrm>
          <a:off x="24060150" y="17526000"/>
          <a:ext cx="3733800" cy="150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EC" sz="1200" b="1">
              <a:latin typeface="Baskerville Old Face" panose="02020602080505020303" pitchFamily="18" charset="0"/>
            </a:rPr>
            <a:t>____________________________________________</a:t>
          </a:r>
          <a:br>
            <a:rPr lang="es-EC" sz="1200" b="1">
              <a:latin typeface="Baskerville Old Face" panose="02020602080505020303" pitchFamily="18" charset="0"/>
            </a:rPr>
          </a:br>
          <a:r>
            <a:rPr lang="es-EC" sz="1200" b="1">
              <a:latin typeface="Baskerville Old Face" panose="02020602080505020303" pitchFamily="18" charset="0"/>
            </a:rPr>
            <a:t>ING.</a:t>
          </a:r>
          <a:r>
            <a:rPr lang="es-EC" sz="1200" b="1" baseline="0">
              <a:latin typeface="Baskerville Old Face" panose="02020602080505020303" pitchFamily="18" charset="0"/>
            </a:rPr>
            <a:t> MAGALY MOROCHO</a:t>
          </a:r>
        </a:p>
        <a:p>
          <a:pPr algn="ctr"/>
          <a:r>
            <a:rPr lang="es-EC" sz="1200" b="1" baseline="0">
              <a:latin typeface="Baskerville Old Face" panose="02020602080505020303" pitchFamily="18" charset="0"/>
            </a:rPr>
            <a:t>TALENTO HUMANO</a:t>
          </a:r>
          <a:endParaRPr lang="es-EC" sz="1200" b="1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40</xdr:col>
      <xdr:colOff>1080654</xdr:colOff>
      <xdr:row>0</xdr:row>
      <xdr:rowOff>0</xdr:rowOff>
    </xdr:from>
    <xdr:to>
      <xdr:col>40</xdr:col>
      <xdr:colOff>1918447</xdr:colOff>
      <xdr:row>3</xdr:row>
      <xdr:rowOff>83128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6188843B-8836-4AF9-A677-7928952DF40F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0707" r="80821" b="25679"/>
        <a:stretch/>
      </xdr:blipFill>
      <xdr:spPr>
        <a:xfrm>
          <a:off x="31704089" y="0"/>
          <a:ext cx="837793" cy="773410"/>
        </a:xfrm>
        <a:prstGeom prst="rect">
          <a:avLst/>
        </a:prstGeom>
      </xdr:spPr>
    </xdr:pic>
    <xdr:clientData/>
  </xdr:twoCellAnchor>
  <xdr:twoCellAnchor>
    <xdr:from>
      <xdr:col>6</xdr:col>
      <xdr:colOff>564077</xdr:colOff>
      <xdr:row>0</xdr:row>
      <xdr:rowOff>0</xdr:rowOff>
    </xdr:from>
    <xdr:to>
      <xdr:col>8</xdr:col>
      <xdr:colOff>1921</xdr:colOff>
      <xdr:row>3</xdr:row>
      <xdr:rowOff>83128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146921A3-C207-4E22-8CC1-00D28D785C55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0707" r="81510" b="25679"/>
        <a:stretch/>
      </xdr:blipFill>
      <xdr:spPr>
        <a:xfrm>
          <a:off x="7313220" y="0"/>
          <a:ext cx="798558" cy="779814"/>
        </a:xfrm>
        <a:prstGeom prst="rect">
          <a:avLst/>
        </a:prstGeom>
      </xdr:spPr>
    </xdr:pic>
    <xdr:clientData/>
  </xdr:twoCellAnchor>
  <xdr:twoCellAnchor editAs="oneCell">
    <xdr:from>
      <xdr:col>22</xdr:col>
      <xdr:colOff>301174</xdr:colOff>
      <xdr:row>159</xdr:row>
      <xdr:rowOff>68944</xdr:rowOff>
    </xdr:from>
    <xdr:to>
      <xdr:col>27</xdr:col>
      <xdr:colOff>224588</xdr:colOff>
      <xdr:row>166</xdr:row>
      <xdr:rowOff>23889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0BB92B1-69ED-46AB-A824-72B6BEDA5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764934" y="35593384"/>
          <a:ext cx="4798037" cy="12351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62752</xdr:colOff>
      <xdr:row>4</xdr:row>
      <xdr:rowOff>35858</xdr:rowOff>
    </xdr:from>
    <xdr:to>
      <xdr:col>16</xdr:col>
      <xdr:colOff>396055</xdr:colOff>
      <xdr:row>7</xdr:row>
      <xdr:rowOff>105245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AB9998-462D-E6EF-E039-EDBA18A09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9764" y="842682"/>
          <a:ext cx="5066667" cy="7238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252454</xdr:colOff>
      <xdr:row>3</xdr:row>
      <xdr:rowOff>41744</xdr:rowOff>
    </xdr:from>
    <xdr:to>
      <xdr:col>4</xdr:col>
      <xdr:colOff>700047</xdr:colOff>
      <xdr:row>5</xdr:row>
      <xdr:rowOff>108004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66A12-A0FE-4379-B13B-F62878D035D8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8780" b="31140"/>
        <a:stretch/>
      </xdr:blipFill>
      <xdr:spPr>
        <a:xfrm>
          <a:off x="374374" y="498944"/>
          <a:ext cx="2977433" cy="424400"/>
        </a:xfrm>
        <a:prstGeom prst="rect">
          <a:avLst/>
        </a:prstGeom>
      </xdr:spPr>
    </xdr:pic>
    <xdr:clientData/>
  </xdr:twoCellAnchor>
  <xdr:twoCellAnchor>
    <xdr:from>
      <xdr:col>5</xdr:col>
      <xdr:colOff>523461</xdr:colOff>
      <xdr:row>29</xdr:row>
      <xdr:rowOff>105237</xdr:rowOff>
    </xdr:from>
    <xdr:to>
      <xdr:col>7</xdr:col>
      <xdr:colOff>520343</xdr:colOff>
      <xdr:row>29</xdr:row>
      <xdr:rowOff>105627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3FC18F2A-32BF-4D96-8693-765BCEF333EF}"/>
            </a:ext>
          </a:extLst>
        </xdr:cNvPr>
        <xdr:cNvCxnSpPr/>
      </xdr:nvCxnSpPr>
      <xdr:spPr>
        <a:xfrm flipV="1">
          <a:off x="3912120" y="5304766"/>
          <a:ext cx="1610529" cy="3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229496</xdr:colOff>
      <xdr:row>28</xdr:row>
      <xdr:rowOff>47514</xdr:rowOff>
    </xdr:from>
    <xdr:to>
      <xdr:col>3</xdr:col>
      <xdr:colOff>308629</xdr:colOff>
      <xdr:row>29</xdr:row>
      <xdr:rowOff>152141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982006-6056-559C-1646-D2F581C42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16" y="4870974"/>
          <a:ext cx="1359293" cy="424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252454</xdr:colOff>
      <xdr:row>3</xdr:row>
      <xdr:rowOff>41744</xdr:rowOff>
    </xdr:from>
    <xdr:to>
      <xdr:col>4</xdr:col>
      <xdr:colOff>700047</xdr:colOff>
      <xdr:row>5</xdr:row>
      <xdr:rowOff>108004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C5C527-6004-4908-A0FB-AFD5637D4A37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8780" b="31140"/>
        <a:stretch/>
      </xdr:blipFill>
      <xdr:spPr>
        <a:xfrm>
          <a:off x="374374" y="498944"/>
          <a:ext cx="2977433" cy="424400"/>
        </a:xfrm>
        <a:prstGeom prst="rect">
          <a:avLst/>
        </a:prstGeom>
      </xdr:spPr>
    </xdr:pic>
    <xdr:clientData/>
  </xdr:twoCellAnchor>
  <xdr:twoCellAnchor>
    <xdr:from>
      <xdr:col>5</xdr:col>
      <xdr:colOff>523461</xdr:colOff>
      <xdr:row>29</xdr:row>
      <xdr:rowOff>105237</xdr:rowOff>
    </xdr:from>
    <xdr:to>
      <xdr:col>7</xdr:col>
      <xdr:colOff>520343</xdr:colOff>
      <xdr:row>29</xdr:row>
      <xdr:rowOff>105627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CE07BBE-1245-465F-BA5F-CA65655E384A}"/>
            </a:ext>
          </a:extLst>
        </xdr:cNvPr>
        <xdr:cNvCxnSpPr/>
      </xdr:nvCxnSpPr>
      <xdr:spPr>
        <a:xfrm flipV="1">
          <a:off x="3914361" y="5248737"/>
          <a:ext cx="1612322" cy="3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229496</xdr:colOff>
      <xdr:row>28</xdr:row>
      <xdr:rowOff>62754</xdr:rowOff>
    </xdr:from>
    <xdr:to>
      <xdr:col>3</xdr:col>
      <xdr:colOff>308629</xdr:colOff>
      <xdr:row>30</xdr:row>
      <xdr:rowOff>14981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56E54F6-EB33-4A9A-8AB5-92DB67B09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16" y="4886214"/>
          <a:ext cx="1359293" cy="424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252454</xdr:colOff>
      <xdr:row>3</xdr:row>
      <xdr:rowOff>41744</xdr:rowOff>
    </xdr:from>
    <xdr:to>
      <xdr:col>4</xdr:col>
      <xdr:colOff>700047</xdr:colOff>
      <xdr:row>5</xdr:row>
      <xdr:rowOff>108004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522858-63DB-41AC-85F3-B3271D60606E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8780" b="31140"/>
        <a:stretch/>
      </xdr:blipFill>
      <xdr:spPr>
        <a:xfrm>
          <a:off x="374374" y="498944"/>
          <a:ext cx="2962193" cy="432020"/>
        </a:xfrm>
        <a:prstGeom prst="rect">
          <a:avLst/>
        </a:prstGeom>
      </xdr:spPr>
    </xdr:pic>
    <xdr:clientData/>
  </xdr:twoCellAnchor>
  <xdr:twoCellAnchor>
    <xdr:from>
      <xdr:col>5</xdr:col>
      <xdr:colOff>523461</xdr:colOff>
      <xdr:row>29</xdr:row>
      <xdr:rowOff>105237</xdr:rowOff>
    </xdr:from>
    <xdr:to>
      <xdr:col>7</xdr:col>
      <xdr:colOff>520343</xdr:colOff>
      <xdr:row>29</xdr:row>
      <xdr:rowOff>105627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AB238D72-D4D2-49DC-AF98-FB5113C2AACA}"/>
            </a:ext>
          </a:extLst>
        </xdr:cNvPr>
        <xdr:cNvCxnSpPr/>
      </xdr:nvCxnSpPr>
      <xdr:spPr>
        <a:xfrm flipV="1">
          <a:off x="3891501" y="5248737"/>
          <a:ext cx="1604702" cy="3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229496</xdr:colOff>
      <xdr:row>28</xdr:row>
      <xdr:rowOff>47514</xdr:rowOff>
    </xdr:from>
    <xdr:to>
      <xdr:col>3</xdr:col>
      <xdr:colOff>308629</xdr:colOff>
      <xdr:row>29</xdr:row>
      <xdr:rowOff>152141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D215D2D-BDC8-43A6-BF3A-11C277CB8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16" y="4870974"/>
          <a:ext cx="1351673" cy="4246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</xdr:colOff>
      <xdr:row>0</xdr:row>
      <xdr:rowOff>0</xdr:rowOff>
    </xdr:from>
    <xdr:to>
      <xdr:col>6</xdr:col>
      <xdr:colOff>563880</xdr:colOff>
      <xdr:row>3</xdr:row>
      <xdr:rowOff>107100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5890FD8F-3C0C-413D-868B-B06D2E3C2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" y="0"/>
          <a:ext cx="5543550" cy="54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</xdr:colOff>
      <xdr:row>0</xdr:row>
      <xdr:rowOff>0</xdr:rowOff>
    </xdr:from>
    <xdr:to>
      <xdr:col>6</xdr:col>
      <xdr:colOff>563880</xdr:colOff>
      <xdr:row>3</xdr:row>
      <xdr:rowOff>107100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7A719965-1CC7-4173-8A7F-70B2274E6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" y="0"/>
          <a:ext cx="5543550" cy="54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</xdr:colOff>
      <xdr:row>0</xdr:row>
      <xdr:rowOff>0</xdr:rowOff>
    </xdr:from>
    <xdr:to>
      <xdr:col>6</xdr:col>
      <xdr:colOff>563880</xdr:colOff>
      <xdr:row>3</xdr:row>
      <xdr:rowOff>107100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E3E03AF5-3030-46DB-9715-1312D16E0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" y="0"/>
          <a:ext cx="5543550" cy="54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</xdr:colOff>
      <xdr:row>0</xdr:row>
      <xdr:rowOff>0</xdr:rowOff>
    </xdr:from>
    <xdr:to>
      <xdr:col>6</xdr:col>
      <xdr:colOff>563880</xdr:colOff>
      <xdr:row>3</xdr:row>
      <xdr:rowOff>107100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56CC4467-2C21-4EC9-9CF6-0BA0B0933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" y="0"/>
          <a:ext cx="5543550" cy="54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457200</xdr:colOff>
      <xdr:row>15</xdr:row>
      <xdr:rowOff>91440</xdr:rowOff>
    </xdr:from>
    <xdr:to>
      <xdr:col>25</xdr:col>
      <xdr:colOff>199105</xdr:colOff>
      <xdr:row>26</xdr:row>
      <xdr:rowOff>45899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67F7FF-31A9-48EB-9713-ACBDD1A5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7740" y="2522220"/>
          <a:ext cx="11370025" cy="2065199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0</xdr:row>
      <xdr:rowOff>0</xdr:rowOff>
    </xdr:from>
    <xdr:to>
      <xdr:col>24</xdr:col>
      <xdr:colOff>374375</xdr:colOff>
      <xdr:row>30</xdr:row>
      <xdr:rowOff>69037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7DA39F-17E4-48D0-9AF7-FAC6A3033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56220" y="0"/>
          <a:ext cx="11484335" cy="527349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</xdr:colOff>
      <xdr:row>0</xdr:row>
      <xdr:rowOff>0</xdr:rowOff>
    </xdr:from>
    <xdr:to>
      <xdr:col>6</xdr:col>
      <xdr:colOff>563880</xdr:colOff>
      <xdr:row>3</xdr:row>
      <xdr:rowOff>107100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7C4DD8F2-CEC1-4D5E-B41B-5DA646C83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" y="0"/>
          <a:ext cx="5543550" cy="54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457200</xdr:colOff>
      <xdr:row>15</xdr:row>
      <xdr:rowOff>91440</xdr:rowOff>
    </xdr:from>
    <xdr:to>
      <xdr:col>25</xdr:col>
      <xdr:colOff>199105</xdr:colOff>
      <xdr:row>26</xdr:row>
      <xdr:rowOff>45899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994E21-13B5-459C-A35A-120EDFCAE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7740" y="2522220"/>
          <a:ext cx="11370025" cy="2065199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0</xdr:row>
      <xdr:rowOff>0</xdr:rowOff>
    </xdr:from>
    <xdr:to>
      <xdr:col>24</xdr:col>
      <xdr:colOff>374375</xdr:colOff>
      <xdr:row>30</xdr:row>
      <xdr:rowOff>69037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6F8BDE4-BDDF-49B0-BAA6-234ACF601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56220" y="0"/>
          <a:ext cx="11484335" cy="527349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</xdr:colOff>
      <xdr:row>0</xdr:row>
      <xdr:rowOff>0</xdr:rowOff>
    </xdr:from>
    <xdr:to>
      <xdr:col>6</xdr:col>
      <xdr:colOff>563880</xdr:colOff>
      <xdr:row>3</xdr:row>
      <xdr:rowOff>107100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AAF83FC5-36AF-4CAD-9836-83972F584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" y="0"/>
          <a:ext cx="5543550" cy="54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</xdr:colOff>
      <xdr:row>0</xdr:row>
      <xdr:rowOff>0</xdr:rowOff>
    </xdr:from>
    <xdr:to>
      <xdr:col>6</xdr:col>
      <xdr:colOff>563880</xdr:colOff>
      <xdr:row>3</xdr:row>
      <xdr:rowOff>107100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AAC6A25B-4413-40DD-A9DC-3181046A5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" y="0"/>
          <a:ext cx="5543550" cy="54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421369</xdr:colOff>
      <xdr:row>1</xdr:row>
      <xdr:rowOff>247636</xdr:rowOff>
    </xdr:from>
    <xdr:to>
      <xdr:col>11</xdr:col>
      <xdr:colOff>62456</xdr:colOff>
      <xdr:row>1</xdr:row>
      <xdr:rowOff>965462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41DB99-EB80-4C6B-A55F-C6851794B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8289" y="460996"/>
          <a:ext cx="5729467" cy="71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42809</xdr:colOff>
      <xdr:row>1</xdr:row>
      <xdr:rowOff>19050</xdr:rowOff>
    </xdr:from>
    <xdr:to>
      <xdr:col>2</xdr:col>
      <xdr:colOff>770240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C02D4D-00C3-4187-942D-A7974AA69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820" y="190286"/>
          <a:ext cx="1129836" cy="6925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</xdr:colOff>
      <xdr:row>0</xdr:row>
      <xdr:rowOff>76200</xdr:rowOff>
    </xdr:from>
    <xdr:to>
      <xdr:col>6</xdr:col>
      <xdr:colOff>114300</xdr:colOff>
      <xdr:row>5</xdr:row>
      <xdr:rowOff>61380</xdr:rowOff>
    </xdr:to>
    <xdr:pic>
      <xdr:nvPicPr>
        <xdr:cNvPr id="2" name="5 Imagen">
          <a:extLst>
            <a:ext uri="{FF2B5EF4-FFF2-40B4-BE49-F238E27FC236}">
              <a16:creationId xmlns:a16="http://schemas.microsoft.com/office/drawing/2014/main" id="{AE277C8F-E31E-4860-9678-FD475A231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" y="76200"/>
          <a:ext cx="5379720" cy="680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421369</xdr:colOff>
      <xdr:row>1</xdr:row>
      <xdr:rowOff>247636</xdr:rowOff>
    </xdr:from>
    <xdr:to>
      <xdr:col>11</xdr:col>
      <xdr:colOff>62456</xdr:colOff>
      <xdr:row>1</xdr:row>
      <xdr:rowOff>965462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176F74-CC7F-4973-BD80-B07F429FC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8289" y="460996"/>
          <a:ext cx="5729467" cy="71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65821</xdr:colOff>
      <xdr:row>39</xdr:row>
      <xdr:rowOff>102548</xdr:rowOff>
    </xdr:from>
    <xdr:to>
      <xdr:col>6</xdr:col>
      <xdr:colOff>167056</xdr:colOff>
      <xdr:row>42</xdr:row>
      <xdr:rowOff>65378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8322D7-380F-19EB-9F15-5510F89D9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211" b="99342" l="9823" r="92497">
                      <a14:foregroundMark x1="14188" y1="29605" x2="17190" y2="50658"/>
                      <a14:foregroundMark x1="17599" y1="34211" x2="46521" y2="73684"/>
                      <a14:foregroundMark x1="55389" y1="32895" x2="75853" y2="74342"/>
                      <a14:foregroundMark x1="75853" y1="74342" x2="89495" y2="77632"/>
                      <a14:foregroundMark x1="75716" y1="45395" x2="54980" y2="60526"/>
                      <a14:foregroundMark x1="54980" y1="60526" x2="92087" y2="71053"/>
                      <a14:foregroundMark x1="14052" y1="30263" x2="15143" y2="77632"/>
                      <a14:foregroundMark x1="81992" y1="41447" x2="90723" y2="71053"/>
                      <a14:foregroundMark x1="88131" y1="55263" x2="92633" y2="73684"/>
                      <a14:foregroundMark x1="30559" y1="86842" x2="31105" y2="98684"/>
                      <a14:foregroundMark x1="31378" y1="86184" x2="31787" y2="99342"/>
                      <a14:foregroundMark x1="41473" y1="66447" x2="55662" y2="34868"/>
                      <a14:foregroundMark x1="77080" y1="46053" x2="87858" y2="51974"/>
                      <a14:foregroundMark x1="14188" y1="30263" x2="15143" y2="7697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00809" y="9757536"/>
          <a:ext cx="2243800" cy="50071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421369</xdr:colOff>
      <xdr:row>1</xdr:row>
      <xdr:rowOff>247636</xdr:rowOff>
    </xdr:from>
    <xdr:to>
      <xdr:col>11</xdr:col>
      <xdr:colOff>62456</xdr:colOff>
      <xdr:row>1</xdr:row>
      <xdr:rowOff>965462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2CE30C-1BB2-47D9-A11A-93D19699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3529" y="460996"/>
          <a:ext cx="6057127" cy="71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285873</xdr:colOff>
      <xdr:row>38</xdr:row>
      <xdr:rowOff>93785</xdr:rowOff>
    </xdr:from>
    <xdr:to>
      <xdr:col>5</xdr:col>
      <xdr:colOff>518631</xdr:colOff>
      <xdr:row>42</xdr:row>
      <xdr:rowOff>108608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978A10-4110-FB81-6908-B5737078B0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735" b="93805" l="4714" r="89899">
                      <a14:foregroundMark x1="30976" y1="31858" x2="65320" y2="74336"/>
                      <a14:foregroundMark x1="65320" y1="74336" x2="29293" y2="70796"/>
                      <a14:foregroundMark x1="29293" y1="70796" x2="30640" y2="40708"/>
                      <a14:foregroundMark x1="31313" y1="30973" x2="66330" y2="66372"/>
                      <a14:foregroundMark x1="66330" y1="66372" x2="53464" y2="80864"/>
                      <a14:foregroundMark x1="4714" y1="65487" x2="21549" y2="65487"/>
                      <a14:foregroundMark x1="6397" y1="62832" x2="31650" y2="61062"/>
                      <a14:foregroundMark x1="12458" y1="61062" x2="37037" y2="59292"/>
                      <a14:foregroundMark x1="9428" y1="60177" x2="29293" y2="52212"/>
                      <a14:foregroundMark x1="10438" y1="58407" x2="5724" y2="64602"/>
                      <a14:foregroundMark x1="9091" y1="76106" x2="27716" y2="80111"/>
                      <a14:foregroundMark x1="20539" y1="83186" x2="13131" y2="93805"/>
                      <a14:foregroundMark x1="7407" y1="64602" x2="11785" y2="58407"/>
                      <a14:foregroundMark x1="28283" y1="46903" x2="28283" y2="46903"/>
                      <a14:foregroundMark x1="31650" y1="29204" x2="30640" y2="46018"/>
                      <a14:foregroundMark x1="30640" y1="37168" x2="28956" y2="44248"/>
                      <a14:foregroundMark x1="30640" y1="35398" x2="36027" y2="36283"/>
                      <a14:foregroundMark x1="33588" y1="24023" x2="34343" y2="30973"/>
                      <a14:foregroundMark x1="34046" y1="22394" x2="35690" y2="33628"/>
                      <a14:foregroundMark x1="34343" y1="21239" x2="35017" y2="28319"/>
                      <a14:foregroundMark x1="68013" y1="66372" x2="70034" y2="72566"/>
                      <a14:foregroundMark x1="34680" y1="21239" x2="33495" y2="24354"/>
                      <a14:foregroundMark x1="31779" y1="29094" x2="31650" y2="34513"/>
                      <a14:foregroundMark x1="35017" y1="21239" x2="35354" y2="31858"/>
                      <a14:foregroundMark x1="30672" y1="28448" x2="30640" y2="29204"/>
                      <a14:backgroundMark x1="18855" y1="15929" x2="29966" y2="13274"/>
                      <a14:backgroundMark x1="32660" y1="14159" x2="32997" y2="17699"/>
                      <a14:backgroundMark x1="35017" y1="15044" x2="35017" y2="15044"/>
                      <a14:backgroundMark x1="33333" y1="12389" x2="36364" y2="14159"/>
                      <a14:backgroundMark x1="56902" y1="92035" x2="49158" y2="99115"/>
                      <a14:backgroundMark x1="24579" y1="92035" x2="46128" y2="99115"/>
                    </a14:backgroundRemoval>
                  </a14:imgEffect>
                </a14:imgLayer>
              </a14:imgProps>
            </a:ext>
          </a:extLst>
        </a:blip>
        <a:srcRect r="8146"/>
        <a:stretch/>
      </xdr:blipFill>
      <xdr:spPr>
        <a:xfrm>
          <a:off x="2325688" y="9659816"/>
          <a:ext cx="1815374" cy="74165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544286</xdr:colOff>
      <xdr:row>56</xdr:row>
      <xdr:rowOff>111034</xdr:rowOff>
    </xdr:from>
    <xdr:to>
      <xdr:col>4</xdr:col>
      <xdr:colOff>617220</xdr:colOff>
      <xdr:row>56</xdr:row>
      <xdr:rowOff>706482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A0CC90BE-7921-4C16-8F1C-682D33B2DBD2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5312" r="2313" b="28750"/>
        <a:stretch/>
      </xdr:blipFill>
      <xdr:spPr>
        <a:xfrm>
          <a:off x="1153886" y="17147177"/>
          <a:ext cx="4851763" cy="59544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9</xdr:row>
      <xdr:rowOff>0</xdr:rowOff>
    </xdr:from>
    <xdr:to>
      <xdr:col>12</xdr:col>
      <xdr:colOff>35596</xdr:colOff>
      <xdr:row>15</xdr:row>
      <xdr:rowOff>131291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279274-9C0B-4C20-B83B-1BB317AF9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4880" y="1645920"/>
          <a:ext cx="4790476" cy="122857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297179</xdr:colOff>
      <xdr:row>1</xdr:row>
      <xdr:rowOff>144780</xdr:rowOff>
    </xdr:from>
    <xdr:to>
      <xdr:col>3</xdr:col>
      <xdr:colOff>784860</xdr:colOff>
      <xdr:row>4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230188-2A54-40A2-8D22-F6CCF3089954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0707" r="80821" b="25679"/>
        <a:stretch/>
      </xdr:blipFill>
      <xdr:spPr>
        <a:xfrm>
          <a:off x="2278379" y="327660"/>
          <a:ext cx="487681" cy="533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24.530997800925" createdVersion="8" refreshedVersion="8" minRefreshableVersion="3" recordCount="20" xr:uid="{513E9E2F-8368-407E-9781-3AA767FA32B0}">
  <cacheSource type="worksheet">
    <worksheetSource ref="B7:F29" sheet="PQ"/>
  </cacheSource>
  <cacheFields count="5">
    <cacheField name="NO" numFmtId="0">
      <sharedItems containsString="0" containsBlank="1" containsNumber="1" containsInteger="1" minValue="1" maxValue="19"/>
    </cacheField>
    <cacheField name="CEDULA" numFmtId="164">
      <sharedItems containsBlank="1" containsMixedTypes="1" containsNumber="1" containsInteger="1" minValue="918741448" maxValue="1750873604"/>
    </cacheField>
    <cacheField name="NOMBRES Y APELLIDOS" numFmtId="0">
      <sharedItems containsBlank="1" count="14">
        <s v="GARCIA VERA HENRY LUIS"/>
        <s v="GUAYANLEMA RUIZ EDINSON DAVID"/>
        <s v="MALAN DELGADO JOSE ALBERTO"/>
        <s v="MARSHALL VEGA YULIANA LISSETT"/>
        <s v="MOREIRA ESPINOZA LINDA ELIZABETH"/>
        <s v="PERALTA MENDEZ LINA LISSETTE"/>
        <s v="RECALDE NARANJO ANGEL ALEXIS"/>
        <s v="SANISACA MITE ISRAEL BENJAMIN"/>
        <s v="TADAY GUAMAN NESTOR ALONSO"/>
        <s v="DEFAS CHICAIZA JOEL ALBERTO"/>
        <s v="MUÑOZ MOLINA VERONICA PATRICIA"/>
        <m/>
        <s v="VERA GUEVARA PAOLA KARINA" u="1"/>
        <s v="BARAHONA ZAMBRANO DAYANA NICOLE" u="1"/>
      </sharedItems>
    </cacheField>
    <cacheField name="NUT" numFmtId="168">
      <sharedItems containsString="0" containsBlank="1" containsNumber="1" containsInteger="1" minValue="9936669" maxValue="18644981"/>
    </cacheField>
    <cacheField name="VALOR" numFmtId="44">
      <sharedItems containsString="0" containsBlank="1" containsNumber="1" minValue="10.97" maxValue="261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s v="0950929232"/>
    <x v="0"/>
    <n v="14750228"/>
    <n v="19.829999999999998"/>
  </r>
  <r>
    <n v="2"/>
    <s v="0950929232"/>
    <x v="0"/>
    <n v="16294333"/>
    <n v="16.82"/>
  </r>
  <r>
    <n v="3"/>
    <s v="0950929232"/>
    <x v="0"/>
    <n v="15496427"/>
    <n v="13.32"/>
  </r>
  <r>
    <n v="4"/>
    <s v="0950929232"/>
    <x v="0"/>
    <n v="17091341"/>
    <n v="26.06"/>
  </r>
  <r>
    <n v="5"/>
    <s v="0950929232"/>
    <x v="0"/>
    <n v="13715336"/>
    <n v="11.63"/>
  </r>
  <r>
    <n v="6"/>
    <s v="0956796767"/>
    <x v="1"/>
    <n v="16038686"/>
    <n v="20.96"/>
  </r>
  <r>
    <n v="7"/>
    <s v="0603838657"/>
    <x v="2"/>
    <n v="16785149"/>
    <n v="36.130000000000003"/>
  </r>
  <r>
    <n v="8"/>
    <s v="0954520599"/>
    <x v="3"/>
    <n v="17678636"/>
    <n v="11.69"/>
  </r>
  <r>
    <n v="9"/>
    <s v="0954520599"/>
    <x v="3"/>
    <n v="18644981"/>
    <n v="15.48"/>
  </r>
  <r>
    <n v="10"/>
    <s v="0941235376"/>
    <x v="4"/>
    <n v="17447992"/>
    <n v="35.22"/>
  </r>
  <r>
    <n v="11"/>
    <s v="0925830689"/>
    <x v="5"/>
    <n v="18546441"/>
    <n v="80.94"/>
  </r>
  <r>
    <n v="12"/>
    <s v="0924232804"/>
    <x v="6"/>
    <n v="18385843"/>
    <n v="37.33"/>
  </r>
  <r>
    <n v="13"/>
    <s v="0924232804"/>
    <x v="6"/>
    <n v="17552082"/>
    <n v="33.72"/>
  </r>
  <r>
    <n v="14"/>
    <s v="0927257576"/>
    <x v="7"/>
    <n v="17321972"/>
    <n v="21.82"/>
  </r>
  <r>
    <n v="15"/>
    <s v="0927257576"/>
    <x v="7"/>
    <n v="16124684"/>
    <n v="22.78"/>
  </r>
  <r>
    <n v="16"/>
    <s v="0927257576"/>
    <x v="7"/>
    <n v="14534491"/>
    <n v="10.97"/>
  </r>
  <r>
    <n v="17"/>
    <s v="0928901800"/>
    <x v="8"/>
    <n v="14576862"/>
    <n v="84.3"/>
  </r>
  <r>
    <m/>
    <n v="918741448"/>
    <x v="9"/>
    <n v="10070196"/>
    <n v="261.63"/>
  </r>
  <r>
    <n v="19"/>
    <n v="1750873604"/>
    <x v="10"/>
    <n v="9936669"/>
    <n v="161.05000000000001"/>
  </r>
  <r>
    <m/>
    <m/>
    <x v="1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393BB-DA6B-4AA6-BFE3-9FEB05BDCCD7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0:J23" firstHeaderRow="1" firstDataRow="1" firstDataCol="1"/>
  <pivotFields count="5">
    <pivotField showAll="0"/>
    <pivotField showAll="0"/>
    <pivotField axis="axisRow" showAll="0" sortType="ascending">
      <items count="15">
        <item m="1" x="13"/>
        <item x="9"/>
        <item x="0"/>
        <item x="1"/>
        <item x="2"/>
        <item x="3"/>
        <item x="4"/>
        <item x="10"/>
        <item x="5"/>
        <item x="6"/>
        <item x="7"/>
        <item x="8"/>
        <item m="1" x="12"/>
        <item x="11"/>
        <item t="default"/>
      </items>
    </pivotField>
    <pivotField showAll="0"/>
    <pivotField dataField="1" showAll="0"/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 t="grand">
      <x/>
    </i>
  </rowItems>
  <colItems count="1">
    <i/>
  </colItems>
  <dataFields count="1">
    <dataField name="Suma de VALO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C3227C-E130-4153-91E6-5891E646A7ED}" name="Tabla15" displayName="Tabla15" ref="B6:K25" totalsRowCount="1" headerRowDxfId="100" totalsRowDxfId="97" headerRowBorderDxfId="99" tableBorderDxfId="98" totalsRowBorderDxfId="96">
  <autoFilter ref="B6:K24" xr:uid="{1E6EADB2-4CFE-47F6-8745-421B6903D5D3}"/>
  <tableColumns count="10">
    <tableColumn id="1" xr3:uid="{10EB9936-0CC5-4AB7-85B3-CD0AD4A63AE3}" name="No." dataDxfId="95" totalsRowDxfId="94"/>
    <tableColumn id="2" xr3:uid="{797B41E5-8504-4957-8B6A-D712B5245E5A}" name="CEDULA" dataDxfId="93" totalsRowDxfId="92"/>
    <tableColumn id="3" xr3:uid="{85945D67-8980-44F9-B04C-627697E5C7A6}" name="NOMBRE " totalsRowLabel="TOTALES" dataDxfId="91" totalsRowDxfId="90"/>
    <tableColumn id="4" xr3:uid="{5C5343CB-E629-4426-82DF-D4830C15EBB8}" name="FECHA DE INGRESO" dataDxfId="89" totalsRowDxfId="88" dataCellStyle="Millares"/>
    <tableColumn id="5" xr3:uid="{B687372E-A6F6-4687-A173-0A4B1FAA0A04}" name="CARGO" dataDxfId="87" totalsRowDxfId="86" dataCellStyle="Millares"/>
    <tableColumn id="6" xr3:uid="{82DA6474-1618-4D2E-AB0B-ECB2C613D159}" name="AGENCIA" dataDxfId="85" totalsRowDxfId="84"/>
    <tableColumn id="7" xr3:uid="{2298AFAD-466D-4D2A-A0EA-A3D94A976B12}" name="DIAS TRABAJADOS" dataDxfId="83" totalsRowDxfId="82" dataCellStyle="Millares"/>
    <tableColumn id="8" xr3:uid="{34962E0D-EAB3-4F32-854E-135543D7F4A3}" name="SUELDO " dataDxfId="81" totalsRowDxfId="80" dataCellStyle="Moneda"/>
    <tableColumn id="9" xr3:uid="{060DDEB2-F86C-467F-BFF6-2F595D18F40B}" name="BONO VEHICULAR" totalsRowFunction="custom" dataDxfId="79" totalsRowDxfId="78" dataCellStyle="Moneda">
      <totalsRowFormula>SUM(Tabla15[BONO VEHICULAR])</totalsRowFormula>
    </tableColumn>
    <tableColumn id="10" xr3:uid="{1AC2F945-19A9-476B-9D41-BF4BB72B242B}" name="Columna1" dataDxfId="77" totalsRowDxfId="7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97C262-622B-43AA-A84D-0D10FFFF2EEB}" name="Tabla335" displayName="Tabla335" ref="B7:K59" totalsRowCount="1" dataDxfId="74" tableBorderDxfId="73" dataCellStyle="Millares">
  <autoFilter ref="B7:K58" xr:uid="{55BDF1B0-6645-4BA5-9C81-FFEF9FEBCE9E}"/>
  <tableColumns count="10">
    <tableColumn id="1" xr3:uid="{292D79C2-5BB6-4656-8313-266C1F3AF365}" name="NO" dataDxfId="72" totalsRowDxfId="71"/>
    <tableColumn id="2" xr3:uid="{1F8CC06A-6ABB-4F4F-8166-40BDC4A7D1DC}" name="CEDULA " dataDxfId="70" totalsRowDxfId="69"/>
    <tableColumn id="3" xr3:uid="{48A4555D-2762-4834-A6E6-3F9CCA78A603}" name="NOMBRE " totalsRowLabel="TOTALES" dataDxfId="68" totalsRowDxfId="67" dataCellStyle="Normal 2"/>
    <tableColumn id="4" xr3:uid="{7D38687E-E7E9-46A1-AE25-6E0A08AACEB5}" name="CARGO" dataDxfId="66" totalsRowDxfId="65" dataCellStyle="Normal 2"/>
    <tableColumn id="5" xr3:uid="{EDD34B06-4256-4AE4-8D07-03BA32EB35D4}" name="Agencia" dataDxfId="64" totalsRowDxfId="63" dataCellStyle="Normal 2"/>
    <tableColumn id="6" xr3:uid="{934F5B44-5352-4390-819B-0FD0D1865F23}" name="SUELDO" totalsRowFunction="sum" dataDxfId="62" totalsRowDxfId="61" dataCellStyle="Moneda"/>
    <tableColumn id="7" xr3:uid="{7A4ED2F1-6B4A-4ED6-8F3F-4163740B896F}" name="BONO BOLETOS" totalsRowFunction="sum" dataDxfId="60" totalsRowDxfId="59" dataCellStyle="Millares"/>
    <tableColumn id="9" xr3:uid="{40AB5507-BAFF-443F-B14F-AC7DDD76303D}" name="COM. POR CARGO" totalsRowFunction="sum" dataDxfId="58" totalsRowDxfId="57" dataCellStyle="Moneda"/>
    <tableColumn id="8" xr3:uid="{B9E49F13-4DCB-4553-99D2-1A96EE767C72}" name="BONO CUMP" totalsRowFunction="sum" dataDxfId="56" totalsRowDxfId="55" dataCellStyle="Moneda"/>
    <tableColumn id="11" xr3:uid="{AF5721FA-55C7-4FF6-BD02-6E1D95104E97}" name="US$,," totalsRowFunction="sum" dataDxfId="54" totalsRowDxfId="53" dataCellStyle="Millares">
      <calculatedColumnFormula>+Tabla335[[#This Row],[BONO BOLETOS]]+Tabla335[[#This Row],[COM. POR CARGO]]+Tabla335[[#This Row],[BONO CUMP]]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0310D9-66BF-4A08-92A9-C2B1222674C9}" name="Tabla33" displayName="Tabla33" ref="B7:L59" totalsRowCount="1" dataDxfId="51" tableBorderDxfId="50" dataCellStyle="Millares">
  <autoFilter ref="B7:L58" xr:uid="{55BDF1B0-6645-4BA5-9C81-FFEF9FEBCE9E}"/>
  <tableColumns count="11">
    <tableColumn id="1" xr3:uid="{46426979-385D-48C5-8319-EF15026B011E}" name="NO" dataDxfId="49" totalsRowDxfId="48"/>
    <tableColumn id="2" xr3:uid="{67B6110E-56DF-48D1-94B1-F220CB15809D}" name="CEDULA " dataDxfId="47" totalsRowDxfId="46"/>
    <tableColumn id="3" xr3:uid="{90287A23-81F0-45B9-B805-73F4F60B7B0D}" name="NOMBRE " totalsRowLabel="TOTALES" dataDxfId="45" totalsRowDxfId="44" dataCellStyle="Normal 2"/>
    <tableColumn id="4" xr3:uid="{70A4EE71-A411-4557-BBDB-E11B9E3E82BC}" name="CARGO" dataDxfId="43" totalsRowDxfId="42" dataCellStyle="Normal 2"/>
    <tableColumn id="5" xr3:uid="{25565A30-0C55-445B-9B46-A5CA6958BCE1}" name="Agencia" dataDxfId="41" totalsRowDxfId="40" dataCellStyle="Normal 2"/>
    <tableColumn id="6" xr3:uid="{A96C3023-3E00-4C69-A918-C17092A75EA7}" name="SUELDO" totalsRowFunction="sum" dataDxfId="39" totalsRowDxfId="38" dataCellStyle="Moneda"/>
    <tableColumn id="7" xr3:uid="{F42B2B08-EFE8-41CD-AFC8-8DCAEE74208D}" name="Cantidad" dataDxfId="37" totalsRowDxfId="36" dataCellStyle="Millares"/>
    <tableColumn id="8" xr3:uid="{44938BF6-6101-49FC-86CA-ACF2312E14C6}" name="Cantidad2" dataDxfId="35" totalsRowDxfId="34" dataCellStyle="Millares"/>
    <tableColumn id="9" xr3:uid="{F0275155-321B-4457-A738-886F4012922D}" name="US$" totalsRowFunction="sum" dataDxfId="33" totalsRowDxfId="32" dataCellStyle="Millares">
      <calculatedColumnFormula>+Tabla33[[#This Row],[Cantidad]]*$J$6</calculatedColumnFormula>
    </tableColumn>
    <tableColumn id="10" xr3:uid="{8E9E90FC-D66B-4398-AB29-F328C8E0E652}" name="US$," totalsRowFunction="sum" dataDxfId="31" totalsRowDxfId="30" dataCellStyle="Millares">
      <calculatedColumnFormula>+Tabla33[[#This Row],[Cantidad2]]*$K$6</calculatedColumnFormula>
    </tableColumn>
    <tableColumn id="11" xr3:uid="{3C120CE9-B680-43F6-8DD3-76BE841009B3}" name="US$,," totalsRowFunction="sum" dataDxfId="29" totalsRowDxfId="28" dataCellStyle="Millares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EC0486-806B-4399-BB86-90946FAF1954}" name="Tabla3" displayName="Tabla3" ref="B7:L59" totalsRowCount="1" headerRowDxfId="26" dataDxfId="25" totalsRowDxfId="23" tableBorderDxfId="24" dataCellStyle="Millares">
  <autoFilter ref="B7:L58" xr:uid="{55BDF1B0-6645-4BA5-9C81-FFEF9FEBCE9E}"/>
  <tableColumns count="11">
    <tableColumn id="1" xr3:uid="{FE61A586-0877-4976-98A8-D6ED9F90319A}" name="NO" dataDxfId="22" totalsRowDxfId="21"/>
    <tableColumn id="2" xr3:uid="{44F1E24E-104F-4344-A8BD-C7C0CBFFC443}" name="CEDULA " dataDxfId="20" totalsRowDxfId="19"/>
    <tableColumn id="3" xr3:uid="{7AA83633-AB0E-48AE-8A98-A78A5DAA966B}" name="NOMBRE " totalsRowLabel="TOTALES" dataDxfId="18" totalsRowDxfId="17" dataCellStyle="Normal 2"/>
    <tableColumn id="4" xr3:uid="{A696FD92-A93D-47F7-85CC-4B0A52369270}" name="CARGO" dataDxfId="16" totalsRowDxfId="15" dataCellStyle="Normal 2"/>
    <tableColumn id="5" xr3:uid="{70EA5AD4-FA59-4077-B175-EDAEBD5E7ECB}" name="Agencia" dataDxfId="14" totalsRowDxfId="13" dataCellStyle="Normal 2"/>
    <tableColumn id="6" xr3:uid="{34865651-BB6A-42C6-B6BE-EDC3E1E93644}" name="SUELDO" totalsRowFunction="sum" dataDxfId="12" totalsRowDxfId="11" dataCellStyle="Moneda"/>
    <tableColumn id="7" xr3:uid="{030C3D11-FC45-4459-9F4F-12BC9646E330}" name="Cantidad" totalsRowFunction="sum" dataDxfId="10" totalsRowDxfId="9" dataCellStyle="Millares">
      <calculatedColumnFormula>+VLOOKUP(Tabla3[[#This Row],[CEDULA ]],'Conversión-HE'!$C$20:$I$70,6,0)</calculatedColumnFormula>
    </tableColumn>
    <tableColumn id="8" xr3:uid="{B7B0E813-57A4-4479-B28F-C2B4344B9E0B}" name="Cantidad2" totalsRowFunction="sum" dataDxfId="8" totalsRowDxfId="7" dataCellStyle="Millares"/>
    <tableColumn id="9" xr3:uid="{6FA44A89-8476-4D1E-B0A2-A496D2566576}" name="US$" totalsRowFunction="sum" dataDxfId="6" totalsRowDxfId="5" dataCellStyle="Millares">
      <calculatedColumnFormula>((G8/240)*1.5)*H8</calculatedColumnFormula>
    </tableColumn>
    <tableColumn id="10" xr3:uid="{3DEC0C62-C6DF-4A4E-A272-9C091B3F89C1}" name="US$," totalsRowFunction="sum" dataDxfId="4" totalsRowDxfId="3" dataCellStyle="Millares">
      <calculatedColumnFormula>+((G8/240)*2)*I8</calculatedColumnFormula>
    </tableColumn>
    <tableColumn id="11" xr3:uid="{8310D586-BB60-4835-AE70-1ECBF4E97AFB}" name="US$,," totalsRowFunction="sum" dataDxfId="2" totalsRowDxfId="1" dataCellStyle="Millares">
      <calculatedColumnFormula>+Tabla3[[#This Row],[US$]]+Tabla3[[#This Row],[US$,]]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3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7FA4-F656-4013-B4B7-BE63AC53DBFD}">
  <sheetPr codeName="Hoja1">
    <tabColor rgb="FF345525"/>
    <pageSetUpPr fitToPage="1"/>
  </sheetPr>
  <dimension ref="A1:BF113"/>
  <sheetViews>
    <sheetView showGridLines="0" tabSelected="1" zoomScale="70" zoomScaleNormal="70" zoomScaleSheetLayoutView="25" workbookViewId="0">
      <pane xSplit="9" ySplit="7" topLeftCell="J8" activePane="bottomRight" state="frozen"/>
      <selection activeCell="B1" sqref="B1"/>
      <selection pane="topRight" activeCell="J1" sqref="J1"/>
      <selection pane="bottomLeft" activeCell="B8" sqref="B8"/>
      <selection pane="bottomRight" activeCell="J6" sqref="J6:J7"/>
    </sheetView>
  </sheetViews>
  <sheetFormatPr baseColWidth="10" defaultColWidth="9.109375" defaultRowHeight="14.4"/>
  <cols>
    <col min="1" max="1" width="1.77734375" customWidth="1"/>
    <col min="2" max="2" width="3.6640625" customWidth="1"/>
    <col min="3" max="3" width="13.33203125" customWidth="1"/>
    <col min="4" max="4" width="30.88671875" style="748" customWidth="1"/>
    <col min="5" max="5" width="16.77734375" style="685" customWidth="1"/>
    <col min="6" max="6" width="29.88671875" style="677" customWidth="1"/>
    <col min="7" max="7" width="10.44140625" customWidth="1"/>
    <col min="8" max="8" width="11.88671875" style="191" customWidth="1"/>
    <col min="9" max="9" width="22.77734375" customWidth="1"/>
    <col min="10" max="10" width="14.5546875" customWidth="1"/>
    <col min="11" max="11" width="11.88671875" customWidth="1"/>
    <col min="12" max="12" width="12.5546875" customWidth="1"/>
    <col min="13" max="13" width="14.5546875" style="18" customWidth="1"/>
    <col min="14" max="14" width="12.109375" customWidth="1"/>
    <col min="15" max="15" width="14.88671875" customWidth="1"/>
    <col min="16" max="16" width="14.44140625" customWidth="1"/>
    <col min="17" max="17" width="10.109375" customWidth="1"/>
    <col min="18" max="18" width="12.77734375" customWidth="1"/>
    <col min="19" max="19" width="15.77734375" customWidth="1"/>
    <col min="20" max="20" width="17.88671875" customWidth="1"/>
    <col min="21" max="21" width="12.88671875" style="17" customWidth="1"/>
    <col min="22" max="22" width="12.88671875" hidden="1" customWidth="1"/>
    <col min="23" max="23" width="11.77734375" customWidth="1"/>
    <col min="24" max="24" width="11.21875" customWidth="1"/>
    <col min="25" max="25" width="15.5546875" customWidth="1"/>
    <col min="26" max="26" width="19.6640625" customWidth="1"/>
    <col min="27" max="28" width="12.88671875" customWidth="1"/>
    <col min="29" max="29" width="17.33203125" customWidth="1"/>
    <col min="30" max="30" width="13.77734375" customWidth="1"/>
    <col min="31" max="31" width="11.6640625" customWidth="1"/>
    <col min="32" max="32" width="10.77734375" customWidth="1"/>
    <col min="33" max="33" width="8.6640625" customWidth="1"/>
    <col min="34" max="34" width="11.5546875" customWidth="1"/>
    <col min="35" max="35" width="15.88671875" customWidth="1"/>
    <col min="36" max="36" width="16.6640625" style="155" customWidth="1"/>
    <col min="37" max="37" width="20.6640625" customWidth="1"/>
    <col min="38" max="38" width="2.5546875" style="155" customWidth="1"/>
    <col min="39" max="39" width="11.44140625" customWidth="1"/>
    <col min="40" max="40" width="4.44140625" style="18" bestFit="1" customWidth="1"/>
    <col min="41" max="41" width="45" style="18" bestFit="1" customWidth="1"/>
    <col min="42" max="42" width="19.44140625" style="377" customWidth="1"/>
    <col min="43" max="44" width="13.6640625" style="18" customWidth="1"/>
    <col min="45" max="45" width="21.88671875" style="18" customWidth="1"/>
    <col min="46" max="46" width="14.6640625" style="18" customWidth="1"/>
    <col min="47" max="47" width="13" style="18" customWidth="1"/>
    <col min="48" max="48" width="14.21875" style="18" hidden="1" customWidth="1"/>
    <col min="49" max="49" width="17.109375" style="18" customWidth="1"/>
    <col min="50" max="50" width="13.33203125" style="18" bestFit="1" customWidth="1"/>
    <col min="51" max="51" width="16.88671875" style="18" bestFit="1" customWidth="1"/>
    <col min="52" max="52" width="16.5546875" style="18" bestFit="1" customWidth="1"/>
    <col min="53" max="53" width="10" style="18" bestFit="1" customWidth="1"/>
    <col min="54" max="54" width="15.5546875" style="18" customWidth="1"/>
    <col min="55" max="55" width="9.109375" customWidth="1"/>
  </cols>
  <sheetData>
    <row r="1" spans="1:55" s="166" customFormat="1" ht="6.6" customHeight="1">
      <c r="D1" s="746"/>
      <c r="E1" s="684"/>
      <c r="F1" s="676"/>
      <c r="G1" s="283"/>
      <c r="H1" s="52"/>
      <c r="J1" s="284"/>
      <c r="M1" s="15"/>
      <c r="U1" s="283"/>
      <c r="AJ1" s="167"/>
      <c r="AL1" s="167"/>
      <c r="AN1" s="15"/>
      <c r="AO1" s="15"/>
      <c r="AP1" s="371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</row>
    <row r="2" spans="1:55" s="166" customFormat="1" ht="24.75" customHeight="1">
      <c r="B2" s="840" t="s">
        <v>0</v>
      </c>
      <c r="C2" s="840"/>
      <c r="D2" s="840"/>
      <c r="E2" s="840"/>
      <c r="F2" s="840"/>
      <c r="G2" s="840"/>
      <c r="H2" s="841"/>
      <c r="I2" s="840"/>
      <c r="J2" s="840"/>
      <c r="K2" s="840"/>
      <c r="L2" s="840"/>
      <c r="M2" s="840"/>
      <c r="N2" s="840"/>
      <c r="O2" s="840"/>
      <c r="P2" s="840"/>
      <c r="Q2" s="840"/>
      <c r="R2" s="840"/>
      <c r="S2" s="840"/>
      <c r="T2" s="840"/>
      <c r="U2" s="840"/>
      <c r="V2" s="840"/>
      <c r="W2" s="840"/>
      <c r="X2" s="840"/>
      <c r="Y2" s="840"/>
      <c r="Z2" s="840"/>
      <c r="AA2" s="840"/>
      <c r="AB2" s="840"/>
      <c r="AC2" s="840"/>
      <c r="AD2" s="840"/>
      <c r="AE2" s="840"/>
      <c r="AF2" s="840"/>
      <c r="AG2" s="840"/>
      <c r="AH2" s="840"/>
      <c r="AI2" s="840"/>
      <c r="AJ2" s="840"/>
      <c r="AK2" s="840"/>
      <c r="AL2" s="248"/>
      <c r="AM2" s="248"/>
      <c r="AN2" s="842" t="s">
        <v>0</v>
      </c>
      <c r="AO2" s="842"/>
      <c r="AP2" s="842"/>
      <c r="AQ2" s="842"/>
      <c r="AR2" s="842"/>
      <c r="AS2" s="842"/>
      <c r="AT2" s="842"/>
      <c r="AU2" s="842"/>
      <c r="AV2" s="842"/>
      <c r="AW2" s="842"/>
      <c r="AX2" s="842"/>
      <c r="AY2" s="842"/>
      <c r="AZ2" s="842"/>
      <c r="BA2" s="842"/>
      <c r="BB2" s="842"/>
      <c r="BC2" s="2"/>
    </row>
    <row r="3" spans="1:55" s="166" customFormat="1" ht="26.4" customHeight="1" thickBot="1">
      <c r="A3" s="166" t="s">
        <v>196</v>
      </c>
      <c r="B3" s="839" t="s">
        <v>377</v>
      </c>
      <c r="C3" s="839"/>
      <c r="D3" s="839"/>
      <c r="E3" s="839"/>
      <c r="F3" s="839"/>
      <c r="G3" s="839"/>
      <c r="H3" s="839"/>
      <c r="I3" s="839"/>
      <c r="J3" s="839"/>
      <c r="K3" s="839"/>
      <c r="L3" s="839"/>
      <c r="M3" s="839"/>
      <c r="N3" s="839"/>
      <c r="O3" s="839"/>
      <c r="P3" s="839"/>
      <c r="Q3" s="839"/>
      <c r="R3" s="248" t="s">
        <v>472</v>
      </c>
      <c r="S3" s="248"/>
      <c r="T3" s="248"/>
      <c r="U3" s="204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838" t="s">
        <v>376</v>
      </c>
      <c r="AO3" s="838"/>
      <c r="AP3" s="838"/>
      <c r="AQ3" s="838"/>
      <c r="AR3" s="838"/>
      <c r="AS3" s="838"/>
      <c r="AT3" s="838"/>
      <c r="AU3" s="621" t="str">
        <f>+R3</f>
        <v xml:space="preserve"> MES DE OCTUBRE 2025</v>
      </c>
      <c r="AV3" s="621"/>
      <c r="AW3" s="621"/>
      <c r="AX3" s="621"/>
      <c r="AY3" s="621"/>
      <c r="AZ3" s="621"/>
      <c r="BA3" s="621"/>
      <c r="BB3" s="621"/>
      <c r="BC3" s="2"/>
    </row>
    <row r="4" spans="1:55" s="166" customFormat="1" ht="24" hidden="1" thickBot="1">
      <c r="B4" s="204"/>
      <c r="C4" s="624">
        <v>1</v>
      </c>
      <c r="D4" s="747">
        <v>2</v>
      </c>
      <c r="E4" s="694">
        <v>3</v>
      </c>
      <c r="F4" s="695">
        <v>4</v>
      </c>
      <c r="G4" s="624">
        <v>5</v>
      </c>
      <c r="H4" s="624">
        <v>6</v>
      </c>
      <c r="I4" s="624">
        <v>7</v>
      </c>
      <c r="J4" s="624">
        <v>8</v>
      </c>
      <c r="K4" s="624">
        <v>9</v>
      </c>
      <c r="L4" s="624">
        <v>10</v>
      </c>
      <c r="M4" s="624">
        <v>11</v>
      </c>
      <c r="N4" s="624">
        <v>12</v>
      </c>
      <c r="O4" s="624">
        <v>13</v>
      </c>
      <c r="P4" s="624">
        <v>14</v>
      </c>
      <c r="Q4" s="624">
        <v>15</v>
      </c>
      <c r="R4" s="624">
        <v>16</v>
      </c>
      <c r="S4" s="624">
        <v>17</v>
      </c>
      <c r="T4" s="624">
        <v>18</v>
      </c>
      <c r="U4" s="624">
        <v>19</v>
      </c>
      <c r="V4" s="624">
        <v>20</v>
      </c>
      <c r="W4" s="624">
        <v>21</v>
      </c>
      <c r="X4" s="624">
        <v>22</v>
      </c>
      <c r="Y4" s="624">
        <v>23</v>
      </c>
      <c r="Z4" s="624">
        <v>24</v>
      </c>
      <c r="AA4" s="624">
        <v>25</v>
      </c>
      <c r="AB4" s="624">
        <v>26</v>
      </c>
      <c r="AC4" s="624">
        <v>27</v>
      </c>
      <c r="AD4" s="624">
        <v>28</v>
      </c>
      <c r="AE4" s="624">
        <v>29</v>
      </c>
      <c r="AF4" s="624">
        <v>30</v>
      </c>
      <c r="AG4" s="624">
        <v>31</v>
      </c>
      <c r="AH4" s="624">
        <v>32</v>
      </c>
      <c r="AI4" s="624">
        <v>33</v>
      </c>
      <c r="AJ4" s="204"/>
      <c r="AK4" s="204"/>
      <c r="AL4" s="204"/>
      <c r="AM4" s="204"/>
      <c r="AN4" s="205"/>
      <c r="AO4" s="205"/>
      <c r="AP4" s="372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"/>
    </row>
    <row r="5" spans="1:55" ht="16.2" thickBot="1">
      <c r="G5" s="17"/>
      <c r="I5" s="286"/>
      <c r="J5" s="810" t="s">
        <v>86</v>
      </c>
      <c r="K5" s="811"/>
      <c r="L5" s="811"/>
      <c r="M5" s="811"/>
      <c r="N5" s="811"/>
      <c r="O5" s="811"/>
      <c r="P5" s="811"/>
      <c r="Q5" s="811"/>
      <c r="R5" s="811"/>
      <c r="S5" s="811"/>
      <c r="T5" s="811"/>
      <c r="U5" s="811"/>
      <c r="V5" s="811"/>
      <c r="W5" s="811"/>
      <c r="X5" s="811"/>
      <c r="Y5" s="812"/>
      <c r="Z5" s="792" t="s">
        <v>117</v>
      </c>
      <c r="AA5" s="793"/>
      <c r="AB5" s="793"/>
      <c r="AC5" s="793"/>
      <c r="AD5" s="793"/>
      <c r="AE5" s="793"/>
      <c r="AF5" s="793"/>
      <c r="AG5" s="793"/>
      <c r="AH5" s="793"/>
      <c r="AI5" s="794"/>
      <c r="AN5" s="19"/>
      <c r="AO5" s="19"/>
      <c r="AP5" s="373"/>
      <c r="AQ5" s="20"/>
      <c r="AR5" s="20"/>
      <c r="AS5" s="19"/>
      <c r="AT5" s="21"/>
      <c r="AU5" s="21"/>
      <c r="AV5" s="21"/>
      <c r="AW5" s="21"/>
      <c r="AX5" s="21"/>
      <c r="AY5" s="21"/>
      <c r="AZ5" s="21"/>
      <c r="BA5" s="19"/>
      <c r="BB5" s="19"/>
      <c r="BC5" s="2"/>
    </row>
    <row r="6" spans="1:55" ht="42.75" customHeight="1">
      <c r="B6" s="815" t="s">
        <v>1</v>
      </c>
      <c r="C6" s="817" t="s">
        <v>84</v>
      </c>
      <c r="D6" s="819" t="s">
        <v>2</v>
      </c>
      <c r="E6" s="821" t="s">
        <v>118</v>
      </c>
      <c r="F6" s="823" t="s">
        <v>103</v>
      </c>
      <c r="G6" s="849" t="s">
        <v>74</v>
      </c>
      <c r="H6" s="849" t="s">
        <v>75</v>
      </c>
      <c r="I6" s="797" t="s">
        <v>119</v>
      </c>
      <c r="J6" s="851" t="s">
        <v>486</v>
      </c>
      <c r="K6" s="797" t="s">
        <v>121</v>
      </c>
      <c r="L6" s="853" t="s">
        <v>379</v>
      </c>
      <c r="M6" s="797" t="s">
        <v>57</v>
      </c>
      <c r="N6" s="797" t="s">
        <v>255</v>
      </c>
      <c r="O6" s="799" t="s">
        <v>5</v>
      </c>
      <c r="P6" s="801" t="s">
        <v>67</v>
      </c>
      <c r="Q6" s="797" t="s">
        <v>64</v>
      </c>
      <c r="R6" s="797"/>
      <c r="S6" s="833" t="s">
        <v>192</v>
      </c>
      <c r="T6" s="803" t="s">
        <v>122</v>
      </c>
      <c r="U6" s="805" t="s">
        <v>45</v>
      </c>
      <c r="V6" s="836" t="s">
        <v>408</v>
      </c>
      <c r="W6" s="805" t="s">
        <v>44</v>
      </c>
      <c r="X6" s="805" t="s">
        <v>41</v>
      </c>
      <c r="Y6" s="807" t="s">
        <v>123</v>
      </c>
      <c r="Z6" s="16" t="s">
        <v>6</v>
      </c>
      <c r="AA6" s="795" t="s">
        <v>411</v>
      </c>
      <c r="AB6" s="651" t="s">
        <v>419</v>
      </c>
      <c r="AC6" s="795" t="s">
        <v>264</v>
      </c>
      <c r="AD6" s="843" t="s">
        <v>197</v>
      </c>
      <c r="AE6" s="843" t="s">
        <v>193</v>
      </c>
      <c r="AF6" s="845" t="s">
        <v>194</v>
      </c>
      <c r="AG6" s="797" t="s">
        <v>344</v>
      </c>
      <c r="AH6" s="797" t="s">
        <v>8</v>
      </c>
      <c r="AI6" s="847" t="s">
        <v>9</v>
      </c>
      <c r="AJ6" s="828" t="s">
        <v>10</v>
      </c>
      <c r="AK6" s="830" t="s">
        <v>11</v>
      </c>
      <c r="AL6" s="156"/>
      <c r="AN6" s="832" t="s">
        <v>1</v>
      </c>
      <c r="AO6" s="832" t="s">
        <v>2</v>
      </c>
      <c r="AP6" s="835" t="s">
        <v>226</v>
      </c>
      <c r="AQ6" s="825" t="s">
        <v>119</v>
      </c>
      <c r="AR6" s="825" t="s">
        <v>75</v>
      </c>
      <c r="AS6" s="825" t="s">
        <v>42</v>
      </c>
      <c r="AT6" s="163" t="s">
        <v>13</v>
      </c>
      <c r="AU6" s="163" t="s">
        <v>224</v>
      </c>
      <c r="AV6" s="163" t="s">
        <v>15</v>
      </c>
      <c r="AW6" s="163" t="s">
        <v>15</v>
      </c>
      <c r="AX6" s="163" t="s">
        <v>7</v>
      </c>
      <c r="AY6" s="826" t="s">
        <v>16</v>
      </c>
      <c r="AZ6" s="825" t="s">
        <v>17</v>
      </c>
      <c r="BA6" s="825"/>
      <c r="BB6" s="825"/>
      <c r="BC6" s="2"/>
    </row>
    <row r="7" spans="1:55" s="191" customFormat="1" ht="15" customHeight="1" thickBot="1">
      <c r="B7" s="816"/>
      <c r="C7" s="818"/>
      <c r="D7" s="820"/>
      <c r="E7" s="822"/>
      <c r="F7" s="824"/>
      <c r="G7" s="850"/>
      <c r="H7" s="850"/>
      <c r="I7" s="798"/>
      <c r="J7" s="852"/>
      <c r="K7" s="798"/>
      <c r="L7" s="854"/>
      <c r="M7" s="798"/>
      <c r="N7" s="798"/>
      <c r="O7" s="800"/>
      <c r="P7" s="802"/>
      <c r="Q7" s="287">
        <v>0.5</v>
      </c>
      <c r="R7" s="287">
        <v>1</v>
      </c>
      <c r="S7" s="834"/>
      <c r="T7" s="804"/>
      <c r="U7" s="806"/>
      <c r="V7" s="837"/>
      <c r="W7" s="806"/>
      <c r="X7" s="806"/>
      <c r="Y7" s="808"/>
      <c r="Z7" s="22">
        <v>9.4500000000000001E-2</v>
      </c>
      <c r="AA7" s="796"/>
      <c r="AB7" s="652"/>
      <c r="AC7" s="796"/>
      <c r="AD7" s="844"/>
      <c r="AE7" s="844"/>
      <c r="AF7" s="846"/>
      <c r="AG7" s="798"/>
      <c r="AH7" s="798"/>
      <c r="AI7" s="848"/>
      <c r="AJ7" s="829"/>
      <c r="AK7" s="831"/>
      <c r="AL7" s="156"/>
      <c r="AN7" s="832"/>
      <c r="AO7" s="832"/>
      <c r="AP7" s="835"/>
      <c r="AQ7" s="825"/>
      <c r="AR7" s="825"/>
      <c r="AS7" s="825"/>
      <c r="AT7" s="162">
        <v>12</v>
      </c>
      <c r="AU7" s="164">
        <v>8.3299999999999999E-2</v>
      </c>
      <c r="AV7" s="162" t="s">
        <v>18</v>
      </c>
      <c r="AW7" s="165">
        <v>470</v>
      </c>
      <c r="AX7" s="162">
        <v>24</v>
      </c>
      <c r="AY7" s="826"/>
      <c r="AZ7" s="164" t="s">
        <v>19</v>
      </c>
      <c r="BA7" s="164" t="s">
        <v>20</v>
      </c>
      <c r="BB7" s="164" t="s">
        <v>21</v>
      </c>
      <c r="BC7" s="190"/>
    </row>
    <row r="8" spans="1:55" s="33" customFormat="1" ht="27" customHeight="1">
      <c r="B8" s="171">
        <v>1</v>
      </c>
      <c r="C8" s="753">
        <v>925813685</v>
      </c>
      <c r="D8" s="753" t="s">
        <v>46</v>
      </c>
      <c r="E8" s="686">
        <v>44292</v>
      </c>
      <c r="F8" s="288" t="s">
        <v>105</v>
      </c>
      <c r="G8" s="23" t="s">
        <v>36</v>
      </c>
      <c r="H8" s="23" t="s">
        <v>104</v>
      </c>
      <c r="I8" s="247">
        <v>30</v>
      </c>
      <c r="J8" s="289">
        <v>817.76</v>
      </c>
      <c r="K8" s="290">
        <f>IFERROR(VLOOKUP(C8,Tabla15[[CEDULA]:[BONO VEHICULAR]],8,0),0)</f>
        <v>0</v>
      </c>
      <c r="L8" s="622">
        <v>17.78</v>
      </c>
      <c r="M8" s="291">
        <f>+VLOOKUP(C8,Tabla335[[CEDULA ]:[US$,,]],9,0)</f>
        <v>0</v>
      </c>
      <c r="N8" s="292"/>
      <c r="O8" s="292"/>
      <c r="P8" s="325">
        <f>+VLOOKUP(C8,'COMISIONES-SOCIOS'!$C$8:$L$57,10,0)</f>
        <v>0</v>
      </c>
      <c r="Q8" s="293">
        <f>+VLOOKUP(C8,Tabla3[[CEDULA ]:[US$,]],8,0)</f>
        <v>0</v>
      </c>
      <c r="R8" s="293">
        <f>+VLOOKUP($C8,Tabla3[[CEDULA ]:[US$,]],9,0)</f>
        <v>0</v>
      </c>
      <c r="S8" s="31">
        <f>SUM(K8:R8)</f>
        <v>17.78</v>
      </c>
      <c r="T8" s="28">
        <f>+J8+S8</f>
        <v>835.54</v>
      </c>
      <c r="U8" s="784">
        <f>VLOOKUP(C8,FR!$C$6:$M$55,11,0)</f>
        <v>69.600482</v>
      </c>
      <c r="V8" s="29"/>
      <c r="W8" s="30"/>
      <c r="X8" s="30"/>
      <c r="Y8" s="31">
        <f>SUM(T8:X8)</f>
        <v>905.14048200000002</v>
      </c>
      <c r="Z8" s="32">
        <f>T8*9.45%</f>
        <v>78.958529999999982</v>
      </c>
      <c r="AA8" s="32"/>
      <c r="AB8" s="32">
        <v>0</v>
      </c>
      <c r="AC8" s="281">
        <f>IFERROR(+VLOOKUP(D8,PQ!$D$35:$E$45,2,0),0)</f>
        <v>0</v>
      </c>
      <c r="AD8" s="281"/>
      <c r="AE8" s="281"/>
      <c r="AF8" s="281"/>
      <c r="AG8" s="281"/>
      <c r="AH8" s="281">
        <v>720.63</v>
      </c>
      <c r="AI8" s="365">
        <f>SUM(Z8:AH8)</f>
        <v>799.58852999999999</v>
      </c>
      <c r="AJ8" s="761">
        <f t="shared" ref="AJ8:AJ57" si="0">+Y8-AI8</f>
        <v>105.55195200000003</v>
      </c>
      <c r="AK8" s="26">
        <v>600101009364</v>
      </c>
      <c r="AL8" s="157"/>
      <c r="AN8" s="197">
        <v>1</v>
      </c>
      <c r="AO8" s="25" t="str">
        <f t="shared" ref="AO8:AP11" si="1">+D8</f>
        <v>ASITIMBAY CRIOLLO JOHN ANDERSON</v>
      </c>
      <c r="AP8" s="374">
        <f t="shared" si="1"/>
        <v>44292</v>
      </c>
      <c r="AQ8" s="27">
        <f t="shared" ref="AQ8:AQ39" si="2">+I8</f>
        <v>30</v>
      </c>
      <c r="AR8" s="23" t="str">
        <f>+H8</f>
        <v>Matriz</v>
      </c>
      <c r="AS8" s="198">
        <f t="shared" ref="AS8:AS57" si="3">T8</f>
        <v>835.54</v>
      </c>
      <c r="AT8" s="198">
        <f>+AS8/12</f>
        <v>69.62833333333333</v>
      </c>
      <c r="AU8" s="198">
        <v>0</v>
      </c>
      <c r="AV8" s="198"/>
      <c r="AW8" s="198">
        <f>($AW$7/360)*AQ8</f>
        <v>39.166666666666664</v>
      </c>
      <c r="AX8" s="198">
        <f t="shared" ref="AX8:AX57" si="4">+AS8/24</f>
        <v>34.814166666666665</v>
      </c>
      <c r="AY8" s="199">
        <f t="shared" ref="AY8:AY57" si="5">SUM(AS8:AX8)</f>
        <v>979.14916666666659</v>
      </c>
      <c r="AZ8" s="198">
        <f t="shared" ref="AZ8:AZ58" si="6">+AS8*11.15%</f>
        <v>93.162710000000004</v>
      </c>
      <c r="BA8" s="198">
        <f t="shared" ref="BA8:BA58" si="7">+AS8*1%</f>
        <v>8.3553999999999995</v>
      </c>
      <c r="BB8" s="198">
        <f t="shared" ref="BB8:BB57" si="8">SUM(AZ8:BA8)</f>
        <v>101.51811000000001</v>
      </c>
      <c r="BC8" s="200"/>
    </row>
    <row r="9" spans="1:55" ht="30.6" customHeight="1">
      <c r="B9" s="171">
        <f>+B8+1</f>
        <v>2</v>
      </c>
      <c r="C9" s="753">
        <v>944405737</v>
      </c>
      <c r="D9" s="760" t="s">
        <v>79</v>
      </c>
      <c r="E9" s="742">
        <v>45029</v>
      </c>
      <c r="F9" s="743" t="s">
        <v>106</v>
      </c>
      <c r="G9" s="23" t="s">
        <v>35</v>
      </c>
      <c r="H9" s="23" t="s">
        <v>104</v>
      </c>
      <c r="I9" s="247">
        <v>1</v>
      </c>
      <c r="J9" s="289">
        <v>15.86</v>
      </c>
      <c r="K9" s="290">
        <f>IFERROR(VLOOKUP(C9,Tabla15[[CEDULA]:[BONO VEHICULAR]],8,0),0)</f>
        <v>0</v>
      </c>
      <c r="L9" s="622">
        <v>35.020000000000003</v>
      </c>
      <c r="M9" s="291">
        <f>+VLOOKUP(C9,Tabla335[[CEDULA ]:[US$,,]],9,0)</f>
        <v>0</v>
      </c>
      <c r="N9" s="292"/>
      <c r="O9" s="292"/>
      <c r="P9" s="325">
        <f>+VLOOKUP(C9,'COMISIONES-SOCIOS'!$C$8:$L$57,10,0)</f>
        <v>0</v>
      </c>
      <c r="Q9" s="293">
        <f>+VLOOKUP(C9,Tabla3[[CEDULA ]:[US$,]],8,0)</f>
        <v>0</v>
      </c>
      <c r="R9" s="293">
        <f>+VLOOKUP($C9,Tabla3[[CEDULA ]:[US$,]],9,0)</f>
        <v>0</v>
      </c>
      <c r="S9" s="31">
        <f t="shared" ref="S9:S12" si="9">SUM(K9:R9)</f>
        <v>35.020000000000003</v>
      </c>
      <c r="T9" s="28">
        <f>+J9+S9</f>
        <v>50.88</v>
      </c>
      <c r="U9" s="784" t="str">
        <f>VLOOKUP(C9,FR!$C$6:$M$55,11,0)</f>
        <v>ACUMULA</v>
      </c>
      <c r="V9" s="29"/>
      <c r="W9" s="30"/>
      <c r="X9" s="30"/>
      <c r="Y9" s="31">
        <f>SUM(T9:X9)</f>
        <v>50.88</v>
      </c>
      <c r="Z9" s="32">
        <f>T9*9.45%</f>
        <v>4.80816</v>
      </c>
      <c r="AA9" s="32"/>
      <c r="AB9" s="32"/>
      <c r="AC9" s="281">
        <f>IFERROR(+VLOOKUP(D9,PQ!$D$35:$E$45,2,0),0)</f>
        <v>0</v>
      </c>
      <c r="AD9" s="281"/>
      <c r="AE9" s="281"/>
      <c r="AF9" s="281"/>
      <c r="AG9" s="281"/>
      <c r="AH9" s="281">
        <v>0</v>
      </c>
      <c r="AI9" s="365">
        <f>SUM(Z9:AH9)</f>
        <v>4.80816</v>
      </c>
      <c r="AJ9" s="761">
        <f t="shared" si="0"/>
        <v>46.071840000000002</v>
      </c>
      <c r="AK9" s="26">
        <v>600301314479</v>
      </c>
      <c r="AL9" s="157"/>
      <c r="AN9" s="197">
        <f>+AN8+1</f>
        <v>2</v>
      </c>
      <c r="AO9" s="25" t="str">
        <f t="shared" si="1"/>
        <v>BARAHONA ZAMBRANO DAYANA NICOLE</v>
      </c>
      <c r="AP9" s="374">
        <f t="shared" si="1"/>
        <v>45029</v>
      </c>
      <c r="AQ9" s="27">
        <f t="shared" si="2"/>
        <v>1</v>
      </c>
      <c r="AR9" s="23" t="str">
        <f>+H9</f>
        <v>Matriz</v>
      </c>
      <c r="AS9" s="198">
        <f t="shared" si="3"/>
        <v>50.88</v>
      </c>
      <c r="AT9" s="198">
        <f t="shared" ref="AT9:AT57" si="10">+AS9/12</f>
        <v>4.24</v>
      </c>
      <c r="AU9" s="198">
        <f>+AS9*AU7</f>
        <v>4.2383040000000003</v>
      </c>
      <c r="AV9" s="198"/>
      <c r="AW9" s="198">
        <f t="shared" ref="AW9:AW32" si="11">($AW$7/360)*AQ9</f>
        <v>1.3055555555555556</v>
      </c>
      <c r="AX9" s="198">
        <f t="shared" si="4"/>
        <v>2.12</v>
      </c>
      <c r="AY9" s="199">
        <f t="shared" si="5"/>
        <v>62.783859555555559</v>
      </c>
      <c r="AZ9" s="198">
        <f t="shared" si="6"/>
        <v>5.6731199999999999</v>
      </c>
      <c r="BA9" s="198">
        <f t="shared" si="7"/>
        <v>0.50880000000000003</v>
      </c>
      <c r="BB9" s="198">
        <f t="shared" si="8"/>
        <v>6.1819199999999999</v>
      </c>
      <c r="BC9" s="200"/>
    </row>
    <row r="10" spans="1:55" ht="24.6" customHeight="1">
      <c r="B10" s="171">
        <f t="shared" ref="B10:B57" si="12">+B9+1</f>
        <v>3</v>
      </c>
      <c r="C10" s="753">
        <v>604394502</v>
      </c>
      <c r="D10" s="753" t="s">
        <v>61</v>
      </c>
      <c r="E10" s="686">
        <v>44735</v>
      </c>
      <c r="F10" s="288" t="s">
        <v>349</v>
      </c>
      <c r="G10" s="23" t="s">
        <v>36</v>
      </c>
      <c r="H10" s="23" t="s">
        <v>104</v>
      </c>
      <c r="I10" s="247">
        <v>30</v>
      </c>
      <c r="J10" s="289">
        <v>613.32000000000005</v>
      </c>
      <c r="K10" s="290">
        <f>IFERROR(VLOOKUP(C10,Tabla15[[CEDULA]:[BONO VEHICULAR]],8,0),0)</f>
        <v>0</v>
      </c>
      <c r="L10" s="622">
        <v>13.33</v>
      </c>
      <c r="M10" s="291">
        <f>+VLOOKUP(C10,Tabla335[[CEDULA ]:[US$,,]],9,0)</f>
        <v>0</v>
      </c>
      <c r="N10" s="292"/>
      <c r="O10" s="292"/>
      <c r="P10" s="325">
        <f>+VLOOKUP(C10,'COMISIONES-SOCIOS'!$C$8:$L$57,10,0)</f>
        <v>0</v>
      </c>
      <c r="Q10" s="293">
        <f>+VLOOKUP(C10,Tabla3[[CEDULA ]:[US$,]],8,0)</f>
        <v>0</v>
      </c>
      <c r="R10" s="293">
        <f>+VLOOKUP($C10,Tabla3[[CEDULA ]:[US$,]],9,0)</f>
        <v>0</v>
      </c>
      <c r="S10" s="31">
        <f t="shared" si="9"/>
        <v>13.33</v>
      </c>
      <c r="T10" s="28">
        <f t="shared" ref="T10:T12" si="13">+J10+S10</f>
        <v>626.65000000000009</v>
      </c>
      <c r="U10" s="784">
        <f>VLOOKUP(C10,FR!$C$6:$M$55,11,0)</f>
        <v>52.199945000000007</v>
      </c>
      <c r="V10" s="29"/>
      <c r="W10" s="30"/>
      <c r="X10" s="30"/>
      <c r="Y10" s="31">
        <f t="shared" ref="Y10:Y57" si="14">SUM(T10:X10)</f>
        <v>678.84994500000005</v>
      </c>
      <c r="Z10" s="32">
        <f t="shared" ref="Z10:Z57" si="15">T10*9.45%</f>
        <v>59.218425000000003</v>
      </c>
      <c r="AA10" s="32"/>
      <c r="AB10" s="32"/>
      <c r="AC10" s="281">
        <f>IFERROR(+VLOOKUP(D10,PQ!$D$35:$E$45,2,0),0)</f>
        <v>0</v>
      </c>
      <c r="AD10" s="281"/>
      <c r="AE10" s="281"/>
      <c r="AF10" s="281"/>
      <c r="AG10" s="281"/>
      <c r="AH10" s="281">
        <v>0</v>
      </c>
      <c r="AI10" s="365">
        <f t="shared" ref="AI10:AI57" si="16">SUM(Z10:AH10)</f>
        <v>59.218425000000003</v>
      </c>
      <c r="AJ10" s="761">
        <f t="shared" si="0"/>
        <v>619.63152000000002</v>
      </c>
      <c r="AK10" s="26">
        <v>600101311713</v>
      </c>
      <c r="AL10" s="157"/>
      <c r="AN10" s="197">
        <f t="shared" ref="AN10:AN57" si="17">+AN9+1</f>
        <v>3</v>
      </c>
      <c r="AO10" s="25" t="str">
        <f t="shared" si="1"/>
        <v>BETUN CHAFLA JULIO CESAR</v>
      </c>
      <c r="AP10" s="374">
        <f t="shared" si="1"/>
        <v>44735</v>
      </c>
      <c r="AQ10" s="27">
        <f t="shared" si="2"/>
        <v>30</v>
      </c>
      <c r="AR10" s="23" t="str">
        <f>+H10</f>
        <v>Matriz</v>
      </c>
      <c r="AS10" s="198">
        <f t="shared" si="3"/>
        <v>626.65000000000009</v>
      </c>
      <c r="AT10" s="198">
        <f t="shared" si="10"/>
        <v>52.220833333333339</v>
      </c>
      <c r="AU10" s="198">
        <v>0</v>
      </c>
      <c r="AV10" s="198"/>
      <c r="AW10" s="198">
        <f t="shared" si="11"/>
        <v>39.166666666666664</v>
      </c>
      <c r="AX10" s="198">
        <f t="shared" si="4"/>
        <v>26.110416666666669</v>
      </c>
      <c r="AY10" s="199">
        <f t="shared" si="5"/>
        <v>744.14791666666667</v>
      </c>
      <c r="AZ10" s="198">
        <f t="shared" si="6"/>
        <v>69.871475000000018</v>
      </c>
      <c r="BA10" s="198">
        <f t="shared" si="7"/>
        <v>6.2665000000000006</v>
      </c>
      <c r="BB10" s="198">
        <f t="shared" si="8"/>
        <v>76.137975000000012</v>
      </c>
      <c r="BC10" s="200"/>
    </row>
    <row r="11" spans="1:55" ht="24.6" customHeight="1">
      <c r="B11" s="171">
        <f t="shared" si="12"/>
        <v>4</v>
      </c>
      <c r="C11" s="753">
        <v>955741970</v>
      </c>
      <c r="D11" s="753" t="s">
        <v>77</v>
      </c>
      <c r="E11" s="686">
        <v>44986</v>
      </c>
      <c r="F11" s="288" t="s">
        <v>469</v>
      </c>
      <c r="G11" s="23" t="s">
        <v>36</v>
      </c>
      <c r="H11" s="23" t="s">
        <v>104</v>
      </c>
      <c r="I11" s="247">
        <v>30</v>
      </c>
      <c r="J11" s="289">
        <v>473.88</v>
      </c>
      <c r="K11" s="290">
        <f>IFERROR(VLOOKUP(C11,Tabla15[[CEDULA]:[BONO VEHICULAR]],8,0),0)</f>
        <v>100</v>
      </c>
      <c r="L11" s="622">
        <v>10.029999999999999</v>
      </c>
      <c r="M11" s="291">
        <f>+VLOOKUP(C11,Tabla335[[CEDULA ]:[US$,,]],9,0)</f>
        <v>0</v>
      </c>
      <c r="N11" s="292"/>
      <c r="O11" s="292"/>
      <c r="P11" s="325">
        <f>+VLOOKUP(C11,'COMISIONES-SOCIOS'!$C$8:$L$57,10,0)</f>
        <v>0</v>
      </c>
      <c r="Q11" s="293">
        <f>+VLOOKUP(C11,Tabla3[[CEDULA ]:[US$,]],8,0)</f>
        <v>0</v>
      </c>
      <c r="R11" s="293">
        <f>+VLOOKUP($C11,Tabla3[[CEDULA ]:[US$,]],9,0)</f>
        <v>0</v>
      </c>
      <c r="S11" s="31">
        <f t="shared" si="9"/>
        <v>110.03</v>
      </c>
      <c r="T11" s="28">
        <f t="shared" si="13"/>
        <v>583.91</v>
      </c>
      <c r="U11" s="784">
        <f>VLOOKUP(C11,FR!$C$6:$M$55,11,0)</f>
        <v>48.639702999999997</v>
      </c>
      <c r="V11" s="29"/>
      <c r="W11" s="30"/>
      <c r="X11" s="30"/>
      <c r="Y11" s="31">
        <f t="shared" si="14"/>
        <v>632.54970299999991</v>
      </c>
      <c r="Z11" s="32">
        <f t="shared" si="15"/>
        <v>55.179494999999989</v>
      </c>
      <c r="AA11" s="32"/>
      <c r="AB11" s="32"/>
      <c r="AC11" s="281">
        <f>IFERROR(+VLOOKUP(D11,PQ!$D$35:$E$45,2,0),0)</f>
        <v>0</v>
      </c>
      <c r="AD11" s="281"/>
      <c r="AE11" s="281"/>
      <c r="AF11" s="281"/>
      <c r="AG11" s="281"/>
      <c r="AH11" s="281">
        <v>400</v>
      </c>
      <c r="AI11" s="365">
        <f t="shared" si="16"/>
        <v>455.17949499999997</v>
      </c>
      <c r="AJ11" s="761">
        <f t="shared" si="0"/>
        <v>177.37020799999993</v>
      </c>
      <c r="AK11" s="26">
        <v>600101313870</v>
      </c>
      <c r="AL11" s="157"/>
      <c r="AN11" s="197">
        <f t="shared" si="17"/>
        <v>4</v>
      </c>
      <c r="AO11" s="25" t="str">
        <f t="shared" ref="AO11:AO16" si="18">+D11</f>
        <v>CHACAGUASAY CHACAGUASAY ROBERTH CRISTHIAN</v>
      </c>
      <c r="AP11" s="374">
        <f t="shared" si="1"/>
        <v>44986</v>
      </c>
      <c r="AQ11" s="27">
        <f t="shared" si="2"/>
        <v>30</v>
      </c>
      <c r="AR11" s="23" t="str">
        <f>+H11</f>
        <v>Matriz</v>
      </c>
      <c r="AS11" s="198">
        <f t="shared" si="3"/>
        <v>583.91</v>
      </c>
      <c r="AT11" s="198">
        <f t="shared" si="10"/>
        <v>48.659166666666664</v>
      </c>
      <c r="AU11" s="198">
        <v>0</v>
      </c>
      <c r="AV11" s="198"/>
      <c r="AW11" s="198">
        <f t="shared" ref="AW11:AW18" si="19">($AW$7/360)*AQ11</f>
        <v>39.166666666666664</v>
      </c>
      <c r="AX11" s="198">
        <f t="shared" si="4"/>
        <v>24.329583333333332</v>
      </c>
      <c r="AY11" s="199">
        <f t="shared" si="5"/>
        <v>696.06541666666658</v>
      </c>
      <c r="AZ11" s="198">
        <f t="shared" si="6"/>
        <v>65.105964999999998</v>
      </c>
      <c r="BA11" s="198">
        <f t="shared" si="7"/>
        <v>5.8391000000000002</v>
      </c>
      <c r="BB11" s="198">
        <f t="shared" si="8"/>
        <v>70.945065</v>
      </c>
      <c r="BC11" s="200"/>
    </row>
    <row r="12" spans="1:55" ht="24.6" customHeight="1">
      <c r="B12" s="171">
        <f t="shared" si="12"/>
        <v>5</v>
      </c>
      <c r="C12" s="753" t="s">
        <v>481</v>
      </c>
      <c r="D12" s="753" t="s">
        <v>482</v>
      </c>
      <c r="E12" s="686">
        <v>45945</v>
      </c>
      <c r="F12" s="288" t="s">
        <v>349</v>
      </c>
      <c r="G12" s="23" t="s">
        <v>36</v>
      </c>
      <c r="H12" s="23" t="s">
        <v>104</v>
      </c>
      <c r="I12" s="247">
        <v>16</v>
      </c>
      <c r="J12" s="289">
        <v>256.52999999999997</v>
      </c>
      <c r="K12" s="290"/>
      <c r="L12" s="622"/>
      <c r="M12" s="291">
        <f>+VLOOKUP(C12,Tabla335[[CEDULA ]:[US$,,]],9,0)</f>
        <v>368.77</v>
      </c>
      <c r="N12" s="292"/>
      <c r="O12" s="292"/>
      <c r="P12" s="325">
        <f>+VLOOKUP(C12,'COMISIONES-SOCIOS'!$C$8:$L$57,10,0)</f>
        <v>0</v>
      </c>
      <c r="Q12" s="293">
        <f>+VLOOKUP(C12,Tabla3[[CEDULA ]:[US$,]],8,0)</f>
        <v>0</v>
      </c>
      <c r="R12" s="293">
        <f>+VLOOKUP($C12,Tabla3[[CEDULA ]:[US$,]],9,0)</f>
        <v>0</v>
      </c>
      <c r="S12" s="31">
        <f t="shared" si="9"/>
        <v>368.77</v>
      </c>
      <c r="T12" s="28">
        <f t="shared" si="13"/>
        <v>625.29999999999995</v>
      </c>
      <c r="U12" s="784"/>
      <c r="V12" s="29"/>
      <c r="W12" s="30"/>
      <c r="X12" s="30"/>
      <c r="Y12" s="31">
        <f t="shared" si="14"/>
        <v>625.29999999999995</v>
      </c>
      <c r="Z12" s="32">
        <f t="shared" si="15"/>
        <v>59.090849999999989</v>
      </c>
      <c r="AA12" s="32"/>
      <c r="AB12" s="32"/>
      <c r="AC12" s="281"/>
      <c r="AD12" s="281"/>
      <c r="AE12" s="281"/>
      <c r="AF12" s="281"/>
      <c r="AG12" s="281"/>
      <c r="AH12" s="281"/>
      <c r="AI12" s="365"/>
      <c r="AJ12" s="761"/>
      <c r="AK12" s="26"/>
      <c r="AL12" s="157"/>
      <c r="AN12" s="197">
        <f t="shared" si="17"/>
        <v>5</v>
      </c>
      <c r="AO12" s="25" t="str">
        <f t="shared" si="18"/>
        <v>CHACAGUASAY GUAMAN KEVIN NEHEMIAS</v>
      </c>
      <c r="AP12" s="374">
        <f t="shared" ref="AP12:AP57" si="20">+E12</f>
        <v>45945</v>
      </c>
      <c r="AQ12" s="27">
        <f t="shared" si="2"/>
        <v>16</v>
      </c>
      <c r="AR12" s="23"/>
      <c r="AS12" s="198"/>
      <c r="AT12" s="198"/>
      <c r="AU12" s="198"/>
      <c r="AV12" s="198"/>
      <c r="AW12" s="198">
        <f t="shared" si="19"/>
        <v>20.888888888888889</v>
      </c>
      <c r="AX12" s="198"/>
      <c r="AY12" s="199"/>
      <c r="AZ12" s="198"/>
      <c r="BA12" s="198"/>
      <c r="BB12" s="198"/>
      <c r="BC12" s="200"/>
    </row>
    <row r="13" spans="1:55" ht="24.6" customHeight="1">
      <c r="B13" s="171">
        <f t="shared" si="12"/>
        <v>6</v>
      </c>
      <c r="C13" s="753">
        <v>944143148</v>
      </c>
      <c r="D13" s="760" t="s">
        <v>433</v>
      </c>
      <c r="E13" s="742">
        <v>45884</v>
      </c>
      <c r="F13" s="743" t="s">
        <v>469</v>
      </c>
      <c r="G13" s="741" t="s">
        <v>36</v>
      </c>
      <c r="H13" s="741" t="s">
        <v>110</v>
      </c>
      <c r="I13" s="744">
        <v>9</v>
      </c>
      <c r="J13" s="745">
        <v>142.16</v>
      </c>
      <c r="K13" s="290">
        <f>IFERROR(VLOOKUP(C13,Tabla15[[CEDULA]:[BONO VEHICULAR]],8,0),0)</f>
        <v>29.999999999999968</v>
      </c>
      <c r="L13" s="622">
        <v>0</v>
      </c>
      <c r="M13" s="291">
        <f>+VLOOKUP(C13,Tabla335[[CEDULA ]:[US$,,]],9,0)</f>
        <v>0</v>
      </c>
      <c r="N13" s="292"/>
      <c r="O13" s="292"/>
      <c r="P13" s="325">
        <f>+VLOOKUP(C13,'COMISIONES-SOCIOS'!$C$8:$L$57,10,0)</f>
        <v>0</v>
      </c>
      <c r="Q13" s="293">
        <f>+VLOOKUP(C13,Tabla3[[CEDULA ]:[US$,]],8,0)</f>
        <v>0</v>
      </c>
      <c r="R13" s="293">
        <f>+VLOOKUP($C13,Tabla3[[CEDULA ]:[US$,]],9,0)</f>
        <v>0</v>
      </c>
      <c r="S13" s="31">
        <f t="shared" ref="S13:S57" si="21">SUM(K13:R13)</f>
        <v>29.999999999999968</v>
      </c>
      <c r="T13" s="28">
        <f t="shared" ref="T13:T57" si="22">+J13+S13</f>
        <v>172.15999999999997</v>
      </c>
      <c r="U13" s="784">
        <f>VLOOKUP(C13,FR!$C$6:$M$55,11,0)</f>
        <v>0</v>
      </c>
      <c r="V13" s="29"/>
      <c r="W13" s="30"/>
      <c r="X13" s="30"/>
      <c r="Y13" s="31">
        <f t="shared" si="14"/>
        <v>172.15999999999997</v>
      </c>
      <c r="Z13" s="32">
        <f t="shared" si="15"/>
        <v>16.269119999999994</v>
      </c>
      <c r="AA13" s="32"/>
      <c r="AB13" s="32"/>
      <c r="AC13" s="281"/>
      <c r="AD13" s="281"/>
      <c r="AE13" s="281"/>
      <c r="AF13" s="281"/>
      <c r="AG13" s="281"/>
      <c r="AH13" s="281">
        <v>0</v>
      </c>
      <c r="AI13" s="365">
        <f t="shared" si="16"/>
        <v>16.269119999999994</v>
      </c>
      <c r="AJ13" s="761">
        <f t="shared" si="0"/>
        <v>155.89087999999998</v>
      </c>
      <c r="AK13" s="26">
        <v>600301320262</v>
      </c>
      <c r="AL13" s="157"/>
      <c r="AN13" s="197">
        <f t="shared" si="17"/>
        <v>6</v>
      </c>
      <c r="AO13" s="25" t="str">
        <f t="shared" si="18"/>
        <v>CHIMBOLEMA YUNGAN MARIO EFRAIN</v>
      </c>
      <c r="AP13" s="374">
        <f t="shared" si="20"/>
        <v>45884</v>
      </c>
      <c r="AQ13" s="27">
        <f t="shared" si="2"/>
        <v>9</v>
      </c>
      <c r="AR13" s="23" t="str">
        <f>+H13</f>
        <v>Durán</v>
      </c>
      <c r="AS13" s="198">
        <f t="shared" ref="AS13" si="23">T13</f>
        <v>172.15999999999997</v>
      </c>
      <c r="AT13" s="198">
        <f t="shared" ref="AT13" si="24">+AS13/12</f>
        <v>14.346666666666664</v>
      </c>
      <c r="AU13" s="198">
        <v>0</v>
      </c>
      <c r="AV13" s="198"/>
      <c r="AW13" s="198">
        <f t="shared" si="19"/>
        <v>11.75</v>
      </c>
      <c r="AX13" s="198">
        <f t="shared" ref="AX13" si="25">+AS13/24</f>
        <v>7.173333333333332</v>
      </c>
      <c r="AY13" s="199">
        <f t="shared" ref="AY13" si="26">SUM(AS13:AX13)</f>
        <v>205.42999999999995</v>
      </c>
      <c r="AZ13" s="198">
        <f t="shared" ref="AZ13" si="27">+AS13*11.15%</f>
        <v>19.195839999999997</v>
      </c>
      <c r="BA13" s="198">
        <f t="shared" ref="BA13" si="28">+AS13*1%</f>
        <v>1.7215999999999998</v>
      </c>
      <c r="BB13" s="198">
        <f t="shared" ref="BB13" si="29">SUM(AZ13:BA13)</f>
        <v>20.917439999999996</v>
      </c>
      <c r="BC13" s="200"/>
    </row>
    <row r="14" spans="1:55" ht="24.6" customHeight="1">
      <c r="B14" s="171">
        <f t="shared" si="12"/>
        <v>7</v>
      </c>
      <c r="C14" s="753">
        <v>955325238</v>
      </c>
      <c r="D14" s="753" t="s">
        <v>483</v>
      </c>
      <c r="E14" s="686">
        <v>45945</v>
      </c>
      <c r="F14" s="288" t="s">
        <v>487</v>
      </c>
      <c r="G14" s="23" t="s">
        <v>35</v>
      </c>
      <c r="H14" s="23" t="s">
        <v>104</v>
      </c>
      <c r="I14" s="247">
        <v>16</v>
      </c>
      <c r="J14" s="289">
        <v>256.52999999999997</v>
      </c>
      <c r="K14" s="290"/>
      <c r="L14" s="622"/>
      <c r="M14" s="291">
        <f>+VLOOKUP(C14,Tabla335[[CEDULA ]:[US$,,]],9,0)</f>
        <v>0</v>
      </c>
      <c r="N14" s="292"/>
      <c r="O14" s="292"/>
      <c r="P14" s="325">
        <f>+VLOOKUP(C14,'COMISIONES-SOCIOS'!$C$8:$L$57,10,0)</f>
        <v>0</v>
      </c>
      <c r="Q14" s="293">
        <f>+VLOOKUP(C14,Tabla3[[CEDULA ]:[US$,]],8,0)</f>
        <v>0</v>
      </c>
      <c r="R14" s="293">
        <f>+VLOOKUP($C14,Tabla3[[CEDULA ]:[US$,]],9,0)</f>
        <v>0</v>
      </c>
      <c r="S14" s="31">
        <f t="shared" si="21"/>
        <v>0</v>
      </c>
      <c r="T14" s="28">
        <f t="shared" si="22"/>
        <v>256.52999999999997</v>
      </c>
      <c r="U14" s="784"/>
      <c r="V14" s="29"/>
      <c r="W14" s="30"/>
      <c r="X14" s="30"/>
      <c r="Y14" s="31">
        <f t="shared" si="14"/>
        <v>256.52999999999997</v>
      </c>
      <c r="Z14" s="32">
        <f t="shared" si="15"/>
        <v>24.242084999999992</v>
      </c>
      <c r="AA14" s="32"/>
      <c r="AB14" s="32"/>
      <c r="AC14" s="281"/>
      <c r="AD14" s="281"/>
      <c r="AE14" s="281"/>
      <c r="AF14" s="281"/>
      <c r="AG14" s="281"/>
      <c r="AH14" s="281">
        <v>0</v>
      </c>
      <c r="AI14" s="365"/>
      <c r="AJ14" s="761"/>
      <c r="AK14" s="26"/>
      <c r="AL14" s="157"/>
      <c r="AN14" s="197">
        <f t="shared" si="17"/>
        <v>7</v>
      </c>
      <c r="AO14" s="25" t="str">
        <f t="shared" si="18"/>
        <v>CHOCA CEPEDA INES VIVIANA</v>
      </c>
      <c r="AP14" s="374">
        <f t="shared" si="20"/>
        <v>45945</v>
      </c>
      <c r="AQ14" s="27">
        <f t="shared" si="2"/>
        <v>16</v>
      </c>
      <c r="AR14" s="23"/>
      <c r="AS14" s="198"/>
      <c r="AT14" s="198"/>
      <c r="AU14" s="198"/>
      <c r="AV14" s="198"/>
      <c r="AW14" s="198">
        <f t="shared" si="19"/>
        <v>20.888888888888889</v>
      </c>
      <c r="AX14" s="198"/>
      <c r="AY14" s="199"/>
      <c r="AZ14" s="198"/>
      <c r="BA14" s="198"/>
      <c r="BB14" s="198"/>
      <c r="BC14" s="200"/>
    </row>
    <row r="15" spans="1:55" ht="26.4" customHeight="1">
      <c r="B15" s="171">
        <f t="shared" si="12"/>
        <v>8</v>
      </c>
      <c r="C15" s="753">
        <v>914163654</v>
      </c>
      <c r="D15" s="753" t="s">
        <v>49</v>
      </c>
      <c r="E15" s="686">
        <v>44470</v>
      </c>
      <c r="F15" s="288" t="s">
        <v>109</v>
      </c>
      <c r="G15" s="23" t="s">
        <v>36</v>
      </c>
      <c r="H15" s="23" t="s">
        <v>104</v>
      </c>
      <c r="I15" s="247">
        <v>15</v>
      </c>
      <c r="J15" s="289">
        <v>1200</v>
      </c>
      <c r="K15" s="290">
        <f>IFERROR(VLOOKUP(C15,Tabla15[[CEDULA]:[BONO VEHICULAR]],8,0),0)</f>
        <v>0</v>
      </c>
      <c r="L15" s="622">
        <v>0</v>
      </c>
      <c r="M15" s="291">
        <f>+VLOOKUP(C15,Tabla335[[CEDULA ]:[US$,,]],9,0)</f>
        <v>0</v>
      </c>
      <c r="N15" s="292"/>
      <c r="O15" s="292"/>
      <c r="P15" s="325">
        <f>+VLOOKUP(C15,'COMISIONES-SOCIOS'!$C$8:$L$57,10,0)</f>
        <v>0</v>
      </c>
      <c r="Q15" s="293">
        <f>+VLOOKUP(C15,Tabla3[[CEDULA ]:[US$,]],8,0)</f>
        <v>0</v>
      </c>
      <c r="R15" s="293">
        <f>+VLOOKUP($C15,Tabla3[[CEDULA ]:[US$,]],9,0)</f>
        <v>0</v>
      </c>
      <c r="S15" s="31">
        <f t="shared" si="21"/>
        <v>0</v>
      </c>
      <c r="T15" s="28">
        <f t="shared" si="22"/>
        <v>1200</v>
      </c>
      <c r="U15" s="784">
        <f>VLOOKUP(C15,FR!$C$6:$M$55,11,0)</f>
        <v>99.96</v>
      </c>
      <c r="V15" s="29"/>
      <c r="W15" s="30"/>
      <c r="X15" s="30"/>
      <c r="Y15" s="31">
        <f t="shared" si="14"/>
        <v>1299.96</v>
      </c>
      <c r="Z15" s="32">
        <f t="shared" si="15"/>
        <v>113.39999999999998</v>
      </c>
      <c r="AA15" s="32"/>
      <c r="AB15" s="32">
        <v>0</v>
      </c>
      <c r="AC15" s="281">
        <f>IFERROR(+VLOOKUP(D15,PQ!$D$35:$E$45,2,0),0)</f>
        <v>0</v>
      </c>
      <c r="AD15" s="281">
        <v>624.02404799999999</v>
      </c>
      <c r="AE15" s="281"/>
      <c r="AF15" s="281"/>
      <c r="AG15" s="281"/>
      <c r="AH15" s="281">
        <v>0</v>
      </c>
      <c r="AI15" s="365">
        <f t="shared" si="16"/>
        <v>737.42404799999997</v>
      </c>
      <c r="AJ15" s="761">
        <f t="shared" si="0"/>
        <v>562.53595200000007</v>
      </c>
      <c r="AK15" s="26">
        <v>600101010004</v>
      </c>
      <c r="AL15" s="157"/>
      <c r="AN15" s="197">
        <f t="shared" si="17"/>
        <v>8</v>
      </c>
      <c r="AO15" s="25" t="str">
        <f t="shared" si="18"/>
        <v>COCA BENITEZ JORGE MANUEL</v>
      </c>
      <c r="AP15" s="374">
        <f t="shared" si="20"/>
        <v>44470</v>
      </c>
      <c r="AQ15" s="27">
        <f t="shared" si="2"/>
        <v>15</v>
      </c>
      <c r="AR15" s="23" t="str">
        <f>+H15</f>
        <v>Matriz</v>
      </c>
      <c r="AS15" s="198">
        <f t="shared" si="3"/>
        <v>1200</v>
      </c>
      <c r="AT15" s="198">
        <f t="shared" si="10"/>
        <v>100</v>
      </c>
      <c r="AU15" s="198">
        <v>0</v>
      </c>
      <c r="AV15" s="644"/>
      <c r="AW15" s="198">
        <f t="shared" si="19"/>
        <v>19.583333333333332</v>
      </c>
      <c r="AX15" s="198">
        <f t="shared" si="4"/>
        <v>50</v>
      </c>
      <c r="AY15" s="199">
        <f t="shared" si="5"/>
        <v>1369.5833333333333</v>
      </c>
      <c r="AZ15" s="198">
        <f t="shared" si="6"/>
        <v>133.80000000000001</v>
      </c>
      <c r="BA15" s="198">
        <f t="shared" si="7"/>
        <v>12</v>
      </c>
      <c r="BB15" s="198">
        <f t="shared" si="8"/>
        <v>145.80000000000001</v>
      </c>
      <c r="BC15" s="200"/>
    </row>
    <row r="16" spans="1:55" ht="26.4" customHeight="1">
      <c r="B16" s="171">
        <f t="shared" si="12"/>
        <v>9</v>
      </c>
      <c r="C16" s="753">
        <v>956668305</v>
      </c>
      <c r="D16" s="753" t="s">
        <v>484</v>
      </c>
      <c r="E16" s="686">
        <v>45945</v>
      </c>
      <c r="F16" s="288" t="s">
        <v>469</v>
      </c>
      <c r="G16" s="23" t="s">
        <v>35</v>
      </c>
      <c r="H16" s="23" t="s">
        <v>104</v>
      </c>
      <c r="I16" s="247">
        <v>16</v>
      </c>
      <c r="J16" s="289">
        <v>252.74</v>
      </c>
      <c r="K16" s="290"/>
      <c r="L16" s="622"/>
      <c r="M16" s="291">
        <f>+VLOOKUP(C16,Tabla335[[CEDULA ]:[US$,,]],9,0)</f>
        <v>0</v>
      </c>
      <c r="N16" s="292"/>
      <c r="O16" s="292"/>
      <c r="P16" s="325">
        <f>+VLOOKUP(C16,'COMISIONES-SOCIOS'!$C$8:$L$57,10,0)</f>
        <v>0</v>
      </c>
      <c r="Q16" s="293">
        <f>+VLOOKUP(C16,Tabla3[[CEDULA ]:[US$,]],8,0)</f>
        <v>0</v>
      </c>
      <c r="R16" s="293">
        <f>+VLOOKUP($C16,Tabla3[[CEDULA ]:[US$,]],9,0)</f>
        <v>0</v>
      </c>
      <c r="S16" s="31">
        <f t="shared" si="21"/>
        <v>0</v>
      </c>
      <c r="T16" s="28">
        <f t="shared" si="22"/>
        <v>252.74</v>
      </c>
      <c r="U16" s="784"/>
      <c r="V16" s="29"/>
      <c r="W16" s="30"/>
      <c r="X16" s="30"/>
      <c r="Y16" s="31">
        <f t="shared" si="14"/>
        <v>252.74</v>
      </c>
      <c r="Z16" s="32">
        <f t="shared" si="15"/>
        <v>23.883929999999996</v>
      </c>
      <c r="AA16" s="32"/>
      <c r="AB16" s="32"/>
      <c r="AC16" s="281"/>
      <c r="AD16" s="281"/>
      <c r="AE16" s="281"/>
      <c r="AF16" s="281"/>
      <c r="AG16" s="281"/>
      <c r="AH16" s="281">
        <v>0</v>
      </c>
      <c r="AI16" s="365"/>
      <c r="AJ16" s="761"/>
      <c r="AK16" s="26"/>
      <c r="AL16" s="157"/>
      <c r="AN16" s="197">
        <f t="shared" si="17"/>
        <v>9</v>
      </c>
      <c r="AO16" s="25" t="str">
        <f t="shared" si="18"/>
        <v>CORO YUQUILEMA RUTH NOEMI</v>
      </c>
      <c r="AP16" s="374">
        <f t="shared" si="20"/>
        <v>45945</v>
      </c>
      <c r="AQ16" s="27">
        <f t="shared" si="2"/>
        <v>16</v>
      </c>
      <c r="AR16" s="23"/>
      <c r="AS16" s="198"/>
      <c r="AT16" s="198"/>
      <c r="AU16" s="198"/>
      <c r="AV16" s="644"/>
      <c r="AW16" s="198">
        <f t="shared" si="19"/>
        <v>20.888888888888889</v>
      </c>
      <c r="AX16" s="198"/>
      <c r="AY16" s="199"/>
      <c r="AZ16" s="198"/>
      <c r="BA16" s="198"/>
      <c r="BB16" s="198"/>
      <c r="BC16" s="200"/>
    </row>
    <row r="17" spans="1:55" ht="25.8" customHeight="1">
      <c r="A17" s="33"/>
      <c r="B17" s="171">
        <f t="shared" si="12"/>
        <v>10</v>
      </c>
      <c r="C17" s="753" t="s">
        <v>485</v>
      </c>
      <c r="D17" s="753" t="s">
        <v>426</v>
      </c>
      <c r="E17" s="686">
        <v>45823</v>
      </c>
      <c r="F17" s="288" t="s">
        <v>349</v>
      </c>
      <c r="G17" s="23" t="s">
        <v>36</v>
      </c>
      <c r="H17" s="23" t="s">
        <v>107</v>
      </c>
      <c r="I17" s="247">
        <v>30</v>
      </c>
      <c r="J17" s="289">
        <v>626.65</v>
      </c>
      <c r="K17" s="290">
        <f>IFERROR(VLOOKUP(C17,Tabla15[[CEDULA]:[BONO VEHICULAR]],8,0),0)</f>
        <v>0</v>
      </c>
      <c r="L17" s="622">
        <v>0</v>
      </c>
      <c r="M17" s="291">
        <f>+VLOOKUP(C17,Tabla335[[CEDULA ]:[US$,,]],9,0)</f>
        <v>0</v>
      </c>
      <c r="N17" s="292"/>
      <c r="O17" s="292"/>
      <c r="P17" s="325">
        <f>+VLOOKUP(C17,'COMISIONES-SOCIOS'!$C$8:$L$57,10,0)</f>
        <v>0</v>
      </c>
      <c r="Q17" s="293">
        <f>+VLOOKUP(C17,Tabla3[[CEDULA ]:[US$,]],8,0)</f>
        <v>0</v>
      </c>
      <c r="R17" s="293">
        <f>+VLOOKUP($C17,Tabla3[[CEDULA ]:[US$,]],9,0)</f>
        <v>0</v>
      </c>
      <c r="S17" s="31">
        <f t="shared" si="21"/>
        <v>0</v>
      </c>
      <c r="T17" s="28">
        <f t="shared" si="22"/>
        <v>626.65</v>
      </c>
      <c r="U17" s="784">
        <f>VLOOKUP(C17,FR!$C$6:$M$55,11,0)</f>
        <v>0</v>
      </c>
      <c r="V17" s="29"/>
      <c r="W17" s="30"/>
      <c r="X17" s="30"/>
      <c r="Y17" s="31">
        <f t="shared" si="14"/>
        <v>626.65</v>
      </c>
      <c r="Z17" s="32">
        <f t="shared" si="15"/>
        <v>59.218424999999989</v>
      </c>
      <c r="AA17" s="32"/>
      <c r="AB17" s="32"/>
      <c r="AC17" s="281">
        <f>IFERROR(+VLOOKUP(D17,PQ!$D$35:$E$45,2,0),0)</f>
        <v>261.63</v>
      </c>
      <c r="AD17" s="281"/>
      <c r="AE17" s="281"/>
      <c r="AF17" s="281"/>
      <c r="AG17" s="281"/>
      <c r="AH17" s="281">
        <v>150</v>
      </c>
      <c r="AI17" s="365">
        <f t="shared" si="16"/>
        <v>470.84842499999996</v>
      </c>
      <c r="AJ17" s="761">
        <f t="shared" si="0"/>
        <v>155.80157500000001</v>
      </c>
      <c r="AK17" s="26">
        <v>600201320019</v>
      </c>
      <c r="AL17" s="157"/>
      <c r="AN17" s="197">
        <f t="shared" si="17"/>
        <v>10</v>
      </c>
      <c r="AO17" s="25" t="str">
        <f t="shared" ref="AO17:AO58" si="30">+D17</f>
        <v>DEFAS CHICAIZA JOEL ALBERTO</v>
      </c>
      <c r="AP17" s="374">
        <f t="shared" si="20"/>
        <v>45823</v>
      </c>
      <c r="AQ17" s="27">
        <f t="shared" si="2"/>
        <v>30</v>
      </c>
      <c r="AR17" s="23" t="str">
        <f>+H17</f>
        <v>Norte</v>
      </c>
      <c r="AS17" s="198">
        <f t="shared" ref="AS17" si="31">T17</f>
        <v>626.65</v>
      </c>
      <c r="AT17" s="198">
        <f t="shared" ref="AT17" si="32">+AS17/12</f>
        <v>52.220833333333331</v>
      </c>
      <c r="AU17" s="198">
        <v>0</v>
      </c>
      <c r="AV17" s="644"/>
      <c r="AW17" s="198">
        <f t="shared" si="19"/>
        <v>39.166666666666664</v>
      </c>
      <c r="AX17" s="198">
        <f t="shared" ref="AX17" si="33">+AS17/24</f>
        <v>26.110416666666666</v>
      </c>
      <c r="AY17" s="199">
        <f t="shared" ref="AY17" si="34">SUM(AS17:AX17)</f>
        <v>744.14791666666656</v>
      </c>
      <c r="AZ17" s="198">
        <f t="shared" ref="AZ17" si="35">+AS17*11.15%</f>
        <v>69.871475000000004</v>
      </c>
      <c r="BA17" s="198">
        <f t="shared" ref="BA17" si="36">+AS17*1%</f>
        <v>6.2664999999999997</v>
      </c>
      <c r="BB17" s="198">
        <f t="shared" ref="BB17" si="37">SUM(AZ17:BA17)</f>
        <v>76.137974999999997</v>
      </c>
      <c r="BC17" s="200"/>
    </row>
    <row r="18" spans="1:55" ht="26.4" customHeight="1">
      <c r="A18" s="33"/>
      <c r="B18" s="171">
        <f t="shared" si="12"/>
        <v>11</v>
      </c>
      <c r="C18" s="753">
        <v>931097620</v>
      </c>
      <c r="D18" s="753" t="s">
        <v>477</v>
      </c>
      <c r="E18" s="686">
        <v>45945</v>
      </c>
      <c r="F18" s="288" t="s">
        <v>487</v>
      </c>
      <c r="G18" s="23" t="s">
        <v>35</v>
      </c>
      <c r="H18" s="23" t="s">
        <v>107</v>
      </c>
      <c r="I18" s="247">
        <v>16</v>
      </c>
      <c r="J18" s="289">
        <v>256.52999999999997</v>
      </c>
      <c r="K18" s="290"/>
      <c r="L18" s="622"/>
      <c r="M18" s="291">
        <f>+VLOOKUP(C18,Tabla335[[CEDULA ]:[US$,,]],9,0)</f>
        <v>368.77</v>
      </c>
      <c r="N18" s="292"/>
      <c r="O18" s="292"/>
      <c r="P18" s="325">
        <f>+VLOOKUP(C18,'COMISIONES-SOCIOS'!$C$8:$L$57,10,0)</f>
        <v>0</v>
      </c>
      <c r="Q18" s="293">
        <f>+VLOOKUP(C18,Tabla3[[CEDULA ]:[US$,]],8,0)</f>
        <v>0</v>
      </c>
      <c r="R18" s="293">
        <f>+VLOOKUP($C18,Tabla3[[CEDULA ]:[US$,]],9,0)</f>
        <v>0</v>
      </c>
      <c r="S18" s="31">
        <f t="shared" si="21"/>
        <v>368.77</v>
      </c>
      <c r="T18" s="28">
        <f t="shared" si="22"/>
        <v>625.29999999999995</v>
      </c>
      <c r="U18" s="784"/>
      <c r="V18" s="29"/>
      <c r="W18" s="30"/>
      <c r="X18" s="30"/>
      <c r="Y18" s="31">
        <f t="shared" si="14"/>
        <v>625.29999999999995</v>
      </c>
      <c r="Z18" s="32">
        <f t="shared" si="15"/>
        <v>59.090849999999989</v>
      </c>
      <c r="AA18" s="32"/>
      <c r="AB18" s="32"/>
      <c r="AC18" s="281"/>
      <c r="AD18" s="281"/>
      <c r="AE18" s="281"/>
      <c r="AF18" s="281"/>
      <c r="AG18" s="281"/>
      <c r="AH18" s="281">
        <v>144.30000000000001</v>
      </c>
      <c r="AI18" s="365"/>
      <c r="AJ18" s="761"/>
      <c r="AK18" s="26"/>
      <c r="AL18" s="157"/>
      <c r="AN18" s="197">
        <f t="shared" si="17"/>
        <v>11</v>
      </c>
      <c r="AO18" s="25" t="str">
        <f t="shared" si="30"/>
        <v>DEL ROSARIO RODRIGUEZ JUDY ANGELICA</v>
      </c>
      <c r="AP18" s="374">
        <f t="shared" si="20"/>
        <v>45945</v>
      </c>
      <c r="AQ18" s="27">
        <f t="shared" si="2"/>
        <v>16</v>
      </c>
      <c r="AR18" s="23"/>
      <c r="AS18" s="198"/>
      <c r="AT18" s="198"/>
      <c r="AU18" s="198"/>
      <c r="AV18" s="644"/>
      <c r="AW18" s="198">
        <f t="shared" si="19"/>
        <v>20.888888888888889</v>
      </c>
      <c r="AX18" s="198"/>
      <c r="AY18" s="199"/>
      <c r="AZ18" s="198"/>
      <c r="BA18" s="198"/>
      <c r="BB18" s="198"/>
      <c r="BC18" s="200"/>
    </row>
    <row r="19" spans="1:55" ht="24.6" customHeight="1">
      <c r="A19" s="33"/>
      <c r="B19" s="171">
        <f t="shared" si="12"/>
        <v>12</v>
      </c>
      <c r="C19" s="753">
        <v>1105483422</v>
      </c>
      <c r="D19" s="753" t="s">
        <v>81</v>
      </c>
      <c r="E19" s="686">
        <v>45065</v>
      </c>
      <c r="F19" s="288" t="s">
        <v>106</v>
      </c>
      <c r="G19" s="23" t="s">
        <v>35</v>
      </c>
      <c r="H19" s="23" t="s">
        <v>110</v>
      </c>
      <c r="I19" s="247">
        <v>30</v>
      </c>
      <c r="J19" s="289">
        <v>650</v>
      </c>
      <c r="K19" s="290">
        <f>IFERROR(VLOOKUP(C19,Tabla15[[CEDULA]:[BONO VEHICULAR]],8,0),0)</f>
        <v>0</v>
      </c>
      <c r="L19" s="622">
        <v>14.13</v>
      </c>
      <c r="M19" s="291">
        <f>+VLOOKUP(C19,Tabla335[[CEDULA ]:[US$,,]],9,0)</f>
        <v>0</v>
      </c>
      <c r="N19" s="292"/>
      <c r="O19" s="292"/>
      <c r="P19" s="325">
        <f>+VLOOKUP(C19,'COMISIONES-SOCIOS'!$C$8:$L$57,10,0)</f>
        <v>0</v>
      </c>
      <c r="Q19" s="293">
        <f>+VLOOKUP(C19,Tabla3[[CEDULA ]:[US$,]],8,0)</f>
        <v>0</v>
      </c>
      <c r="R19" s="293">
        <f>+VLOOKUP($C19,Tabla3[[CEDULA ]:[US$,]],9,0)</f>
        <v>0</v>
      </c>
      <c r="S19" s="31">
        <f t="shared" si="21"/>
        <v>14.13</v>
      </c>
      <c r="T19" s="28">
        <f t="shared" si="22"/>
        <v>664.13</v>
      </c>
      <c r="U19" s="784">
        <f>VLOOKUP(C19,FR!$C$6:$M$55,11,0)</f>
        <v>52.199945</v>
      </c>
      <c r="V19" s="29"/>
      <c r="W19" s="30"/>
      <c r="X19" s="30"/>
      <c r="Y19" s="31">
        <f t="shared" si="14"/>
        <v>716.32994499999995</v>
      </c>
      <c r="Z19" s="32">
        <f t="shared" si="15"/>
        <v>62.760284999999989</v>
      </c>
      <c r="AA19" s="32"/>
      <c r="AB19" s="32"/>
      <c r="AC19" s="281">
        <f>IFERROR(+VLOOKUP(D19,PQ!$D$35:$E$45,2,0),0)</f>
        <v>0</v>
      </c>
      <c r="AD19" s="281"/>
      <c r="AE19" s="281"/>
      <c r="AF19" s="281"/>
      <c r="AG19" s="281"/>
      <c r="AH19" s="281">
        <v>0</v>
      </c>
      <c r="AI19" s="365">
        <f t="shared" si="16"/>
        <v>62.760284999999989</v>
      </c>
      <c r="AJ19" s="761">
        <f t="shared" si="0"/>
        <v>653.56966</v>
      </c>
      <c r="AK19" s="26">
        <v>600301314628</v>
      </c>
      <c r="AL19" s="157"/>
      <c r="AN19" s="197">
        <f t="shared" si="17"/>
        <v>12</v>
      </c>
      <c r="AO19" s="25" t="str">
        <f t="shared" si="30"/>
        <v>FLORES HERRERA WENDY DEL CISNE</v>
      </c>
      <c r="AP19" s="374">
        <f t="shared" si="20"/>
        <v>45065</v>
      </c>
      <c r="AQ19" s="27">
        <f t="shared" si="2"/>
        <v>30</v>
      </c>
      <c r="AR19" s="23" t="str">
        <f t="shared" ref="AR19:AR57" si="38">+H19</f>
        <v>Durán</v>
      </c>
      <c r="AS19" s="198">
        <f t="shared" si="3"/>
        <v>664.13</v>
      </c>
      <c r="AT19" s="198">
        <f t="shared" si="10"/>
        <v>55.344166666666666</v>
      </c>
      <c r="AU19" s="198">
        <v>0</v>
      </c>
      <c r="AV19" s="198"/>
      <c r="AW19" s="198">
        <f t="shared" si="11"/>
        <v>39.166666666666664</v>
      </c>
      <c r="AX19" s="198">
        <f t="shared" si="4"/>
        <v>27.672083333333333</v>
      </c>
      <c r="AY19" s="199">
        <f t="shared" si="5"/>
        <v>786.31291666666664</v>
      </c>
      <c r="AZ19" s="198">
        <f t="shared" si="6"/>
        <v>74.050494999999998</v>
      </c>
      <c r="BA19" s="198">
        <f t="shared" si="7"/>
        <v>6.6413000000000002</v>
      </c>
      <c r="BB19" s="198">
        <f t="shared" si="8"/>
        <v>80.691794999999999</v>
      </c>
      <c r="BC19" s="200"/>
    </row>
    <row r="20" spans="1:55" ht="24.6" customHeight="1">
      <c r="A20" s="33"/>
      <c r="B20" s="171">
        <f t="shared" si="12"/>
        <v>13</v>
      </c>
      <c r="C20" s="753">
        <v>942614645</v>
      </c>
      <c r="D20" s="753" t="s">
        <v>278</v>
      </c>
      <c r="E20" s="686">
        <v>45474</v>
      </c>
      <c r="F20" s="294" t="s">
        <v>470</v>
      </c>
      <c r="G20" s="23" t="s">
        <v>36</v>
      </c>
      <c r="H20" s="23" t="s">
        <v>104</v>
      </c>
      <c r="I20" s="247">
        <v>30</v>
      </c>
      <c r="J20" s="289">
        <v>481</v>
      </c>
      <c r="K20" s="290">
        <f>IFERROR(VLOOKUP(C20,Tabla15[[CEDULA]:[BONO VEHICULAR]],8,0),0)</f>
        <v>0</v>
      </c>
      <c r="L20" s="622">
        <v>219</v>
      </c>
      <c r="M20" s="291">
        <f>+VLOOKUP(C20,Tabla335[[CEDULA ]:[US$,,]],9,0)</f>
        <v>0</v>
      </c>
      <c r="N20" s="292"/>
      <c r="O20" s="292"/>
      <c r="P20" s="325">
        <f>+VLOOKUP(C20,'COMISIONES-SOCIOS'!$C$8:$L$57,10,0)</f>
        <v>0</v>
      </c>
      <c r="Q20" s="293">
        <f>+VLOOKUP(C20,Tabla3[[CEDULA ]:[US$,]],8,0)</f>
        <v>0</v>
      </c>
      <c r="R20" s="293">
        <f>+VLOOKUP($C20,Tabla3[[CEDULA ]:[US$,]],9,0)</f>
        <v>0</v>
      </c>
      <c r="S20" s="31">
        <f t="shared" si="21"/>
        <v>219</v>
      </c>
      <c r="T20" s="28">
        <f t="shared" si="22"/>
        <v>700</v>
      </c>
      <c r="U20" s="784">
        <f>VLOOKUP(C20,FR!$C$6:$M$55,11,0)</f>
        <v>58.31</v>
      </c>
      <c r="V20" s="29"/>
      <c r="W20" s="30"/>
      <c r="X20" s="30"/>
      <c r="Y20" s="31">
        <f t="shared" si="14"/>
        <v>758.31</v>
      </c>
      <c r="Z20" s="32">
        <f t="shared" si="15"/>
        <v>66.149999999999991</v>
      </c>
      <c r="AA20" s="32"/>
      <c r="AB20" s="32"/>
      <c r="AC20" s="281">
        <f>IFERROR(+VLOOKUP(D20,PQ!$D$35:$E$45,2,0),0)</f>
        <v>0</v>
      </c>
      <c r="AD20" s="281"/>
      <c r="AE20" s="281"/>
      <c r="AF20" s="281"/>
      <c r="AG20" s="281">
        <v>0</v>
      </c>
      <c r="AH20" s="281">
        <v>350</v>
      </c>
      <c r="AI20" s="365">
        <f t="shared" si="16"/>
        <v>416.15</v>
      </c>
      <c r="AJ20" s="761">
        <f t="shared" si="0"/>
        <v>342.15999999999997</v>
      </c>
      <c r="AK20" s="26">
        <v>600101317776</v>
      </c>
      <c r="AL20" s="157"/>
      <c r="AN20" s="197">
        <f t="shared" si="17"/>
        <v>13</v>
      </c>
      <c r="AO20" s="25" t="str">
        <f t="shared" si="30"/>
        <v>FUELA TOABANDA JOSUE CHRISTIAN</v>
      </c>
      <c r="AP20" s="374">
        <f t="shared" si="20"/>
        <v>45474</v>
      </c>
      <c r="AQ20" s="27">
        <f t="shared" si="2"/>
        <v>30</v>
      </c>
      <c r="AR20" s="23" t="str">
        <f t="shared" si="38"/>
        <v>Matriz</v>
      </c>
      <c r="AS20" s="198">
        <f t="shared" ref="AS20" si="39">T20</f>
        <v>700</v>
      </c>
      <c r="AT20" s="198">
        <f t="shared" ref="AT20" si="40">+AS20/12</f>
        <v>58.333333333333336</v>
      </c>
      <c r="AU20" s="198">
        <v>0</v>
      </c>
      <c r="AV20" s="198"/>
      <c r="AW20" s="198">
        <f t="shared" si="11"/>
        <v>39.166666666666664</v>
      </c>
      <c r="AX20" s="198">
        <f t="shared" si="4"/>
        <v>29.166666666666668</v>
      </c>
      <c r="AY20" s="199">
        <f t="shared" si="5"/>
        <v>826.66666666666663</v>
      </c>
      <c r="AZ20" s="198">
        <f t="shared" si="6"/>
        <v>78.05</v>
      </c>
      <c r="BA20" s="198">
        <f t="shared" si="7"/>
        <v>7</v>
      </c>
      <c r="BB20" s="198">
        <f t="shared" si="8"/>
        <v>85.05</v>
      </c>
      <c r="BC20" s="200"/>
    </row>
    <row r="21" spans="1:55" ht="24" customHeight="1">
      <c r="B21" s="171">
        <f t="shared" si="12"/>
        <v>14</v>
      </c>
      <c r="C21" s="753">
        <v>951200062</v>
      </c>
      <c r="D21" s="753" t="s">
        <v>205</v>
      </c>
      <c r="E21" s="693">
        <v>45139</v>
      </c>
      <c r="F21" s="294" t="s">
        <v>206</v>
      </c>
      <c r="G21" s="37" t="s">
        <v>35</v>
      </c>
      <c r="H21" s="23" t="s">
        <v>107</v>
      </c>
      <c r="I21" s="232">
        <v>30</v>
      </c>
      <c r="J21" s="289">
        <v>473.88</v>
      </c>
      <c r="K21" s="290">
        <f>IFERROR(VLOOKUP(C21,Tabla15[[CEDULA]:[BONO VEHICULAR]],8,0),0)</f>
        <v>0</v>
      </c>
      <c r="L21" s="622">
        <v>190.25</v>
      </c>
      <c r="M21" s="291">
        <f>+VLOOKUP(C21,Tabla335[[CEDULA ]:[US$,,]],9,0)</f>
        <v>0</v>
      </c>
      <c r="N21" s="292"/>
      <c r="O21" s="292"/>
      <c r="P21" s="325">
        <f>+VLOOKUP(C21,'COMISIONES-SOCIOS'!$C$8:$L$57,10,0)</f>
        <v>0</v>
      </c>
      <c r="Q21" s="293">
        <f>+VLOOKUP(C21,Tabla3[[CEDULA ]:[US$,]],8,0)</f>
        <v>0</v>
      </c>
      <c r="R21" s="293">
        <f>+VLOOKUP($C21,Tabla3[[CEDULA ]:[US$,]],9,0)</f>
        <v>0</v>
      </c>
      <c r="S21" s="31">
        <f t="shared" si="21"/>
        <v>190.25</v>
      </c>
      <c r="T21" s="28">
        <f t="shared" si="22"/>
        <v>664.13</v>
      </c>
      <c r="U21" s="784">
        <f>VLOOKUP(C21,FR!$C$6:$M$55,11,0)</f>
        <v>55.322029000000001</v>
      </c>
      <c r="V21" s="29"/>
      <c r="W21" s="30"/>
      <c r="X21" s="30"/>
      <c r="Y21" s="31">
        <f t="shared" si="14"/>
        <v>719.45202900000004</v>
      </c>
      <c r="Z21" s="32">
        <f t="shared" si="15"/>
        <v>62.760284999999989</v>
      </c>
      <c r="AA21" s="32"/>
      <c r="AB21" s="32"/>
      <c r="AC21" s="281">
        <f>IFERROR(+VLOOKUP(D21,PQ!$D$35:$E$45,2,0),0)</f>
        <v>0</v>
      </c>
      <c r="AD21" s="281"/>
      <c r="AE21" s="281"/>
      <c r="AF21" s="281"/>
      <c r="AG21" s="281">
        <v>0</v>
      </c>
      <c r="AH21" s="281">
        <v>300</v>
      </c>
      <c r="AI21" s="365">
        <f t="shared" si="16"/>
        <v>362.76028500000001</v>
      </c>
      <c r="AJ21" s="761">
        <f t="shared" si="0"/>
        <v>356.69174400000003</v>
      </c>
      <c r="AK21" s="26">
        <v>600301315318</v>
      </c>
      <c r="AL21" s="157"/>
      <c r="AN21" s="197">
        <f t="shared" si="17"/>
        <v>14</v>
      </c>
      <c r="AO21" s="25" t="str">
        <f t="shared" si="30"/>
        <v>GALAN LEMACHE INGRID GISELA</v>
      </c>
      <c r="AP21" s="374">
        <f t="shared" si="20"/>
        <v>45139</v>
      </c>
      <c r="AQ21" s="27">
        <f t="shared" si="2"/>
        <v>30</v>
      </c>
      <c r="AR21" s="23" t="str">
        <f t="shared" si="38"/>
        <v>Norte</v>
      </c>
      <c r="AS21" s="198">
        <f t="shared" si="3"/>
        <v>664.13</v>
      </c>
      <c r="AT21" s="198">
        <f t="shared" si="10"/>
        <v>55.344166666666666</v>
      </c>
      <c r="AU21" s="198">
        <v>0</v>
      </c>
      <c r="AV21" s="198"/>
      <c r="AW21" s="198">
        <f t="shared" si="11"/>
        <v>39.166666666666664</v>
      </c>
      <c r="AX21" s="198">
        <f t="shared" si="4"/>
        <v>27.672083333333333</v>
      </c>
      <c r="AY21" s="199">
        <f t="shared" si="5"/>
        <v>786.31291666666664</v>
      </c>
      <c r="AZ21" s="198">
        <f t="shared" si="6"/>
        <v>74.050494999999998</v>
      </c>
      <c r="BA21" s="198">
        <f t="shared" si="7"/>
        <v>6.6413000000000002</v>
      </c>
      <c r="BB21" s="198">
        <f t="shared" si="8"/>
        <v>80.691794999999999</v>
      </c>
      <c r="BC21" s="200"/>
    </row>
    <row r="22" spans="1:55" ht="24" customHeight="1">
      <c r="B22" s="171">
        <f t="shared" si="12"/>
        <v>15</v>
      </c>
      <c r="C22" s="753">
        <v>950929232</v>
      </c>
      <c r="D22" s="753" t="s">
        <v>261</v>
      </c>
      <c r="E22" s="686">
        <v>44726</v>
      </c>
      <c r="F22" s="288" t="s">
        <v>469</v>
      </c>
      <c r="G22" s="23" t="s">
        <v>36</v>
      </c>
      <c r="H22" s="23" t="s">
        <v>107</v>
      </c>
      <c r="I22" s="247">
        <v>30</v>
      </c>
      <c r="J22" s="289">
        <v>715.54</v>
      </c>
      <c r="K22" s="290">
        <f>IFERROR(VLOOKUP(C22,Tabla15[[CEDULA]:[BONO VEHICULAR]],8,0),0)</f>
        <v>0</v>
      </c>
      <c r="L22" s="622">
        <v>0</v>
      </c>
      <c r="M22" s="291">
        <f>+VLOOKUP(C22,Tabla335[[CEDULA ]:[US$,,]],9,0)</f>
        <v>0</v>
      </c>
      <c r="N22" s="292"/>
      <c r="O22" s="292"/>
      <c r="P22" s="325">
        <f>+VLOOKUP(C22,'COMISIONES-SOCIOS'!$C$8:$L$57,10,0)</f>
        <v>0</v>
      </c>
      <c r="Q22" s="293">
        <f>+VLOOKUP(C22,Tabla3[[CEDULA ]:[US$,]],8,0)</f>
        <v>0</v>
      </c>
      <c r="R22" s="293">
        <f>+VLOOKUP($C22,Tabla3[[CEDULA ]:[US$,]],9,0)</f>
        <v>0</v>
      </c>
      <c r="S22" s="31">
        <f t="shared" si="21"/>
        <v>0</v>
      </c>
      <c r="T22" s="28">
        <f t="shared" si="22"/>
        <v>715.54</v>
      </c>
      <c r="U22" s="784" t="str">
        <f>VLOOKUP(C22,FR!$C$6:$M$55,11,0)</f>
        <v>ACUMULA</v>
      </c>
      <c r="V22" s="29"/>
      <c r="W22" s="30"/>
      <c r="X22" s="30"/>
      <c r="Y22" s="31">
        <f t="shared" si="14"/>
        <v>715.54</v>
      </c>
      <c r="Z22" s="32">
        <f t="shared" si="15"/>
        <v>67.618529999999993</v>
      </c>
      <c r="AA22" s="32"/>
      <c r="AB22" s="32">
        <v>0</v>
      </c>
      <c r="AC22" s="281">
        <f>IFERROR(+VLOOKUP(D22,PQ!$D$35:$E$45,2,0),0)</f>
        <v>87.66</v>
      </c>
      <c r="AD22" s="402"/>
      <c r="AE22" s="402">
        <f>+T22*3.41%</f>
        <v>24.399913999999999</v>
      </c>
      <c r="AF22" s="402"/>
      <c r="AG22" s="281"/>
      <c r="AH22" s="281">
        <v>300</v>
      </c>
      <c r="AI22" s="365">
        <f t="shared" si="16"/>
        <v>479.67844400000001</v>
      </c>
      <c r="AJ22" s="761">
        <f t="shared" si="0"/>
        <v>235.86155599999995</v>
      </c>
      <c r="AK22" s="26">
        <v>600201311725</v>
      </c>
      <c r="AL22" s="53"/>
      <c r="AN22" s="197">
        <f t="shared" si="17"/>
        <v>15</v>
      </c>
      <c r="AO22" s="25" t="str">
        <f t="shared" si="30"/>
        <v>GARCIA VERA HENRY  LUIS</v>
      </c>
      <c r="AP22" s="403">
        <f t="shared" si="20"/>
        <v>44726</v>
      </c>
      <c r="AQ22" s="247">
        <f t="shared" si="2"/>
        <v>30</v>
      </c>
      <c r="AR22" s="23" t="str">
        <f t="shared" si="38"/>
        <v>Norte</v>
      </c>
      <c r="AS22" s="404">
        <f t="shared" si="3"/>
        <v>715.54</v>
      </c>
      <c r="AT22" s="404">
        <f t="shared" si="10"/>
        <v>59.62833333333333</v>
      </c>
      <c r="AU22" s="404">
        <f>+AS22*$AU$7</f>
        <v>59.604481999999997</v>
      </c>
      <c r="AV22" s="404"/>
      <c r="AW22" s="404">
        <f t="shared" si="11"/>
        <v>39.166666666666664</v>
      </c>
      <c r="AX22" s="404">
        <f t="shared" si="4"/>
        <v>29.814166666666665</v>
      </c>
      <c r="AY22" s="199">
        <f t="shared" si="5"/>
        <v>903.75364866666655</v>
      </c>
      <c r="AZ22" s="198">
        <f t="shared" si="6"/>
        <v>79.782709999999994</v>
      </c>
      <c r="BA22" s="198">
        <f t="shared" si="7"/>
        <v>7.1554000000000002</v>
      </c>
      <c r="BB22" s="198">
        <f t="shared" si="8"/>
        <v>86.938109999999995</v>
      </c>
      <c r="BC22" s="200"/>
    </row>
    <row r="23" spans="1:55" ht="24.6" customHeight="1">
      <c r="B23" s="171">
        <f t="shared" si="12"/>
        <v>16</v>
      </c>
      <c r="C23" s="753">
        <v>953819646</v>
      </c>
      <c r="D23" s="753" t="s">
        <v>262</v>
      </c>
      <c r="E23" s="686">
        <v>44637</v>
      </c>
      <c r="F23" s="288" t="s">
        <v>469</v>
      </c>
      <c r="G23" s="23" t="s">
        <v>36</v>
      </c>
      <c r="H23" s="23" t="s">
        <v>104</v>
      </c>
      <c r="I23" s="247">
        <v>30</v>
      </c>
      <c r="J23" s="289">
        <v>511.1</v>
      </c>
      <c r="K23" s="290">
        <f>IFERROR(VLOOKUP(C23,Tabla15[[CEDULA]:[BONO VEHICULAR]],8,0),0)</f>
        <v>100</v>
      </c>
      <c r="L23" s="622">
        <v>11.11</v>
      </c>
      <c r="M23" s="291">
        <f>+VLOOKUP(C23,Tabla335[[CEDULA ]:[US$,,]],9,0)</f>
        <v>0</v>
      </c>
      <c r="N23" s="292"/>
      <c r="O23" s="292"/>
      <c r="P23" s="325">
        <f>+VLOOKUP(C23,'COMISIONES-SOCIOS'!$C$8:$L$57,10,0)</f>
        <v>0</v>
      </c>
      <c r="Q23" s="293">
        <f>+VLOOKUP(C23,Tabla3[[CEDULA ]:[US$,]],8,0)</f>
        <v>0</v>
      </c>
      <c r="R23" s="293">
        <f>+VLOOKUP($C23,Tabla3[[CEDULA ]:[US$,]],9,0)</f>
        <v>0</v>
      </c>
      <c r="S23" s="31">
        <f t="shared" si="21"/>
        <v>111.11</v>
      </c>
      <c r="T23" s="28">
        <f t="shared" si="22"/>
        <v>622.21</v>
      </c>
      <c r="U23" s="784">
        <f>VLOOKUP(C23,FR!$C$6:$M$55,11,0)</f>
        <v>51.830093000000005</v>
      </c>
      <c r="V23" s="29"/>
      <c r="W23" s="30"/>
      <c r="X23" s="30"/>
      <c r="Y23" s="31">
        <f t="shared" si="14"/>
        <v>674.04009300000007</v>
      </c>
      <c r="Z23" s="32">
        <f t="shared" si="15"/>
        <v>58.798844999999993</v>
      </c>
      <c r="AA23" s="32"/>
      <c r="AB23" s="32">
        <v>0</v>
      </c>
      <c r="AC23" s="281">
        <f>IFERROR(+VLOOKUP(D23,PQ!$D$35:$E$45,2,0),0)</f>
        <v>0</v>
      </c>
      <c r="AD23" s="281"/>
      <c r="AE23" s="281"/>
      <c r="AF23" s="281"/>
      <c r="AG23" s="281"/>
      <c r="AH23" s="281">
        <v>0</v>
      </c>
      <c r="AI23" s="365">
        <f t="shared" si="16"/>
        <v>58.798844999999993</v>
      </c>
      <c r="AJ23" s="761">
        <f t="shared" si="0"/>
        <v>615.24124800000004</v>
      </c>
      <c r="AK23" s="26">
        <v>600101311237</v>
      </c>
      <c r="AL23" s="157"/>
      <c r="AN23" s="197">
        <f t="shared" si="17"/>
        <v>16</v>
      </c>
      <c r="AO23" s="25" t="str">
        <f t="shared" si="30"/>
        <v>GUALACEO ÑAMO JONATHAN IVÁN</v>
      </c>
      <c r="AP23" s="374">
        <f t="shared" si="20"/>
        <v>44637</v>
      </c>
      <c r="AQ23" s="27">
        <f t="shared" si="2"/>
        <v>30</v>
      </c>
      <c r="AR23" s="23" t="str">
        <f t="shared" si="38"/>
        <v>Matriz</v>
      </c>
      <c r="AS23" s="198">
        <f t="shared" si="3"/>
        <v>622.21</v>
      </c>
      <c r="AT23" s="198">
        <f t="shared" si="10"/>
        <v>51.850833333333334</v>
      </c>
      <c r="AU23" s="198">
        <v>0</v>
      </c>
      <c r="AV23" s="198"/>
      <c r="AW23" s="198">
        <f t="shared" si="11"/>
        <v>39.166666666666664</v>
      </c>
      <c r="AX23" s="198">
        <f t="shared" si="4"/>
        <v>25.925416666666667</v>
      </c>
      <c r="AY23" s="199">
        <f t="shared" si="5"/>
        <v>739.15291666666667</v>
      </c>
      <c r="AZ23" s="198">
        <f t="shared" si="6"/>
        <v>69.376415000000009</v>
      </c>
      <c r="BA23" s="198">
        <f t="shared" si="7"/>
        <v>6.2221000000000002</v>
      </c>
      <c r="BB23" s="198">
        <f t="shared" si="8"/>
        <v>75.598515000000006</v>
      </c>
      <c r="BC23" s="200"/>
    </row>
    <row r="24" spans="1:55" ht="24.6" customHeight="1">
      <c r="B24" s="171">
        <f t="shared" si="12"/>
        <v>17</v>
      </c>
      <c r="C24" s="753">
        <v>956953392</v>
      </c>
      <c r="D24" s="753" t="s">
        <v>242</v>
      </c>
      <c r="E24" s="686">
        <v>45357</v>
      </c>
      <c r="F24" s="288" t="s">
        <v>469</v>
      </c>
      <c r="G24" s="23" t="s">
        <v>36</v>
      </c>
      <c r="H24" s="23" t="s">
        <v>104</v>
      </c>
      <c r="I24" s="247">
        <v>30</v>
      </c>
      <c r="J24" s="289">
        <v>473.88</v>
      </c>
      <c r="K24" s="290">
        <f>IFERROR(VLOOKUP(C24,Tabla15[[CEDULA]:[BONO VEHICULAR]],8,0),0)</f>
        <v>0</v>
      </c>
      <c r="L24" s="622">
        <f>550-J24</f>
        <v>76.12</v>
      </c>
      <c r="M24" s="291">
        <f>+VLOOKUP(C24,Tabla335[[CEDULA ]:[US$,,]],9,0)</f>
        <v>0</v>
      </c>
      <c r="N24" s="292"/>
      <c r="O24" s="292"/>
      <c r="P24" s="325">
        <f>+VLOOKUP(C24,'COMISIONES-SOCIOS'!$C$8:$L$57,10,0)</f>
        <v>0</v>
      </c>
      <c r="Q24" s="293">
        <f>+VLOOKUP(C24,Tabla3[[CEDULA ]:[US$,]],8,0)</f>
        <v>0</v>
      </c>
      <c r="R24" s="293">
        <f>+VLOOKUP($C24,Tabla3[[CEDULA ]:[US$,]],9,0)</f>
        <v>0</v>
      </c>
      <c r="S24" s="31">
        <f t="shared" si="21"/>
        <v>76.12</v>
      </c>
      <c r="T24" s="28">
        <f t="shared" si="22"/>
        <v>550</v>
      </c>
      <c r="U24" s="784">
        <f>VLOOKUP(C24,FR!$C$6:$M$55,11,0)</f>
        <v>45.814999999999998</v>
      </c>
      <c r="V24" s="29"/>
      <c r="W24" s="30"/>
      <c r="X24" s="30"/>
      <c r="Y24" s="31">
        <f t="shared" si="14"/>
        <v>595.81500000000005</v>
      </c>
      <c r="Z24" s="32">
        <f t="shared" si="15"/>
        <v>51.974999999999994</v>
      </c>
      <c r="AA24" s="32"/>
      <c r="AB24" s="32"/>
      <c r="AC24" s="281">
        <f>IFERROR(+VLOOKUP(D24,PQ!$D$35:$E$45,2,0),0)</f>
        <v>0</v>
      </c>
      <c r="AD24" s="281"/>
      <c r="AE24" s="281"/>
      <c r="AF24" s="281"/>
      <c r="AG24" s="281"/>
      <c r="AH24" s="281">
        <v>150</v>
      </c>
      <c r="AI24" s="365">
        <f t="shared" si="16"/>
        <v>201.97499999999999</v>
      </c>
      <c r="AJ24" s="761">
        <f t="shared" si="0"/>
        <v>393.84000000000003</v>
      </c>
      <c r="AK24" s="26">
        <v>600101005932</v>
      </c>
      <c r="AL24" s="157"/>
      <c r="AN24" s="197">
        <f t="shared" si="17"/>
        <v>17</v>
      </c>
      <c r="AO24" s="25" t="str">
        <f t="shared" si="30"/>
        <v>GUAPI YUMAGLLA OSCAR EDUARDO</v>
      </c>
      <c r="AP24" s="374">
        <f t="shared" si="20"/>
        <v>45357</v>
      </c>
      <c r="AQ24" s="27">
        <f t="shared" si="2"/>
        <v>30</v>
      </c>
      <c r="AR24" s="23" t="str">
        <f t="shared" si="38"/>
        <v>Matriz</v>
      </c>
      <c r="AS24" s="198">
        <f t="shared" si="3"/>
        <v>550</v>
      </c>
      <c r="AT24" s="198">
        <f t="shared" si="10"/>
        <v>45.833333333333336</v>
      </c>
      <c r="AU24" s="198">
        <v>0</v>
      </c>
      <c r="AV24" s="198"/>
      <c r="AW24" s="198">
        <f t="shared" si="11"/>
        <v>39.166666666666664</v>
      </c>
      <c r="AX24" s="198">
        <f t="shared" si="4"/>
        <v>22.916666666666668</v>
      </c>
      <c r="AY24" s="199">
        <f t="shared" si="5"/>
        <v>657.91666666666663</v>
      </c>
      <c r="AZ24" s="198">
        <f t="shared" si="6"/>
        <v>61.325000000000003</v>
      </c>
      <c r="BA24" s="198">
        <f t="shared" si="7"/>
        <v>5.5</v>
      </c>
      <c r="BB24" s="198">
        <f t="shared" si="8"/>
        <v>66.825000000000003</v>
      </c>
      <c r="BC24" s="200"/>
    </row>
    <row r="25" spans="1:55" ht="24.6" customHeight="1">
      <c r="A25" s="33"/>
      <c r="B25" s="171">
        <f t="shared" si="12"/>
        <v>18</v>
      </c>
      <c r="C25" s="753">
        <v>956796767</v>
      </c>
      <c r="D25" s="753" t="s">
        <v>65</v>
      </c>
      <c r="E25" s="686">
        <v>44763</v>
      </c>
      <c r="F25" s="288" t="s">
        <v>469</v>
      </c>
      <c r="G25" s="23" t="s">
        <v>36</v>
      </c>
      <c r="H25" s="23" t="s">
        <v>107</v>
      </c>
      <c r="I25" s="247">
        <v>30</v>
      </c>
      <c r="J25" s="289">
        <v>473.88</v>
      </c>
      <c r="K25" s="290">
        <f>IFERROR(VLOOKUP(C25,Tabla15[[CEDULA]:[BONO VEHICULAR]],8,0),0)</f>
        <v>100</v>
      </c>
      <c r="L25" s="622">
        <v>10.3</v>
      </c>
      <c r="M25" s="291">
        <f>+VLOOKUP(C25,Tabla335[[CEDULA ]:[US$,,]],9,0)</f>
        <v>0</v>
      </c>
      <c r="N25" s="292"/>
      <c r="O25" s="292"/>
      <c r="P25" s="325">
        <f>+VLOOKUP(C25,'COMISIONES-SOCIOS'!$C$8:$L$57,10,0)</f>
        <v>0</v>
      </c>
      <c r="Q25" s="293">
        <f>+VLOOKUP(C25,Tabla3[[CEDULA ]:[US$,]],8,0)</f>
        <v>0</v>
      </c>
      <c r="R25" s="293">
        <f>+VLOOKUP($C25,Tabla3[[CEDULA ]:[US$,]],9,0)</f>
        <v>0</v>
      </c>
      <c r="S25" s="31">
        <f t="shared" si="21"/>
        <v>110.3</v>
      </c>
      <c r="T25" s="28">
        <f t="shared" si="22"/>
        <v>584.17999999999995</v>
      </c>
      <c r="U25" s="784">
        <f>VLOOKUP(C25,FR!$C$6:$M$55,11,0)</f>
        <v>48.662193999999992</v>
      </c>
      <c r="V25" s="29"/>
      <c r="W25" s="30"/>
      <c r="X25" s="30"/>
      <c r="Y25" s="31">
        <f t="shared" si="14"/>
        <v>632.84219399999995</v>
      </c>
      <c r="Z25" s="32">
        <f t="shared" si="15"/>
        <v>55.205009999999987</v>
      </c>
      <c r="AA25" s="32"/>
      <c r="AB25" s="32"/>
      <c r="AC25" s="281">
        <f>IFERROR(+VLOOKUP(D25,PQ!$D$35:$E$45,2,0),0)</f>
        <v>20.96</v>
      </c>
      <c r="AD25" s="281"/>
      <c r="AE25" s="281"/>
      <c r="AF25" s="281"/>
      <c r="AG25" s="281"/>
      <c r="AH25" s="281">
        <v>390</v>
      </c>
      <c r="AI25" s="365">
        <f t="shared" si="16"/>
        <v>466.16501</v>
      </c>
      <c r="AJ25" s="761">
        <f t="shared" si="0"/>
        <v>166.67718399999995</v>
      </c>
      <c r="AK25" s="26">
        <v>600201312138</v>
      </c>
      <c r="AL25" s="157"/>
      <c r="AN25" s="197">
        <f t="shared" si="17"/>
        <v>18</v>
      </c>
      <c r="AO25" s="25" t="str">
        <f t="shared" si="30"/>
        <v>GUAYANLEMA RUIZ EDINSON DAVID</v>
      </c>
      <c r="AP25" s="374">
        <f t="shared" si="20"/>
        <v>44763</v>
      </c>
      <c r="AQ25" s="27">
        <f t="shared" si="2"/>
        <v>30</v>
      </c>
      <c r="AR25" s="23" t="str">
        <f t="shared" si="38"/>
        <v>Norte</v>
      </c>
      <c r="AS25" s="198">
        <f t="shared" si="3"/>
        <v>584.17999999999995</v>
      </c>
      <c r="AT25" s="198">
        <f t="shared" si="10"/>
        <v>48.681666666666665</v>
      </c>
      <c r="AU25" s="198">
        <v>0</v>
      </c>
      <c r="AV25" s="198"/>
      <c r="AW25" s="198">
        <f t="shared" si="11"/>
        <v>39.166666666666664</v>
      </c>
      <c r="AX25" s="198">
        <f t="shared" si="4"/>
        <v>24.340833333333332</v>
      </c>
      <c r="AY25" s="199">
        <f t="shared" si="5"/>
        <v>696.3691666666665</v>
      </c>
      <c r="AZ25" s="198">
        <f t="shared" si="6"/>
        <v>65.136069999999989</v>
      </c>
      <c r="BA25" s="198">
        <f t="shared" si="7"/>
        <v>5.8417999999999992</v>
      </c>
      <c r="BB25" s="198">
        <f t="shared" si="8"/>
        <v>70.977869999999996</v>
      </c>
      <c r="BC25" s="200"/>
    </row>
    <row r="26" spans="1:55" ht="24.6" customHeight="1">
      <c r="A26" s="33"/>
      <c r="B26" s="171">
        <f t="shared" si="12"/>
        <v>19</v>
      </c>
      <c r="C26" s="753" t="s">
        <v>427</v>
      </c>
      <c r="D26" s="753" t="s">
        <v>428</v>
      </c>
      <c r="E26" s="686">
        <v>45839</v>
      </c>
      <c r="F26" s="288" t="s">
        <v>429</v>
      </c>
      <c r="G26" s="23" t="s">
        <v>35</v>
      </c>
      <c r="H26" s="23" t="s">
        <v>104</v>
      </c>
      <c r="I26" s="247">
        <v>30</v>
      </c>
      <c r="J26" s="289">
        <v>481</v>
      </c>
      <c r="K26" s="290">
        <f>IFERROR(VLOOKUP(C26,Tabla15[[CEDULA]:[BONO VEHICULAR]],8,0),0)</f>
        <v>0</v>
      </c>
      <c r="L26" s="622">
        <v>0</v>
      </c>
      <c r="M26" s="291">
        <f>+VLOOKUP(C26,Tabla335[[CEDULA ]:[US$,,]],9,0)</f>
        <v>0</v>
      </c>
      <c r="N26" s="292"/>
      <c r="O26" s="292"/>
      <c r="P26" s="325">
        <f>+VLOOKUP(C26,'COMISIONES-SOCIOS'!$C$8:$L$57,10,0)</f>
        <v>0</v>
      </c>
      <c r="Q26" s="293">
        <f>+VLOOKUP(C26,Tabla3[[CEDULA ]:[US$,]],8,0)</f>
        <v>0</v>
      </c>
      <c r="R26" s="293">
        <f>+VLOOKUP($C26,Tabla3[[CEDULA ]:[US$,]],9,0)</f>
        <v>0</v>
      </c>
      <c r="S26" s="31">
        <f t="shared" si="21"/>
        <v>0</v>
      </c>
      <c r="T26" s="28">
        <f t="shared" si="22"/>
        <v>481</v>
      </c>
      <c r="U26" s="784">
        <f>VLOOKUP(C26,FR!$C$6:$M$55,11,0)</f>
        <v>0</v>
      </c>
      <c r="V26" s="29"/>
      <c r="W26" s="30"/>
      <c r="X26" s="30"/>
      <c r="Y26" s="31">
        <f t="shared" si="14"/>
        <v>481</v>
      </c>
      <c r="Z26" s="32">
        <f t="shared" si="15"/>
        <v>45.454499999999996</v>
      </c>
      <c r="AA26" s="32"/>
      <c r="AB26" s="32"/>
      <c r="AC26" s="281">
        <f>IFERROR(+VLOOKUP(D26,PQ!$D$35:$E$45,2,0),0)</f>
        <v>0</v>
      </c>
      <c r="AD26" s="281"/>
      <c r="AE26" s="281"/>
      <c r="AF26" s="281"/>
      <c r="AG26" s="281"/>
      <c r="AH26" s="281">
        <v>0</v>
      </c>
      <c r="AI26" s="365">
        <f t="shared" si="16"/>
        <v>45.454499999999996</v>
      </c>
      <c r="AJ26" s="761">
        <f t="shared" si="0"/>
        <v>435.5455</v>
      </c>
      <c r="AK26" s="26">
        <v>600101320088</v>
      </c>
      <c r="AL26" s="157"/>
      <c r="AN26" s="197">
        <f t="shared" si="17"/>
        <v>19</v>
      </c>
      <c r="AO26" s="25" t="str">
        <f t="shared" si="30"/>
        <v>HERRERA JIMENEZ CAROLINA ADELIHER</v>
      </c>
      <c r="AP26" s="374">
        <f t="shared" si="20"/>
        <v>45839</v>
      </c>
      <c r="AQ26" s="27">
        <f t="shared" si="2"/>
        <v>30</v>
      </c>
      <c r="AR26" s="23" t="str">
        <f t="shared" si="38"/>
        <v>Matriz</v>
      </c>
      <c r="AS26" s="198">
        <f t="shared" ref="AS26" si="41">T26</f>
        <v>481</v>
      </c>
      <c r="AT26" s="198">
        <f t="shared" ref="AT26" si="42">+AS26/12</f>
        <v>40.083333333333336</v>
      </c>
      <c r="AU26" s="198">
        <v>0</v>
      </c>
      <c r="AV26" s="198"/>
      <c r="AW26" s="198">
        <f t="shared" ref="AW26" si="43">($AW$7/360)*AQ26</f>
        <v>39.166666666666664</v>
      </c>
      <c r="AX26" s="198">
        <f t="shared" ref="AX26" si="44">+AS26/24</f>
        <v>20.041666666666668</v>
      </c>
      <c r="AY26" s="199">
        <f t="shared" ref="AY26" si="45">SUM(AS26:AX26)</f>
        <v>580.29166666666663</v>
      </c>
      <c r="AZ26" s="198">
        <f t="shared" ref="AZ26:AZ27" si="46">+AS26*11.15%</f>
        <v>53.631500000000003</v>
      </c>
      <c r="BA26" s="198">
        <f t="shared" ref="BA26:BA27" si="47">+AS26*1%</f>
        <v>4.8100000000000005</v>
      </c>
      <c r="BB26" s="198">
        <f t="shared" ref="BB26:BB27" si="48">SUM(AZ26:BA26)</f>
        <v>58.441500000000005</v>
      </c>
      <c r="BC26" s="200"/>
    </row>
    <row r="27" spans="1:55" s="166" customFormat="1" ht="24.6" customHeight="1">
      <c r="A27" s="33"/>
      <c r="B27" s="171">
        <f t="shared" si="12"/>
        <v>20</v>
      </c>
      <c r="C27" s="753">
        <v>1724102940</v>
      </c>
      <c r="D27" s="753" t="s">
        <v>237</v>
      </c>
      <c r="E27" s="686">
        <v>45308</v>
      </c>
      <c r="F27" s="288" t="s">
        <v>471</v>
      </c>
      <c r="G27" s="23" t="s">
        <v>36</v>
      </c>
      <c r="H27" s="23" t="s">
        <v>110</v>
      </c>
      <c r="I27" s="247">
        <v>30</v>
      </c>
      <c r="J27" s="289">
        <v>817.76</v>
      </c>
      <c r="K27" s="290">
        <f>IFERROR(VLOOKUP(C27,Tabla15[[CEDULA]:[BONO VEHICULAR]],8,0),0)</f>
        <v>0</v>
      </c>
      <c r="L27" s="622">
        <v>17.78</v>
      </c>
      <c r="M27" s="291">
        <f>+VLOOKUP(C27,Tabla335[[CEDULA ]:[US$,,]],9,0)</f>
        <v>0</v>
      </c>
      <c r="N27" s="292"/>
      <c r="O27" s="292"/>
      <c r="P27" s="325">
        <f>+VLOOKUP(C27,'COMISIONES-SOCIOS'!$C$8:$L$57,10,0)</f>
        <v>0</v>
      </c>
      <c r="Q27" s="293">
        <f>+VLOOKUP(C27,Tabla3[[CEDULA ]:[US$,]],8,0)</f>
        <v>0</v>
      </c>
      <c r="R27" s="293">
        <f>+VLOOKUP($C27,Tabla3[[CEDULA ]:[US$,]],9,0)</f>
        <v>0</v>
      </c>
      <c r="S27" s="31">
        <f t="shared" si="21"/>
        <v>17.78</v>
      </c>
      <c r="T27" s="28">
        <f t="shared" si="22"/>
        <v>835.54</v>
      </c>
      <c r="U27" s="784">
        <f>VLOOKUP(C27,FR!$C$6:$M$55,11,0)</f>
        <v>69.600482</v>
      </c>
      <c r="V27" s="29"/>
      <c r="W27" s="30"/>
      <c r="X27" s="30"/>
      <c r="Y27" s="31">
        <f t="shared" si="14"/>
        <v>905.14048200000002</v>
      </c>
      <c r="Z27" s="32">
        <f t="shared" si="15"/>
        <v>78.958529999999982</v>
      </c>
      <c r="AA27" s="32"/>
      <c r="AB27" s="32"/>
      <c r="AC27" s="281">
        <f>IFERROR(+VLOOKUP(D27,PQ!$D$35:$E$45,2,0),0)</f>
        <v>0</v>
      </c>
      <c r="AD27" s="366"/>
      <c r="AE27" s="366"/>
      <c r="AF27" s="366"/>
      <c r="AG27" s="281"/>
      <c r="AH27" s="281">
        <v>500</v>
      </c>
      <c r="AI27" s="365">
        <f t="shared" si="16"/>
        <v>578.95853</v>
      </c>
      <c r="AJ27" s="761">
        <f t="shared" si="0"/>
        <v>326.18195200000002</v>
      </c>
      <c r="AK27" s="26">
        <v>600101010744</v>
      </c>
      <c r="AL27" s="157"/>
      <c r="AN27" s="197">
        <f t="shared" si="17"/>
        <v>20</v>
      </c>
      <c r="AO27" s="25" t="str">
        <f t="shared" si="30"/>
        <v>HIDALGO CHERRES NESTOR VLADIMIR</v>
      </c>
      <c r="AP27" s="374">
        <f t="shared" si="20"/>
        <v>45308</v>
      </c>
      <c r="AQ27" s="27">
        <f t="shared" si="2"/>
        <v>30</v>
      </c>
      <c r="AR27" s="23" t="str">
        <f t="shared" si="38"/>
        <v>Durán</v>
      </c>
      <c r="AS27" s="198">
        <f t="shared" si="3"/>
        <v>835.54</v>
      </c>
      <c r="AT27" s="198">
        <f t="shared" si="10"/>
        <v>69.62833333333333</v>
      </c>
      <c r="AU27" s="198">
        <v>0</v>
      </c>
      <c r="AV27" s="198"/>
      <c r="AW27" s="198">
        <f t="shared" si="11"/>
        <v>39.166666666666664</v>
      </c>
      <c r="AX27" s="198">
        <f t="shared" si="4"/>
        <v>34.814166666666665</v>
      </c>
      <c r="AY27" s="199">
        <f t="shared" si="5"/>
        <v>979.14916666666659</v>
      </c>
      <c r="AZ27" s="198">
        <f t="shared" si="46"/>
        <v>93.162710000000004</v>
      </c>
      <c r="BA27" s="198">
        <f t="shared" si="47"/>
        <v>8.3553999999999995</v>
      </c>
      <c r="BB27" s="198">
        <f t="shared" si="48"/>
        <v>101.51811000000001</v>
      </c>
      <c r="BC27" s="200"/>
    </row>
    <row r="28" spans="1:55" s="166" customFormat="1" ht="24.6" customHeight="1">
      <c r="A28"/>
      <c r="B28" s="171">
        <f t="shared" si="12"/>
        <v>21</v>
      </c>
      <c r="C28" s="753">
        <v>943322974</v>
      </c>
      <c r="D28" s="753" t="s">
        <v>195</v>
      </c>
      <c r="E28" s="686">
        <v>45114</v>
      </c>
      <c r="F28" s="288" t="s">
        <v>469</v>
      </c>
      <c r="G28" s="23" t="s">
        <v>35</v>
      </c>
      <c r="H28" s="23" t="s">
        <v>107</v>
      </c>
      <c r="I28" s="247">
        <v>30</v>
      </c>
      <c r="J28" s="289">
        <v>473.88</v>
      </c>
      <c r="K28" s="290">
        <f>IFERROR(VLOOKUP(C28,Tabla15[[CEDULA]:[BONO VEHICULAR]],8,0),0)</f>
        <v>0</v>
      </c>
      <c r="L28" s="622">
        <v>10.3</v>
      </c>
      <c r="M28" s="291">
        <f>+VLOOKUP(C28,Tabla335[[CEDULA ]:[US$,,]],9,0)</f>
        <v>0</v>
      </c>
      <c r="N28" s="292"/>
      <c r="O28" s="292"/>
      <c r="P28" s="325">
        <f>+VLOOKUP(C28,'COMISIONES-SOCIOS'!$C$8:$L$57,10,0)</f>
        <v>0</v>
      </c>
      <c r="Q28" s="293">
        <f>+VLOOKUP(C28,Tabla3[[CEDULA ]:[US$,]],8,0)</f>
        <v>0</v>
      </c>
      <c r="R28" s="293">
        <f>+VLOOKUP($C28,Tabla3[[CEDULA ]:[US$,]],9,0)</f>
        <v>0</v>
      </c>
      <c r="S28" s="31">
        <f t="shared" si="21"/>
        <v>10.3</v>
      </c>
      <c r="T28" s="28">
        <f t="shared" si="22"/>
        <v>484.18</v>
      </c>
      <c r="U28" s="784">
        <f>VLOOKUP(C28,FR!$C$6:$M$55,11,0)</f>
        <v>40.332194000000001</v>
      </c>
      <c r="V28" s="29"/>
      <c r="W28" s="30"/>
      <c r="X28" s="30"/>
      <c r="Y28" s="31">
        <f t="shared" si="14"/>
        <v>524.51219400000002</v>
      </c>
      <c r="Z28" s="32">
        <f t="shared" si="15"/>
        <v>45.755009999999992</v>
      </c>
      <c r="AA28" s="32"/>
      <c r="AB28" s="32">
        <v>0</v>
      </c>
      <c r="AC28" s="281">
        <f>IFERROR(+VLOOKUP(D28,PQ!$D$35:$E$45,2,0),0)</f>
        <v>0</v>
      </c>
      <c r="AD28" s="366"/>
      <c r="AE28" s="366"/>
      <c r="AF28" s="366"/>
      <c r="AG28" s="281"/>
      <c r="AH28" s="281">
        <v>100</v>
      </c>
      <c r="AI28" s="365">
        <f t="shared" si="16"/>
        <v>145.75501</v>
      </c>
      <c r="AJ28" s="761">
        <f t="shared" si="0"/>
        <v>378.75718400000005</v>
      </c>
      <c r="AK28" s="26">
        <v>600201315080</v>
      </c>
      <c r="AL28" s="157"/>
      <c r="AN28" s="197">
        <f t="shared" si="17"/>
        <v>21</v>
      </c>
      <c r="AO28" s="25" t="str">
        <f t="shared" si="30"/>
        <v>JANETA RUIZ ALEXANDRA DEL ROCIO</v>
      </c>
      <c r="AP28" s="374">
        <f t="shared" si="20"/>
        <v>45114</v>
      </c>
      <c r="AQ28" s="27">
        <f t="shared" si="2"/>
        <v>30</v>
      </c>
      <c r="AR28" s="23" t="str">
        <f t="shared" si="38"/>
        <v>Norte</v>
      </c>
      <c r="AS28" s="198">
        <f t="shared" si="3"/>
        <v>484.18</v>
      </c>
      <c r="AT28" s="198">
        <f t="shared" si="10"/>
        <v>40.348333333333336</v>
      </c>
      <c r="AU28" s="198">
        <v>0</v>
      </c>
      <c r="AV28" s="198"/>
      <c r="AW28" s="198">
        <f t="shared" si="11"/>
        <v>39.166666666666664</v>
      </c>
      <c r="AX28" s="198">
        <f t="shared" si="4"/>
        <v>20.174166666666668</v>
      </c>
      <c r="AY28" s="199">
        <f t="shared" si="5"/>
        <v>583.86916666666662</v>
      </c>
      <c r="AZ28" s="198">
        <f t="shared" si="6"/>
        <v>53.986070000000005</v>
      </c>
      <c r="BA28" s="198">
        <f t="shared" si="7"/>
        <v>4.8418000000000001</v>
      </c>
      <c r="BB28" s="198">
        <f t="shared" si="8"/>
        <v>58.827870000000004</v>
      </c>
      <c r="BC28" s="200"/>
    </row>
    <row r="29" spans="1:55" s="166" customFormat="1" ht="28.95" customHeight="1">
      <c r="A29"/>
      <c r="B29" s="171">
        <f t="shared" si="12"/>
        <v>22</v>
      </c>
      <c r="C29" s="753">
        <v>941096851</v>
      </c>
      <c r="D29" s="753" t="s">
        <v>23</v>
      </c>
      <c r="E29" s="707">
        <v>43033</v>
      </c>
      <c r="F29" s="288" t="s">
        <v>351</v>
      </c>
      <c r="G29" s="23" t="s">
        <v>35</v>
      </c>
      <c r="H29" s="23" t="s">
        <v>110</v>
      </c>
      <c r="I29" s="23">
        <v>30</v>
      </c>
      <c r="J29" s="289">
        <v>700</v>
      </c>
      <c r="K29" s="290">
        <f>IFERROR(VLOOKUP(C29,Tabla15[[CEDULA]:[BONO VEHICULAR]],8,0),0)</f>
        <v>0</v>
      </c>
      <c r="L29" s="622">
        <v>0</v>
      </c>
      <c r="M29" s="291">
        <f>+VLOOKUP(C29,Tabla335[[CEDULA ]:[US$,,]],9,0)</f>
        <v>0</v>
      </c>
      <c r="N29" s="292"/>
      <c r="O29" s="292"/>
      <c r="P29" s="325">
        <f>+VLOOKUP(C29,'COMISIONES-SOCIOS'!$C$8:$L$57,10,0)</f>
        <v>0</v>
      </c>
      <c r="Q29" s="293">
        <f>+VLOOKUP(C29,Tabla3[[CEDULA ]:[US$,]],8,0)</f>
        <v>0</v>
      </c>
      <c r="R29" s="293">
        <f>+VLOOKUP($C29,Tabla3[[CEDULA ]:[US$,]],9,0)</f>
        <v>0</v>
      </c>
      <c r="S29" s="31">
        <f t="shared" si="21"/>
        <v>0</v>
      </c>
      <c r="T29" s="28">
        <f t="shared" si="22"/>
        <v>700</v>
      </c>
      <c r="U29" s="784">
        <f>VLOOKUP(C29,FR!$C$6:$M$55,11,0)</f>
        <v>58.31</v>
      </c>
      <c r="V29" s="29"/>
      <c r="W29" s="30"/>
      <c r="X29" s="30"/>
      <c r="Y29" s="31">
        <f t="shared" si="14"/>
        <v>758.31</v>
      </c>
      <c r="Z29" s="32">
        <f t="shared" si="15"/>
        <v>66.149999999999991</v>
      </c>
      <c r="AA29" s="32"/>
      <c r="AB29" s="32"/>
      <c r="AC29" s="281">
        <f>IFERROR(+VLOOKUP(D29,PQ!$D$35:$E$45,2,0),0)</f>
        <v>0</v>
      </c>
      <c r="AD29" s="366"/>
      <c r="AE29" s="366"/>
      <c r="AF29" s="366"/>
      <c r="AG29" s="281"/>
      <c r="AH29" s="281">
        <v>480.64</v>
      </c>
      <c r="AI29" s="365">
        <f t="shared" si="16"/>
        <v>546.79</v>
      </c>
      <c r="AJ29" s="761">
        <f t="shared" si="0"/>
        <v>211.51999999999998</v>
      </c>
      <c r="AK29" s="26">
        <v>600101005442</v>
      </c>
      <c r="AL29" s="157"/>
      <c r="AN29" s="197">
        <f t="shared" si="17"/>
        <v>22</v>
      </c>
      <c r="AO29" s="25" t="str">
        <f t="shared" si="30"/>
        <v>LEMA CHIRAU RAMONA MARIA</v>
      </c>
      <c r="AP29" s="374">
        <f t="shared" si="20"/>
        <v>43033</v>
      </c>
      <c r="AQ29" s="27">
        <f t="shared" si="2"/>
        <v>30</v>
      </c>
      <c r="AR29" s="23" t="str">
        <f t="shared" si="38"/>
        <v>Durán</v>
      </c>
      <c r="AS29" s="198">
        <f t="shared" si="3"/>
        <v>700</v>
      </c>
      <c r="AT29" s="198">
        <f t="shared" si="10"/>
        <v>58.333333333333336</v>
      </c>
      <c r="AU29" s="198">
        <v>0</v>
      </c>
      <c r="AV29" s="198"/>
      <c r="AW29" s="198">
        <f t="shared" si="11"/>
        <v>39.166666666666664</v>
      </c>
      <c r="AX29" s="198">
        <f t="shared" si="4"/>
        <v>29.166666666666668</v>
      </c>
      <c r="AY29" s="199">
        <f t="shared" si="5"/>
        <v>826.66666666666663</v>
      </c>
      <c r="AZ29" s="198">
        <f t="shared" si="6"/>
        <v>78.05</v>
      </c>
      <c r="BA29" s="198">
        <f t="shared" si="7"/>
        <v>7</v>
      </c>
      <c r="BB29" s="198">
        <f t="shared" si="8"/>
        <v>85.05</v>
      </c>
      <c r="BC29" s="200"/>
    </row>
    <row r="30" spans="1:55" s="166" customFormat="1" ht="28.95" customHeight="1">
      <c r="A30"/>
      <c r="B30" s="171">
        <f t="shared" si="12"/>
        <v>23</v>
      </c>
      <c r="C30" s="753">
        <v>957093800</v>
      </c>
      <c r="D30" s="753" t="s">
        <v>424</v>
      </c>
      <c r="E30" s="707">
        <v>45793</v>
      </c>
      <c r="F30" s="288" t="s">
        <v>469</v>
      </c>
      <c r="G30" s="23" t="s">
        <v>36</v>
      </c>
      <c r="H30" s="23" t="s">
        <v>110</v>
      </c>
      <c r="I30" s="23">
        <v>30</v>
      </c>
      <c r="J30" s="289">
        <v>473.88</v>
      </c>
      <c r="K30" s="290">
        <f>IFERROR(VLOOKUP(C30,Tabla15[[CEDULA]:[BONO VEHICULAR]],8,0),0)</f>
        <v>39.999999999999901</v>
      </c>
      <c r="L30" s="622"/>
      <c r="M30" s="291">
        <f>+VLOOKUP(C30,Tabla335[[CEDULA ]:[US$,,]],9,0)</f>
        <v>0</v>
      </c>
      <c r="N30" s="292"/>
      <c r="O30" s="292"/>
      <c r="P30" s="325">
        <f>+VLOOKUP(C30,'COMISIONES-SOCIOS'!$C$8:$L$57,10,0)</f>
        <v>0</v>
      </c>
      <c r="Q30" s="293">
        <f>+VLOOKUP(C30,Tabla3[[CEDULA ]:[US$,]],8,0)</f>
        <v>0</v>
      </c>
      <c r="R30" s="293">
        <f>+VLOOKUP($C30,Tabla3[[CEDULA ]:[US$,]],9,0)</f>
        <v>0</v>
      </c>
      <c r="S30" s="31">
        <f t="shared" si="21"/>
        <v>39.999999999999901</v>
      </c>
      <c r="T30" s="28">
        <f t="shared" si="22"/>
        <v>513.87999999999988</v>
      </c>
      <c r="U30" s="784">
        <f>VLOOKUP(C30,FR!$C$6:$M$55,11,0)</f>
        <v>0</v>
      </c>
      <c r="V30" s="29"/>
      <c r="W30" s="30"/>
      <c r="X30" s="30"/>
      <c r="Y30" s="31">
        <f t="shared" si="14"/>
        <v>513.87999999999988</v>
      </c>
      <c r="Z30" s="32">
        <f t="shared" si="15"/>
        <v>48.561659999999982</v>
      </c>
      <c r="AA30" s="32"/>
      <c r="AB30" s="32"/>
      <c r="AC30" s="281">
        <f>IFERROR(+VLOOKUP(D30,PQ!$D$35:$E$45,2,0),0)</f>
        <v>0</v>
      </c>
      <c r="AD30" s="366">
        <v>288.85549999999989</v>
      </c>
      <c r="AE30" s="366"/>
      <c r="AF30" s="366"/>
      <c r="AG30" s="281"/>
      <c r="AH30" s="281">
        <v>0</v>
      </c>
      <c r="AI30" s="365">
        <f t="shared" si="16"/>
        <v>337.41715999999985</v>
      </c>
      <c r="AJ30" s="761">
        <f t="shared" si="0"/>
        <v>176.46284000000003</v>
      </c>
      <c r="AK30" s="26">
        <v>600301319714</v>
      </c>
      <c r="AL30" s="157"/>
      <c r="AN30" s="197">
        <f t="shared" si="17"/>
        <v>23</v>
      </c>
      <c r="AO30" s="25" t="str">
        <f t="shared" si="30"/>
        <v>LEMA TADAY BRAYAN WIDINSON</v>
      </c>
      <c r="AP30" s="374">
        <f t="shared" si="20"/>
        <v>45793</v>
      </c>
      <c r="AQ30" s="27">
        <f t="shared" si="2"/>
        <v>30</v>
      </c>
      <c r="AR30" s="23" t="str">
        <f t="shared" si="38"/>
        <v>Durán</v>
      </c>
      <c r="AS30" s="198">
        <f t="shared" si="3"/>
        <v>513.87999999999988</v>
      </c>
      <c r="AT30" s="198">
        <f t="shared" si="10"/>
        <v>42.823333333333323</v>
      </c>
      <c r="AU30" s="682">
        <v>0</v>
      </c>
      <c r="AV30" s="198"/>
      <c r="AW30" s="198">
        <f t="shared" si="11"/>
        <v>39.166666666666664</v>
      </c>
      <c r="AX30" s="198">
        <f t="shared" si="4"/>
        <v>21.411666666666662</v>
      </c>
      <c r="AY30" s="199">
        <f t="shared" ref="AY30" si="49">SUM(AS30:AX30)</f>
        <v>617.28166666666641</v>
      </c>
      <c r="AZ30" s="198">
        <f t="shared" ref="AZ30" si="50">+AS30*11.15%</f>
        <v>57.297619999999988</v>
      </c>
      <c r="BA30" s="198">
        <f t="shared" ref="BA30" si="51">+AS30*1%</f>
        <v>5.1387999999999989</v>
      </c>
      <c r="BB30" s="198">
        <f t="shared" ref="BB30" si="52">SUM(AZ30:BA30)</f>
        <v>62.436419999999984</v>
      </c>
      <c r="BC30" s="200"/>
    </row>
    <row r="31" spans="1:55" ht="24.6" customHeight="1">
      <c r="A31" s="33"/>
      <c r="B31" s="171">
        <f t="shared" si="12"/>
        <v>24</v>
      </c>
      <c r="C31" s="753">
        <v>957924350</v>
      </c>
      <c r="D31" s="753" t="s">
        <v>418</v>
      </c>
      <c r="E31" s="686">
        <v>45727</v>
      </c>
      <c r="F31" s="288" t="s">
        <v>349</v>
      </c>
      <c r="G31" s="23" t="s">
        <v>36</v>
      </c>
      <c r="H31" s="23" t="s">
        <v>104</v>
      </c>
      <c r="I31" s="247">
        <v>30</v>
      </c>
      <c r="J31" s="289">
        <v>481</v>
      </c>
      <c r="K31" s="290">
        <f>IFERROR(VLOOKUP(C31,Tabla15[[CEDULA]:[BONO VEHICULAR]],8,0),0)</f>
        <v>0</v>
      </c>
      <c r="L31" s="622"/>
      <c r="M31" s="291">
        <f>+VLOOKUP(C31,Tabla335[[CEDULA ]:[US$,,]],9,0)</f>
        <v>0</v>
      </c>
      <c r="N31" s="292"/>
      <c r="O31" s="292"/>
      <c r="P31" s="325">
        <f>+VLOOKUP(C31,'COMISIONES-SOCIOS'!$C$8:$L$57,10,0)</f>
        <v>0</v>
      </c>
      <c r="Q31" s="293">
        <f>+VLOOKUP(C31,Tabla3[[CEDULA ]:[US$,]],8,0)</f>
        <v>0</v>
      </c>
      <c r="R31" s="293">
        <f>+VLOOKUP($C31,Tabla3[[CEDULA ]:[US$,]],9,0)</f>
        <v>0</v>
      </c>
      <c r="S31" s="31">
        <f t="shared" si="21"/>
        <v>0</v>
      </c>
      <c r="T31" s="28">
        <f t="shared" si="22"/>
        <v>481</v>
      </c>
      <c r="U31" s="784">
        <f>VLOOKUP(C31,FR!$C$6:$M$55,11,0)</f>
        <v>0</v>
      </c>
      <c r="V31" s="29"/>
      <c r="W31" s="30"/>
      <c r="X31" s="30"/>
      <c r="Y31" s="31">
        <f t="shared" si="14"/>
        <v>481</v>
      </c>
      <c r="Z31" s="32">
        <f t="shared" si="15"/>
        <v>45.454499999999996</v>
      </c>
      <c r="AA31" s="32"/>
      <c r="AB31" s="32"/>
      <c r="AC31" s="281">
        <f>IFERROR(+VLOOKUP(D31,PQ!$D$35:$E$45,2,0),0)</f>
        <v>0</v>
      </c>
      <c r="AD31" s="281"/>
      <c r="AE31" s="281"/>
      <c r="AF31" s="281"/>
      <c r="AG31" s="281"/>
      <c r="AH31" s="281">
        <v>0</v>
      </c>
      <c r="AI31" s="365">
        <f t="shared" si="16"/>
        <v>45.454499999999996</v>
      </c>
      <c r="AJ31" s="761">
        <f t="shared" si="0"/>
        <v>435.5455</v>
      </c>
      <c r="AK31" s="26">
        <v>600101000665</v>
      </c>
      <c r="AL31" s="157"/>
      <c r="AN31" s="197">
        <f t="shared" si="17"/>
        <v>24</v>
      </c>
      <c r="AO31" s="25" t="str">
        <f t="shared" si="30"/>
        <v>LLUMI YUQUILEMA MAYCOOL DANNY</v>
      </c>
      <c r="AP31" s="374">
        <f t="shared" si="20"/>
        <v>45727</v>
      </c>
      <c r="AQ31" s="27">
        <f t="shared" si="2"/>
        <v>30</v>
      </c>
      <c r="AR31" s="23" t="str">
        <f t="shared" si="38"/>
        <v>Matriz</v>
      </c>
      <c r="AS31" s="198">
        <f t="shared" si="3"/>
        <v>481</v>
      </c>
      <c r="AT31" s="198">
        <f t="shared" si="10"/>
        <v>40.083333333333336</v>
      </c>
      <c r="AU31" s="198">
        <v>0</v>
      </c>
      <c r="AV31" s="198"/>
      <c r="AW31" s="198">
        <f t="shared" si="11"/>
        <v>39.166666666666664</v>
      </c>
      <c r="AX31" s="198">
        <f t="shared" si="4"/>
        <v>20.041666666666668</v>
      </c>
      <c r="AY31" s="199">
        <f>SUM(AS31:AX31)</f>
        <v>580.29166666666663</v>
      </c>
      <c r="AZ31" s="198">
        <f t="shared" si="6"/>
        <v>53.631500000000003</v>
      </c>
      <c r="BA31" s="198">
        <f t="shared" si="7"/>
        <v>4.8100000000000005</v>
      </c>
      <c r="BB31" s="198">
        <f t="shared" si="8"/>
        <v>58.441500000000005</v>
      </c>
      <c r="BC31" s="200"/>
    </row>
    <row r="32" spans="1:55" ht="24.6" customHeight="1">
      <c r="A32" s="33"/>
      <c r="B32" s="171">
        <f t="shared" si="12"/>
        <v>25</v>
      </c>
      <c r="C32" s="753">
        <v>603838657</v>
      </c>
      <c r="D32" s="753" t="s">
        <v>68</v>
      </c>
      <c r="E32" s="686">
        <v>44835</v>
      </c>
      <c r="F32" s="288" t="s">
        <v>469</v>
      </c>
      <c r="G32" s="23" t="s">
        <v>36</v>
      </c>
      <c r="H32" s="23" t="s">
        <v>110</v>
      </c>
      <c r="I32" s="247">
        <v>30</v>
      </c>
      <c r="J32" s="289">
        <v>473.88</v>
      </c>
      <c r="K32" s="290">
        <f>IFERROR(VLOOKUP(C32,Tabla15[[CEDULA]:[BONO VEHICULAR]],8,0),0)</f>
        <v>200</v>
      </c>
      <c r="L32" s="622">
        <v>10.3</v>
      </c>
      <c r="M32" s="291">
        <f>+VLOOKUP(C32,Tabla335[[CEDULA ]:[US$,,]],9,0)</f>
        <v>0</v>
      </c>
      <c r="N32" s="292"/>
      <c r="O32" s="292"/>
      <c r="P32" s="325">
        <f>+VLOOKUP(C32,'COMISIONES-SOCIOS'!$C$8:$L$57,10,0)</f>
        <v>0</v>
      </c>
      <c r="Q32" s="293">
        <f>+VLOOKUP(C32,Tabla3[[CEDULA ]:[US$,]],8,0)</f>
        <v>0</v>
      </c>
      <c r="R32" s="293">
        <f>+VLOOKUP($C32,Tabla3[[CEDULA ]:[US$,]],9,0)</f>
        <v>0</v>
      </c>
      <c r="S32" s="31">
        <f t="shared" si="21"/>
        <v>210.3</v>
      </c>
      <c r="T32" s="28">
        <f t="shared" si="22"/>
        <v>684.18000000000006</v>
      </c>
      <c r="U32" s="784">
        <f>VLOOKUP(C32,FR!$C$6:$M$55,11,0)</f>
        <v>56.992194000000005</v>
      </c>
      <c r="V32" s="29"/>
      <c r="W32" s="30"/>
      <c r="X32" s="30"/>
      <c r="Y32" s="31">
        <f t="shared" si="14"/>
        <v>741.1721940000001</v>
      </c>
      <c r="Z32" s="32">
        <f t="shared" si="15"/>
        <v>64.65500999999999</v>
      </c>
      <c r="AA32" s="32"/>
      <c r="AB32" s="32"/>
      <c r="AC32" s="281">
        <f>IFERROR(+VLOOKUP(D32,PQ!$D$35:$E$45,2,0),0)</f>
        <v>36.130000000000003</v>
      </c>
      <c r="AD32" s="281"/>
      <c r="AE32" s="281"/>
      <c r="AF32" s="281"/>
      <c r="AG32" s="281"/>
      <c r="AH32" s="281">
        <v>400</v>
      </c>
      <c r="AI32" s="365">
        <f t="shared" si="16"/>
        <v>500.78501</v>
      </c>
      <c r="AJ32" s="761">
        <f t="shared" si="0"/>
        <v>240.3871840000001</v>
      </c>
      <c r="AK32" s="26">
        <v>600101000624</v>
      </c>
      <c r="AL32" s="157"/>
      <c r="AN32" s="197">
        <f t="shared" si="17"/>
        <v>25</v>
      </c>
      <c r="AO32" s="25" t="str">
        <f t="shared" si="30"/>
        <v>MALAN DELGADO JOSE ALBERTO</v>
      </c>
      <c r="AP32" s="374">
        <f t="shared" si="20"/>
        <v>44835</v>
      </c>
      <c r="AQ32" s="27">
        <f t="shared" si="2"/>
        <v>30</v>
      </c>
      <c r="AR32" s="23" t="str">
        <f t="shared" si="38"/>
        <v>Durán</v>
      </c>
      <c r="AS32" s="198">
        <f t="shared" si="3"/>
        <v>684.18000000000006</v>
      </c>
      <c r="AT32" s="198">
        <f t="shared" si="10"/>
        <v>57.015000000000008</v>
      </c>
      <c r="AU32" s="198">
        <v>0</v>
      </c>
      <c r="AV32" s="198"/>
      <c r="AW32" s="198">
        <f t="shared" si="11"/>
        <v>39.166666666666664</v>
      </c>
      <c r="AX32" s="198">
        <f t="shared" si="4"/>
        <v>28.507500000000004</v>
      </c>
      <c r="AY32" s="199">
        <f t="shared" ref="AY32" si="53">SUM(AS32:AX32)</f>
        <v>808.86916666666673</v>
      </c>
      <c r="AZ32" s="198">
        <f t="shared" si="6"/>
        <v>76.286070000000009</v>
      </c>
      <c r="BA32" s="198">
        <f t="shared" si="7"/>
        <v>6.841800000000001</v>
      </c>
      <c r="BB32" s="198">
        <f t="shared" si="8"/>
        <v>83.127870000000016</v>
      </c>
      <c r="BC32" s="200"/>
    </row>
    <row r="33" spans="1:55" ht="22.8" customHeight="1">
      <c r="A33" s="33"/>
      <c r="B33" s="171">
        <f t="shared" si="12"/>
        <v>26</v>
      </c>
      <c r="C33" s="753">
        <v>925240525</v>
      </c>
      <c r="D33" s="753" t="s">
        <v>54</v>
      </c>
      <c r="E33" s="686">
        <v>38869</v>
      </c>
      <c r="F33" s="288" t="s">
        <v>111</v>
      </c>
      <c r="G33" s="37" t="s">
        <v>36</v>
      </c>
      <c r="H33" s="37" t="s">
        <v>104</v>
      </c>
      <c r="I33" s="247">
        <v>30</v>
      </c>
      <c r="J33" s="289">
        <v>2700</v>
      </c>
      <c r="K33" s="290">
        <f>IFERROR(VLOOKUP(C33,Tabla15[[CEDULA]:[BONO VEHICULAR]],8,0),0)</f>
        <v>0</v>
      </c>
      <c r="L33" s="622">
        <v>0</v>
      </c>
      <c r="M33" s="291">
        <f>+VLOOKUP(C33,Tabla335[[CEDULA ]:[US$,,]],9,0)</f>
        <v>0</v>
      </c>
      <c r="N33" s="292"/>
      <c r="O33" s="292"/>
      <c r="P33" s="325">
        <f>+VLOOKUP(C33,'COMISIONES-SOCIOS'!$C$8:$L$57,10,0)</f>
        <v>0</v>
      </c>
      <c r="Q33" s="293">
        <f>+VLOOKUP(C33,Tabla3[[CEDULA ]:[US$,]],8,0)</f>
        <v>0</v>
      </c>
      <c r="R33" s="293">
        <f>+VLOOKUP($C33,Tabla3[[CEDULA ]:[US$,]],9,0)</f>
        <v>0</v>
      </c>
      <c r="S33" s="31">
        <f t="shared" si="21"/>
        <v>0</v>
      </c>
      <c r="T33" s="28">
        <f t="shared" si="22"/>
        <v>2700</v>
      </c>
      <c r="U33" s="784">
        <f>VLOOKUP(C33,FR!$C$6:$M$55,11,0)</f>
        <v>224.91</v>
      </c>
      <c r="V33" s="29"/>
      <c r="W33" s="507">
        <f>(+T33/12)</f>
        <v>225</v>
      </c>
      <c r="X33" s="507">
        <f>(470/12)</f>
        <v>39.166666666666664</v>
      </c>
      <c r="Y33" s="31">
        <f t="shared" si="14"/>
        <v>3189.0766666666664</v>
      </c>
      <c r="Z33" s="32">
        <f t="shared" si="15"/>
        <v>255.14999999999998</v>
      </c>
      <c r="AA33" s="32">
        <v>51.88</v>
      </c>
      <c r="AB33" s="32">
        <v>0</v>
      </c>
      <c r="AC33" s="281">
        <f>IFERROR(+VLOOKUP(D33,PQ!$D$35:$E$45,2,0),0)</f>
        <v>0</v>
      </c>
      <c r="AD33" s="281"/>
      <c r="AE33" s="281"/>
      <c r="AF33" s="281"/>
      <c r="AG33" s="281"/>
      <c r="AH33" s="281">
        <v>0</v>
      </c>
      <c r="AI33" s="365">
        <f t="shared" si="16"/>
        <v>307.02999999999997</v>
      </c>
      <c r="AJ33" s="761">
        <f t="shared" si="0"/>
        <v>2882.0466666666662</v>
      </c>
      <c r="AK33" s="26">
        <v>600101000359</v>
      </c>
      <c r="AL33" s="158"/>
      <c r="AN33" s="197">
        <f t="shared" si="17"/>
        <v>26</v>
      </c>
      <c r="AO33" s="25" t="str">
        <f t="shared" si="30"/>
        <v>MALAN YUQUILEMA RAUL ALBERTO</v>
      </c>
      <c r="AP33" s="374">
        <f t="shared" si="20"/>
        <v>38869</v>
      </c>
      <c r="AQ33" s="27">
        <f t="shared" si="2"/>
        <v>30</v>
      </c>
      <c r="AR33" s="23" t="str">
        <f t="shared" si="38"/>
        <v>Matriz</v>
      </c>
      <c r="AS33" s="198">
        <f t="shared" si="3"/>
        <v>2700</v>
      </c>
      <c r="AT33" s="198">
        <v>0</v>
      </c>
      <c r="AU33" s="682">
        <v>0</v>
      </c>
      <c r="AV33" s="682"/>
      <c r="AW33" s="682">
        <v>0</v>
      </c>
      <c r="AX33" s="198">
        <f t="shared" si="4"/>
        <v>112.5</v>
      </c>
      <c r="AY33" s="199">
        <f t="shared" si="5"/>
        <v>2812.5</v>
      </c>
      <c r="AZ33" s="198">
        <f t="shared" si="6"/>
        <v>301.05</v>
      </c>
      <c r="BA33" s="198">
        <f t="shared" si="7"/>
        <v>27</v>
      </c>
      <c r="BB33" s="198">
        <f t="shared" si="8"/>
        <v>328.05</v>
      </c>
      <c r="BC33" s="200"/>
    </row>
    <row r="34" spans="1:55" ht="24" customHeight="1">
      <c r="B34" s="171">
        <f t="shared" si="12"/>
        <v>27</v>
      </c>
      <c r="C34" s="753">
        <v>954520599</v>
      </c>
      <c r="D34" s="753" t="s">
        <v>66</v>
      </c>
      <c r="E34" s="686">
        <v>44743</v>
      </c>
      <c r="F34" s="288" t="s">
        <v>349</v>
      </c>
      <c r="G34" s="37" t="s">
        <v>35</v>
      </c>
      <c r="H34" s="37" t="s">
        <v>110</v>
      </c>
      <c r="I34" s="247">
        <v>30</v>
      </c>
      <c r="J34" s="289">
        <v>613.32000000000005</v>
      </c>
      <c r="K34" s="290">
        <f>IFERROR(VLOOKUP(C34,Tabla15[[CEDULA]:[BONO VEHICULAR]],8,0),0)</f>
        <v>0</v>
      </c>
      <c r="L34" s="622">
        <v>13.33</v>
      </c>
      <c r="M34" s="291">
        <f>+VLOOKUP(C34,Tabla335[[CEDULA ]:[US$,,]],9,0)</f>
        <v>0</v>
      </c>
      <c r="N34" s="292"/>
      <c r="O34" s="292"/>
      <c r="P34" s="325">
        <f>+VLOOKUP(C34,'COMISIONES-SOCIOS'!$C$8:$L$57,10,0)</f>
        <v>0</v>
      </c>
      <c r="Q34" s="293">
        <f>+VLOOKUP(C34,Tabla3[[CEDULA ]:[US$,]],8,0)</f>
        <v>0</v>
      </c>
      <c r="R34" s="293">
        <f>+VLOOKUP($C34,Tabla3[[CEDULA ]:[US$,]],9,0)</f>
        <v>0</v>
      </c>
      <c r="S34" s="31">
        <f t="shared" si="21"/>
        <v>13.33</v>
      </c>
      <c r="T34" s="28">
        <f t="shared" si="22"/>
        <v>626.65000000000009</v>
      </c>
      <c r="U34" s="784">
        <f>VLOOKUP(C34,FR!$C$6:$M$55,11,0)</f>
        <v>52.199945000000007</v>
      </c>
      <c r="V34" s="29"/>
      <c r="W34" s="30"/>
      <c r="X34" s="30"/>
      <c r="Y34" s="31">
        <f t="shared" si="14"/>
        <v>678.84994500000005</v>
      </c>
      <c r="Z34" s="32">
        <f t="shared" si="15"/>
        <v>59.218425000000003</v>
      </c>
      <c r="AA34" s="32"/>
      <c r="AB34" s="32"/>
      <c r="AC34" s="281">
        <f>IFERROR(+VLOOKUP(D34,PQ!$D$35:$E$45,2,0),0)</f>
        <v>27.17</v>
      </c>
      <c r="AD34" s="281"/>
      <c r="AE34" s="281"/>
      <c r="AF34" s="281"/>
      <c r="AG34" s="281"/>
      <c r="AH34" s="281">
        <v>500</v>
      </c>
      <c r="AI34" s="365">
        <f t="shared" si="16"/>
        <v>586.38842499999998</v>
      </c>
      <c r="AJ34" s="761">
        <f t="shared" si="0"/>
        <v>92.461520000000064</v>
      </c>
      <c r="AK34" s="26">
        <v>600201312163</v>
      </c>
      <c r="AL34" s="158"/>
      <c r="AN34" s="197">
        <f t="shared" si="17"/>
        <v>27</v>
      </c>
      <c r="AO34" s="25" t="str">
        <f t="shared" si="30"/>
        <v>MARSHALL VEGA YULIANA LISSETT</v>
      </c>
      <c r="AP34" s="374">
        <f t="shared" si="20"/>
        <v>44743</v>
      </c>
      <c r="AQ34" s="27">
        <f t="shared" si="2"/>
        <v>30</v>
      </c>
      <c r="AR34" s="23" t="str">
        <f t="shared" si="38"/>
        <v>Durán</v>
      </c>
      <c r="AS34" s="198">
        <f t="shared" si="3"/>
        <v>626.65000000000009</v>
      </c>
      <c r="AT34" s="198">
        <f t="shared" si="10"/>
        <v>52.220833333333339</v>
      </c>
      <c r="AU34" s="198">
        <v>0</v>
      </c>
      <c r="AV34" s="198"/>
      <c r="AW34" s="198">
        <f t="shared" ref="AW34:AW57" si="54">($AW$7/360)*AQ34</f>
        <v>39.166666666666664</v>
      </c>
      <c r="AX34" s="198">
        <f t="shared" si="4"/>
        <v>26.110416666666669</v>
      </c>
      <c r="AY34" s="199">
        <f t="shared" si="5"/>
        <v>744.14791666666667</v>
      </c>
      <c r="AZ34" s="198">
        <f t="shared" si="6"/>
        <v>69.871475000000018</v>
      </c>
      <c r="BA34" s="198">
        <f t="shared" si="7"/>
        <v>6.2665000000000006</v>
      </c>
      <c r="BB34" s="198">
        <f t="shared" si="8"/>
        <v>76.137975000000012</v>
      </c>
      <c r="BC34" s="200"/>
    </row>
    <row r="35" spans="1:55" ht="24.6" customHeight="1">
      <c r="B35" s="171">
        <f t="shared" si="12"/>
        <v>28</v>
      </c>
      <c r="C35" s="753" t="s">
        <v>281</v>
      </c>
      <c r="D35" s="753" t="s">
        <v>280</v>
      </c>
      <c r="E35" s="686">
        <v>45524</v>
      </c>
      <c r="F35" s="288" t="s">
        <v>469</v>
      </c>
      <c r="G35" s="37" t="s">
        <v>36</v>
      </c>
      <c r="H35" s="37" t="s">
        <v>107</v>
      </c>
      <c r="I35" s="247">
        <v>30</v>
      </c>
      <c r="J35" s="289">
        <v>473.88</v>
      </c>
      <c r="K35" s="290">
        <f>IFERROR(VLOOKUP(C35,Tabla15[[CEDULA]:[BONO VEHICULAR]],8,0),0)</f>
        <v>100</v>
      </c>
      <c r="L35" s="622">
        <v>10.3</v>
      </c>
      <c r="M35" s="291">
        <f>+VLOOKUP(C35,Tabla335[[CEDULA ]:[US$,,]],9,0)</f>
        <v>0</v>
      </c>
      <c r="N35" s="292"/>
      <c r="O35" s="292"/>
      <c r="P35" s="325">
        <f>+VLOOKUP(C35,'COMISIONES-SOCIOS'!$C$8:$L$57,10,0)</f>
        <v>0</v>
      </c>
      <c r="Q35" s="293">
        <f>+VLOOKUP(C35,Tabla3[[CEDULA ]:[US$,]],8,0)</f>
        <v>0</v>
      </c>
      <c r="R35" s="293">
        <f>+VLOOKUP($C35,Tabla3[[CEDULA ]:[US$,]],9,0)</f>
        <v>0</v>
      </c>
      <c r="S35" s="31">
        <f t="shared" si="21"/>
        <v>110.3</v>
      </c>
      <c r="T35" s="28">
        <f t="shared" si="22"/>
        <v>584.17999999999995</v>
      </c>
      <c r="U35" s="784">
        <f>VLOOKUP(C35,FR!$C$6:$M$55,11,0)</f>
        <v>48.662193999999992</v>
      </c>
      <c r="V35" s="29"/>
      <c r="W35" s="30"/>
      <c r="X35" s="30"/>
      <c r="Y35" s="31">
        <f t="shared" si="14"/>
        <v>632.84219399999995</v>
      </c>
      <c r="Z35" s="32">
        <f t="shared" si="15"/>
        <v>55.205009999999987</v>
      </c>
      <c r="AA35" s="32"/>
      <c r="AB35" s="32"/>
      <c r="AC35" s="281">
        <f>IFERROR(+VLOOKUP(D35,PQ!$D$35:$E$45,2,0),0)</f>
        <v>0</v>
      </c>
      <c r="AD35" s="366">
        <v>0</v>
      </c>
      <c r="AE35" s="366"/>
      <c r="AF35" s="366"/>
      <c r="AG35" s="366"/>
      <c r="AH35" s="366">
        <v>300</v>
      </c>
      <c r="AI35" s="365">
        <f t="shared" si="16"/>
        <v>355.20501000000002</v>
      </c>
      <c r="AJ35" s="761">
        <f t="shared" si="0"/>
        <v>277.63718399999993</v>
      </c>
      <c r="AK35" s="26">
        <v>600201318181</v>
      </c>
      <c r="AL35" s="158"/>
      <c r="AN35" s="197">
        <f t="shared" si="17"/>
        <v>28</v>
      </c>
      <c r="AO35" s="25" t="str">
        <f t="shared" si="30"/>
        <v>MEZA RODRIGUEZ MICHAEL FERNANDO</v>
      </c>
      <c r="AP35" s="374">
        <f t="shared" si="20"/>
        <v>45524</v>
      </c>
      <c r="AQ35" s="27">
        <f t="shared" si="2"/>
        <v>30</v>
      </c>
      <c r="AR35" s="23" t="str">
        <f t="shared" si="38"/>
        <v>Norte</v>
      </c>
      <c r="AS35" s="198">
        <f t="shared" si="3"/>
        <v>584.17999999999995</v>
      </c>
      <c r="AT35" s="198">
        <f t="shared" si="10"/>
        <v>48.681666666666665</v>
      </c>
      <c r="AU35" s="198">
        <v>0</v>
      </c>
      <c r="AV35" s="198"/>
      <c r="AW35" s="198">
        <f t="shared" si="54"/>
        <v>39.166666666666664</v>
      </c>
      <c r="AX35" s="198">
        <f t="shared" si="4"/>
        <v>24.340833333333332</v>
      </c>
      <c r="AY35" s="199">
        <f t="shared" si="5"/>
        <v>696.3691666666665</v>
      </c>
      <c r="AZ35" s="198">
        <f t="shared" si="6"/>
        <v>65.136069999999989</v>
      </c>
      <c r="BA35" s="198">
        <f t="shared" si="7"/>
        <v>5.8417999999999992</v>
      </c>
      <c r="BB35" s="198">
        <f t="shared" si="8"/>
        <v>70.977869999999996</v>
      </c>
      <c r="BC35" s="200"/>
    </row>
    <row r="36" spans="1:55" ht="24.6" customHeight="1">
      <c r="B36" s="171">
        <f t="shared" si="12"/>
        <v>29</v>
      </c>
      <c r="C36" s="753" t="s">
        <v>245</v>
      </c>
      <c r="D36" s="753" t="s">
        <v>246</v>
      </c>
      <c r="E36" s="686">
        <v>45376</v>
      </c>
      <c r="F36" s="288" t="s">
        <v>112</v>
      </c>
      <c r="G36" s="37" t="s">
        <v>36</v>
      </c>
      <c r="H36" s="37" t="s">
        <v>104</v>
      </c>
      <c r="I36" s="247">
        <v>30</v>
      </c>
      <c r="J36" s="289">
        <v>600</v>
      </c>
      <c r="K36" s="290">
        <f>IFERROR(VLOOKUP(C36,Tabla15[[CEDULA]:[BONO VEHICULAR]],8,0),0)</f>
        <v>0</v>
      </c>
      <c r="L36" s="622">
        <f>200+13.044</f>
        <v>213.04400000000001</v>
      </c>
      <c r="M36" s="291">
        <f>+VLOOKUP(C36,Tabla335[[CEDULA ]:[US$,,]],9,0)</f>
        <v>0</v>
      </c>
      <c r="N36" s="292"/>
      <c r="O36" s="292"/>
      <c r="P36" s="325">
        <f>+VLOOKUP(C36,'COMISIONES-SOCIOS'!$C$8:$L$57,10,0)</f>
        <v>0</v>
      </c>
      <c r="Q36" s="293">
        <f>+VLOOKUP(C36,Tabla3[[CEDULA ]:[US$,]],8,0)</f>
        <v>0</v>
      </c>
      <c r="R36" s="293">
        <f>+VLOOKUP($C36,Tabla3[[CEDULA ]:[US$,]],9,0)</f>
        <v>0</v>
      </c>
      <c r="S36" s="31">
        <f t="shared" si="21"/>
        <v>213.04400000000001</v>
      </c>
      <c r="T36" s="28">
        <f t="shared" si="22"/>
        <v>813.04399999999998</v>
      </c>
      <c r="U36" s="784">
        <f>VLOOKUP(C36,FR!$C$6:$M$55,11,0)</f>
        <v>67.726565199999996</v>
      </c>
      <c r="V36" s="29"/>
      <c r="W36" s="30"/>
      <c r="X36" s="30"/>
      <c r="Y36" s="31">
        <f t="shared" si="14"/>
        <v>880.77056519999996</v>
      </c>
      <c r="Z36" s="32">
        <f t="shared" si="15"/>
        <v>76.832657999999981</v>
      </c>
      <c r="AA36" s="32"/>
      <c r="AB36" s="32"/>
      <c r="AC36" s="281">
        <f>IFERROR(+VLOOKUP(D36,PQ!$D$35:$E$45,2,0),0)</f>
        <v>0</v>
      </c>
      <c r="AD36" s="281"/>
      <c r="AE36" s="399">
        <f>+T36*3.41%</f>
        <v>27.724800399999999</v>
      </c>
      <c r="AF36" s="281"/>
      <c r="AG36" s="281"/>
      <c r="AH36" s="281">
        <v>550</v>
      </c>
      <c r="AI36" s="365">
        <f t="shared" si="16"/>
        <v>654.55745839999997</v>
      </c>
      <c r="AJ36" s="761">
        <f t="shared" si="0"/>
        <v>226.21310679999999</v>
      </c>
      <c r="AK36" s="26">
        <v>600101317150</v>
      </c>
      <c r="AL36" s="158"/>
      <c r="AN36" s="197">
        <f t="shared" si="17"/>
        <v>29</v>
      </c>
      <c r="AO36" s="25" t="str">
        <f t="shared" si="30"/>
        <v>MORAN GARCIA DANNY FAVIAN</v>
      </c>
      <c r="AP36" s="374">
        <f t="shared" si="20"/>
        <v>45376</v>
      </c>
      <c r="AQ36" s="27">
        <f t="shared" si="2"/>
        <v>30</v>
      </c>
      <c r="AR36" s="23" t="str">
        <f t="shared" si="38"/>
        <v>Matriz</v>
      </c>
      <c r="AS36" s="198">
        <f t="shared" si="3"/>
        <v>813.04399999999998</v>
      </c>
      <c r="AT36" s="198">
        <f t="shared" si="10"/>
        <v>67.75366666666666</v>
      </c>
      <c r="AU36" s="198">
        <v>0</v>
      </c>
      <c r="AV36" s="198"/>
      <c r="AW36" s="198">
        <f t="shared" si="54"/>
        <v>39.166666666666664</v>
      </c>
      <c r="AX36" s="198">
        <f t="shared" si="4"/>
        <v>33.87683333333333</v>
      </c>
      <c r="AY36" s="199">
        <f t="shared" si="5"/>
        <v>953.8411666666666</v>
      </c>
      <c r="AZ36" s="198">
        <f t="shared" si="6"/>
        <v>90.654405999999994</v>
      </c>
      <c r="BA36" s="198">
        <f t="shared" si="7"/>
        <v>8.1304400000000001</v>
      </c>
      <c r="BB36" s="198">
        <f t="shared" si="8"/>
        <v>98.784845999999987</v>
      </c>
      <c r="BC36" s="200"/>
    </row>
    <row r="37" spans="1:55" ht="24.6" customHeight="1">
      <c r="A37" s="33"/>
      <c r="B37" s="171">
        <f t="shared" si="12"/>
        <v>30</v>
      </c>
      <c r="C37" s="753" t="s">
        <v>332</v>
      </c>
      <c r="D37" s="753" t="s">
        <v>315</v>
      </c>
      <c r="E37" s="686">
        <v>45551</v>
      </c>
      <c r="F37" s="288" t="s">
        <v>106</v>
      </c>
      <c r="G37" s="37" t="s">
        <v>35</v>
      </c>
      <c r="H37" s="37" t="s">
        <v>110</v>
      </c>
      <c r="I37" s="247">
        <v>30</v>
      </c>
      <c r="J37" s="289">
        <v>481</v>
      </c>
      <c r="K37" s="290">
        <f>IFERROR(VLOOKUP(C37,Tabla15[[CEDULA]:[BONO VEHICULAR]],8,0),0)</f>
        <v>0</v>
      </c>
      <c r="L37" s="622">
        <v>10.46</v>
      </c>
      <c r="M37" s="291">
        <f>+VLOOKUP(C37,Tabla335[[CEDULA ]:[US$,,]],9,0)</f>
        <v>0</v>
      </c>
      <c r="N37" s="292"/>
      <c r="O37" s="292"/>
      <c r="P37" s="325">
        <f>+VLOOKUP(C37,'COMISIONES-SOCIOS'!$C$8:$L$57,10,0)</f>
        <v>0</v>
      </c>
      <c r="Q37" s="293">
        <f>+VLOOKUP(C37,Tabla3[[CEDULA ]:[US$,]],8,0)</f>
        <v>0</v>
      </c>
      <c r="R37" s="293">
        <f>+VLOOKUP($C37,Tabla3[[CEDULA ]:[US$,]],9,0)</f>
        <v>0</v>
      </c>
      <c r="S37" s="31">
        <f t="shared" si="21"/>
        <v>10.46</v>
      </c>
      <c r="T37" s="28">
        <f t="shared" si="22"/>
        <v>491.46</v>
      </c>
      <c r="U37" s="784">
        <f>VLOOKUP(C37,FR!$C$6:$M$55,11,0)</f>
        <v>19.104688399999997</v>
      </c>
      <c r="V37" s="29"/>
      <c r="W37" s="30"/>
      <c r="X37" s="30"/>
      <c r="Y37" s="31">
        <f t="shared" si="14"/>
        <v>510.56468839999997</v>
      </c>
      <c r="Z37" s="32">
        <f t="shared" si="15"/>
        <v>46.442969999999988</v>
      </c>
      <c r="AA37" s="32"/>
      <c r="AB37" s="32"/>
      <c r="AC37" s="281">
        <f>IFERROR(+VLOOKUP(D37,PQ!$D$35:$E$45,2,0),0)</f>
        <v>35.22</v>
      </c>
      <c r="AD37" s="281"/>
      <c r="AE37" s="399"/>
      <c r="AF37" s="281"/>
      <c r="AG37" s="281">
        <v>0</v>
      </c>
      <c r="AH37" s="281">
        <v>332.13</v>
      </c>
      <c r="AI37" s="365">
        <f t="shared" si="16"/>
        <v>413.79296999999997</v>
      </c>
      <c r="AJ37" s="761">
        <f t="shared" si="0"/>
        <v>96.771718399999997</v>
      </c>
      <c r="AK37" s="26">
        <v>600301318316</v>
      </c>
      <c r="AL37" s="158"/>
      <c r="AN37" s="197">
        <f t="shared" si="17"/>
        <v>30</v>
      </c>
      <c r="AO37" s="25" t="str">
        <f t="shared" si="30"/>
        <v>MOREIRA ESPINOZA LINDA ELIZABETH</v>
      </c>
      <c r="AP37" s="374">
        <f t="shared" si="20"/>
        <v>45551</v>
      </c>
      <c r="AQ37" s="27">
        <f t="shared" si="2"/>
        <v>30</v>
      </c>
      <c r="AR37" s="23" t="str">
        <f t="shared" si="38"/>
        <v>Durán</v>
      </c>
      <c r="AS37" s="198">
        <f t="shared" si="3"/>
        <v>491.46</v>
      </c>
      <c r="AT37" s="198">
        <f t="shared" si="10"/>
        <v>40.954999999999998</v>
      </c>
      <c r="AU37" s="198">
        <v>0</v>
      </c>
      <c r="AV37" s="198"/>
      <c r="AW37" s="198">
        <f t="shared" si="54"/>
        <v>39.166666666666664</v>
      </c>
      <c r="AX37" s="198">
        <f t="shared" si="4"/>
        <v>20.477499999999999</v>
      </c>
      <c r="AY37" s="199">
        <f t="shared" si="5"/>
        <v>592.05916666666656</v>
      </c>
      <c r="AZ37" s="198">
        <f t="shared" si="6"/>
        <v>54.797789999999999</v>
      </c>
      <c r="BA37" s="198">
        <f t="shared" si="7"/>
        <v>4.9146000000000001</v>
      </c>
      <c r="BB37" s="198">
        <f t="shared" si="8"/>
        <v>59.712389999999999</v>
      </c>
      <c r="BC37" s="200"/>
    </row>
    <row r="38" spans="1:55" s="36" customFormat="1" ht="24.6" customHeight="1">
      <c r="A38" s="33"/>
      <c r="B38" s="171">
        <f t="shared" si="12"/>
        <v>31</v>
      </c>
      <c r="C38" s="753">
        <v>955395686</v>
      </c>
      <c r="D38" s="753" t="s">
        <v>43</v>
      </c>
      <c r="E38" s="686">
        <v>44211</v>
      </c>
      <c r="F38" s="288" t="s">
        <v>349</v>
      </c>
      <c r="G38" s="23" t="s">
        <v>35</v>
      </c>
      <c r="H38" s="23" t="s">
        <v>107</v>
      </c>
      <c r="I38" s="247">
        <v>30</v>
      </c>
      <c r="J38" s="289">
        <v>613.32000000000005</v>
      </c>
      <c r="K38" s="290">
        <f>IFERROR(VLOOKUP(C38,Tabla15[[CEDULA]:[BONO VEHICULAR]],8,0),0)</f>
        <v>0</v>
      </c>
      <c r="L38" s="622">
        <v>13.33</v>
      </c>
      <c r="M38" s="291">
        <f>+VLOOKUP(C38,Tabla335[[CEDULA ]:[US$,,]],9,0)</f>
        <v>0</v>
      </c>
      <c r="N38" s="292"/>
      <c r="O38" s="292"/>
      <c r="P38" s="325">
        <f>+VLOOKUP(C38,'COMISIONES-SOCIOS'!$C$8:$L$57,10,0)</f>
        <v>0</v>
      </c>
      <c r="Q38" s="293">
        <f>+VLOOKUP(C38,Tabla3[[CEDULA ]:[US$,]],8,0)</f>
        <v>0</v>
      </c>
      <c r="R38" s="293">
        <f>+VLOOKUP($C38,Tabla3[[CEDULA ]:[US$,]],9,0)</f>
        <v>0</v>
      </c>
      <c r="S38" s="31">
        <f t="shared" si="21"/>
        <v>13.33</v>
      </c>
      <c r="T38" s="28">
        <f t="shared" si="22"/>
        <v>626.65000000000009</v>
      </c>
      <c r="U38" s="784">
        <f>VLOOKUP(C38,FR!$C$6:$M$55,11,0)</f>
        <v>52.199945000000007</v>
      </c>
      <c r="V38" s="29"/>
      <c r="W38" s="30"/>
      <c r="X38" s="30"/>
      <c r="Y38" s="31">
        <f t="shared" si="14"/>
        <v>678.84994500000005</v>
      </c>
      <c r="Z38" s="32">
        <f t="shared" si="15"/>
        <v>59.218425000000003</v>
      </c>
      <c r="AA38" s="32"/>
      <c r="AB38" s="32"/>
      <c r="AC38" s="281">
        <f>IFERROR(+VLOOKUP(D38,PQ!$D$35:$E$45,2,0),0)</f>
        <v>0</v>
      </c>
      <c r="AD38" s="281"/>
      <c r="AE38" s="281"/>
      <c r="AF38" s="281"/>
      <c r="AG38" s="281"/>
      <c r="AH38" s="281">
        <v>100</v>
      </c>
      <c r="AI38" s="365">
        <f t="shared" si="16"/>
        <v>159.218425</v>
      </c>
      <c r="AJ38" s="761">
        <f t="shared" si="0"/>
        <v>519.63152000000002</v>
      </c>
      <c r="AK38" s="26">
        <v>600101012152</v>
      </c>
      <c r="AL38" s="159"/>
      <c r="AN38" s="197">
        <f t="shared" si="17"/>
        <v>31</v>
      </c>
      <c r="AO38" s="25" t="str">
        <f t="shared" si="30"/>
        <v>MOROCHO DUCHI SANDRA STEPHANIE</v>
      </c>
      <c r="AP38" s="374">
        <f t="shared" si="20"/>
        <v>44211</v>
      </c>
      <c r="AQ38" s="27">
        <f t="shared" si="2"/>
        <v>30</v>
      </c>
      <c r="AR38" s="23" t="str">
        <f t="shared" si="38"/>
        <v>Norte</v>
      </c>
      <c r="AS38" s="198">
        <f t="shared" si="3"/>
        <v>626.65000000000009</v>
      </c>
      <c r="AT38" s="198">
        <f t="shared" si="10"/>
        <v>52.220833333333339</v>
      </c>
      <c r="AU38" s="198">
        <v>0</v>
      </c>
      <c r="AV38" s="198"/>
      <c r="AW38" s="198">
        <f t="shared" si="54"/>
        <v>39.166666666666664</v>
      </c>
      <c r="AX38" s="198">
        <f t="shared" si="4"/>
        <v>26.110416666666669</v>
      </c>
      <c r="AY38" s="199">
        <f t="shared" si="5"/>
        <v>744.14791666666667</v>
      </c>
      <c r="AZ38" s="198">
        <f t="shared" si="6"/>
        <v>69.871475000000018</v>
      </c>
      <c r="BA38" s="198">
        <f t="shared" si="7"/>
        <v>6.2665000000000006</v>
      </c>
      <c r="BB38" s="198">
        <f t="shared" si="8"/>
        <v>76.137975000000012</v>
      </c>
      <c r="BC38" s="200"/>
    </row>
    <row r="39" spans="1:55" ht="24.6" customHeight="1">
      <c r="A39" s="33"/>
      <c r="B39" s="171">
        <f t="shared" si="12"/>
        <v>32</v>
      </c>
      <c r="C39" s="753">
        <v>940991987</v>
      </c>
      <c r="D39" s="753" t="s">
        <v>25</v>
      </c>
      <c r="E39" s="686">
        <v>43074</v>
      </c>
      <c r="F39" s="288" t="s">
        <v>230</v>
      </c>
      <c r="G39" s="23" t="s">
        <v>35</v>
      </c>
      <c r="H39" s="23" t="s">
        <v>104</v>
      </c>
      <c r="I39" s="247">
        <v>30</v>
      </c>
      <c r="J39" s="289">
        <v>766.65</v>
      </c>
      <c r="K39" s="290">
        <f>IFERROR(VLOOKUP(C39,Tabla15[[CEDULA]:[BONO VEHICULAR]],8,0),0)</f>
        <v>0</v>
      </c>
      <c r="L39" s="622">
        <f>850-J39</f>
        <v>83.350000000000023</v>
      </c>
      <c r="M39" s="291">
        <f>+VLOOKUP(C39,Tabla335[[CEDULA ]:[US$,,]],9,0)</f>
        <v>0</v>
      </c>
      <c r="N39" s="292"/>
      <c r="O39" s="292"/>
      <c r="P39" s="325">
        <f>+VLOOKUP(C39,'COMISIONES-SOCIOS'!$C$8:$L$57,10,0)</f>
        <v>0</v>
      </c>
      <c r="Q39" s="293">
        <f>+VLOOKUP(C39,Tabla3[[CEDULA ]:[US$,]],8,0)</f>
        <v>0</v>
      </c>
      <c r="R39" s="293">
        <f>+VLOOKUP($C39,Tabla3[[CEDULA ]:[US$,]],9,0)</f>
        <v>0</v>
      </c>
      <c r="S39" s="31">
        <f t="shared" si="21"/>
        <v>83.350000000000023</v>
      </c>
      <c r="T39" s="28">
        <f t="shared" si="22"/>
        <v>850</v>
      </c>
      <c r="U39" s="784">
        <f>VLOOKUP(C39,FR!$C$6:$M$55,11,0)</f>
        <v>70.804999999999993</v>
      </c>
      <c r="V39" s="29"/>
      <c r="W39" s="30"/>
      <c r="X39" s="30"/>
      <c r="Y39" s="31">
        <f t="shared" si="14"/>
        <v>920.80499999999995</v>
      </c>
      <c r="Z39" s="32">
        <f t="shared" si="15"/>
        <v>80.324999999999989</v>
      </c>
      <c r="AA39" s="32"/>
      <c r="AB39" s="32"/>
      <c r="AC39" s="281">
        <f>IFERROR(+VLOOKUP(D39,PQ!$D$35:$E$45,2,0),0)</f>
        <v>0</v>
      </c>
      <c r="AD39" s="281">
        <v>0</v>
      </c>
      <c r="AE39" s="281"/>
      <c r="AF39" s="281"/>
      <c r="AG39" s="281"/>
      <c r="AH39" s="281">
        <v>700</v>
      </c>
      <c r="AI39" s="365">
        <f t="shared" si="16"/>
        <v>780.32500000000005</v>
      </c>
      <c r="AJ39" s="761">
        <f t="shared" si="0"/>
        <v>140.4799999999999</v>
      </c>
      <c r="AK39" s="26">
        <v>600101009583</v>
      </c>
      <c r="AL39" s="157"/>
      <c r="AN39" s="197">
        <f t="shared" si="17"/>
        <v>32</v>
      </c>
      <c r="AO39" s="25" t="str">
        <f t="shared" si="30"/>
        <v>MOROCHO YANTALEMA DINA MAGALY</v>
      </c>
      <c r="AP39" s="374">
        <f t="shared" si="20"/>
        <v>43074</v>
      </c>
      <c r="AQ39" s="27">
        <f t="shared" si="2"/>
        <v>30</v>
      </c>
      <c r="AR39" s="23" t="str">
        <f t="shared" si="38"/>
        <v>Matriz</v>
      </c>
      <c r="AS39" s="198">
        <f t="shared" si="3"/>
        <v>850</v>
      </c>
      <c r="AT39" s="198">
        <f t="shared" si="10"/>
        <v>70.833333333333329</v>
      </c>
      <c r="AU39" s="198">
        <v>0</v>
      </c>
      <c r="AV39" s="198"/>
      <c r="AW39" s="198">
        <f t="shared" si="54"/>
        <v>39.166666666666664</v>
      </c>
      <c r="AX39" s="198">
        <f t="shared" si="4"/>
        <v>35.416666666666664</v>
      </c>
      <c r="AY39" s="199">
        <f t="shared" si="5"/>
        <v>995.41666666666663</v>
      </c>
      <c r="AZ39" s="198">
        <f t="shared" si="6"/>
        <v>94.775000000000006</v>
      </c>
      <c r="BA39" s="198">
        <f t="shared" si="7"/>
        <v>8.5</v>
      </c>
      <c r="BB39" s="198">
        <f t="shared" si="8"/>
        <v>103.27500000000001</v>
      </c>
      <c r="BC39" s="200"/>
    </row>
    <row r="40" spans="1:55" ht="21" customHeight="1">
      <c r="B40" s="171">
        <f t="shared" si="12"/>
        <v>33</v>
      </c>
      <c r="C40" s="753">
        <v>956929277</v>
      </c>
      <c r="D40" s="753" t="s">
        <v>417</v>
      </c>
      <c r="E40" s="686">
        <v>45721</v>
      </c>
      <c r="F40" s="288" t="s">
        <v>106</v>
      </c>
      <c r="G40" s="23" t="s">
        <v>36</v>
      </c>
      <c r="H40" s="23" t="s">
        <v>104</v>
      </c>
      <c r="I40" s="247">
        <v>30</v>
      </c>
      <c r="J40" s="289">
        <v>481</v>
      </c>
      <c r="K40" s="290">
        <f>IFERROR(VLOOKUP(C40,Tabla15[[CEDULA]:[BONO VEHICULAR]],8,0),0)</f>
        <v>0</v>
      </c>
      <c r="L40" s="622">
        <f>650-J40</f>
        <v>169</v>
      </c>
      <c r="M40" s="291">
        <f>+VLOOKUP(C40,Tabla335[[CEDULA ]:[US$,,]],9,0)</f>
        <v>0</v>
      </c>
      <c r="N40" s="292"/>
      <c r="O40" s="292"/>
      <c r="P40" s="325">
        <f>+VLOOKUP(C40,'COMISIONES-SOCIOS'!$C$8:$L$57,10,0)</f>
        <v>0</v>
      </c>
      <c r="Q40" s="293">
        <f>+VLOOKUP(C40,Tabla3[[CEDULA ]:[US$,]],8,0)</f>
        <v>0</v>
      </c>
      <c r="R40" s="293">
        <f>+VLOOKUP($C40,Tabla3[[CEDULA ]:[US$,]],9,0)</f>
        <v>0</v>
      </c>
      <c r="S40" s="31">
        <f t="shared" si="21"/>
        <v>169</v>
      </c>
      <c r="T40" s="28">
        <f t="shared" si="22"/>
        <v>650</v>
      </c>
      <c r="U40" s="784">
        <f>VLOOKUP(C40,FR!$C$6:$M$55,11,0)</f>
        <v>0</v>
      </c>
      <c r="V40" s="29"/>
      <c r="W40" s="29"/>
      <c r="X40" s="29"/>
      <c r="Y40" s="31">
        <f t="shared" si="14"/>
        <v>650</v>
      </c>
      <c r="Z40" s="32">
        <f t="shared" si="15"/>
        <v>61.42499999999999</v>
      </c>
      <c r="AA40" s="32"/>
      <c r="AB40" s="32"/>
      <c r="AC40" s="281">
        <f>IFERROR(+VLOOKUP(D40,PQ!$D$35:$E$45,2,0),0)</f>
        <v>0</v>
      </c>
      <c r="AD40" s="281"/>
      <c r="AE40" s="281"/>
      <c r="AF40" s="281"/>
      <c r="AG40" s="281"/>
      <c r="AH40" s="281">
        <v>0</v>
      </c>
      <c r="AI40" s="365">
        <f t="shared" si="16"/>
        <v>61.42499999999999</v>
      </c>
      <c r="AJ40" s="761">
        <f t="shared" si="0"/>
        <v>588.57500000000005</v>
      </c>
      <c r="AK40" s="26">
        <v>600201319284</v>
      </c>
      <c r="AL40" s="157"/>
      <c r="AN40" s="197">
        <f t="shared" si="17"/>
        <v>33</v>
      </c>
      <c r="AO40" s="25" t="str">
        <f t="shared" si="30"/>
        <v>NAULA CRIOLLO CINTHYA ABIGAIL</v>
      </c>
      <c r="AP40" s="374">
        <f t="shared" si="20"/>
        <v>45721</v>
      </c>
      <c r="AQ40" s="27">
        <f t="shared" ref="AQ40:AQ57" si="55">+I40</f>
        <v>30</v>
      </c>
      <c r="AR40" s="23" t="str">
        <f t="shared" si="38"/>
        <v>Matriz</v>
      </c>
      <c r="AS40" s="198">
        <f>T40</f>
        <v>650</v>
      </c>
      <c r="AT40" s="198">
        <f>+AS40/12</f>
        <v>54.166666666666664</v>
      </c>
      <c r="AU40" s="682">
        <v>0</v>
      </c>
      <c r="AV40" s="682"/>
      <c r="AW40" s="198">
        <f>($AW$7/360)*AQ40</f>
        <v>39.166666666666664</v>
      </c>
      <c r="AX40" s="198">
        <f>+AS40/24</f>
        <v>27.083333333333332</v>
      </c>
      <c r="AY40" s="199">
        <f t="shared" ref="AY40:AY41" si="56">SUM(AS40:AX40)</f>
        <v>770.41666666666663</v>
      </c>
      <c r="AZ40" s="198">
        <f>+AS40*11.15%</f>
        <v>72.474999999999994</v>
      </c>
      <c r="BA40" s="198">
        <f>+AS40*1%</f>
        <v>6.5</v>
      </c>
      <c r="BB40" s="198">
        <f t="shared" si="8"/>
        <v>78.974999999999994</v>
      </c>
      <c r="BC40" s="200"/>
    </row>
    <row r="41" spans="1:55" ht="24.6" customHeight="1">
      <c r="B41" s="171">
        <f t="shared" si="12"/>
        <v>34</v>
      </c>
      <c r="C41" s="753">
        <v>951763994</v>
      </c>
      <c r="D41" s="753" t="s">
        <v>229</v>
      </c>
      <c r="E41" s="686">
        <v>45240</v>
      </c>
      <c r="F41" s="288" t="s">
        <v>351</v>
      </c>
      <c r="G41" s="23" t="s">
        <v>35</v>
      </c>
      <c r="H41" s="23" t="s">
        <v>107</v>
      </c>
      <c r="I41" s="247">
        <v>30</v>
      </c>
      <c r="J41" s="289">
        <v>475.85</v>
      </c>
      <c r="K41" s="290">
        <f>IFERROR(VLOOKUP(C41,Tabla15[[CEDULA]:[BONO VEHICULAR]],8,0),0)</f>
        <v>0</v>
      </c>
      <c r="L41" s="622">
        <f>700-J41-30.32</f>
        <v>193.82999999999998</v>
      </c>
      <c r="M41" s="291">
        <f>+VLOOKUP(C41,Tabla335[[CEDULA ]:[US$,,]],9,0)</f>
        <v>0</v>
      </c>
      <c r="N41" s="292"/>
      <c r="O41" s="292"/>
      <c r="P41" s="325">
        <f>+VLOOKUP(C41,'COMISIONES-SOCIOS'!$C$8:$L$57,10,0)</f>
        <v>0</v>
      </c>
      <c r="Q41" s="293">
        <f>+VLOOKUP(C41,Tabla3[[CEDULA ]:[US$,]],8,0)</f>
        <v>0</v>
      </c>
      <c r="R41" s="293">
        <f>+VLOOKUP($C41,Tabla3[[CEDULA ]:[US$,]],9,0)</f>
        <v>0</v>
      </c>
      <c r="S41" s="31">
        <f t="shared" si="21"/>
        <v>193.82999999999998</v>
      </c>
      <c r="T41" s="28">
        <f t="shared" si="22"/>
        <v>669.68000000000006</v>
      </c>
      <c r="U41" s="784" t="str">
        <f>VLOOKUP(C41,FR!$C$6:$M$55,11,0)</f>
        <v>ACUMULA</v>
      </c>
      <c r="V41" s="29"/>
      <c r="W41" s="30"/>
      <c r="X41" s="30"/>
      <c r="Y41" s="31">
        <f t="shared" si="14"/>
        <v>669.68000000000006</v>
      </c>
      <c r="Z41" s="32">
        <f t="shared" si="15"/>
        <v>63.284759999999999</v>
      </c>
      <c r="AA41" s="32"/>
      <c r="AB41" s="32"/>
      <c r="AC41" s="281">
        <f>IFERROR(+VLOOKUP(D41,PQ!$D$35:$E$45,2,0),0)</f>
        <v>0</v>
      </c>
      <c r="AD41" s="281"/>
      <c r="AE41" s="281"/>
      <c r="AF41" s="281"/>
      <c r="AG41" s="281"/>
      <c r="AH41" s="281">
        <v>0</v>
      </c>
      <c r="AI41" s="365">
        <f t="shared" si="16"/>
        <v>63.284759999999999</v>
      </c>
      <c r="AJ41" s="761">
        <f t="shared" si="0"/>
        <v>606.39524000000006</v>
      </c>
      <c r="AK41" s="26">
        <v>600101315986</v>
      </c>
      <c r="AL41" s="157"/>
      <c r="AN41" s="197">
        <f t="shared" si="17"/>
        <v>34</v>
      </c>
      <c r="AO41" s="25" t="str">
        <f t="shared" si="30"/>
        <v>NEVAREZ PEÑAFIEL EVELYN JULEXY</v>
      </c>
      <c r="AP41" s="374">
        <f t="shared" si="20"/>
        <v>45240</v>
      </c>
      <c r="AQ41" s="27">
        <f t="shared" si="55"/>
        <v>30</v>
      </c>
      <c r="AR41" s="23" t="str">
        <f t="shared" si="38"/>
        <v>Norte</v>
      </c>
      <c r="AS41" s="198">
        <f t="shared" si="3"/>
        <v>669.68000000000006</v>
      </c>
      <c r="AT41" s="198">
        <f t="shared" si="10"/>
        <v>55.806666666666672</v>
      </c>
      <c r="AU41" s="404">
        <f>+AS41*$AU$7</f>
        <v>55.784344000000004</v>
      </c>
      <c r="AV41" s="198"/>
      <c r="AW41" s="198">
        <f t="shared" si="54"/>
        <v>39.166666666666664</v>
      </c>
      <c r="AX41" s="198">
        <f t="shared" si="4"/>
        <v>27.903333333333336</v>
      </c>
      <c r="AY41" s="199">
        <f t="shared" si="56"/>
        <v>848.34101066666665</v>
      </c>
      <c r="AZ41" s="198">
        <f t="shared" si="6"/>
        <v>74.669320000000013</v>
      </c>
      <c r="BA41" s="198">
        <f t="shared" si="7"/>
        <v>6.6968000000000005</v>
      </c>
      <c r="BB41" s="198">
        <f t="shared" si="8"/>
        <v>81.366120000000009</v>
      </c>
      <c r="BC41" s="200"/>
    </row>
    <row r="42" spans="1:55" ht="24.6" customHeight="1">
      <c r="B42" s="171">
        <f t="shared" si="12"/>
        <v>35</v>
      </c>
      <c r="C42" s="753">
        <v>950703199</v>
      </c>
      <c r="D42" s="753" t="s">
        <v>69</v>
      </c>
      <c r="E42" s="686">
        <v>44847</v>
      </c>
      <c r="F42" s="288" t="s">
        <v>469</v>
      </c>
      <c r="G42" s="23" t="s">
        <v>36</v>
      </c>
      <c r="H42" s="23" t="s">
        <v>104</v>
      </c>
      <c r="I42" s="247">
        <v>30</v>
      </c>
      <c r="J42" s="289">
        <v>473.88</v>
      </c>
      <c r="K42" s="290">
        <f>IFERROR(VLOOKUP(C42,Tabla15[[CEDULA]:[BONO VEHICULAR]],8,0),0)</f>
        <v>100</v>
      </c>
      <c r="L42" s="622">
        <v>10.3</v>
      </c>
      <c r="M42" s="291">
        <f>+VLOOKUP(C42,Tabla335[[CEDULA ]:[US$,,]],9,0)</f>
        <v>0</v>
      </c>
      <c r="N42" s="292"/>
      <c r="O42" s="292"/>
      <c r="P42" s="325">
        <f>+VLOOKUP(C42,'COMISIONES-SOCIOS'!$C$8:$L$57,10,0)</f>
        <v>0</v>
      </c>
      <c r="Q42" s="293">
        <f>+VLOOKUP(C42,Tabla3[[CEDULA ]:[US$,]],8,0)</f>
        <v>0</v>
      </c>
      <c r="R42" s="293">
        <f>+VLOOKUP($C42,Tabla3[[CEDULA ]:[US$,]],9,0)</f>
        <v>0</v>
      </c>
      <c r="S42" s="31">
        <f t="shared" si="21"/>
        <v>110.3</v>
      </c>
      <c r="T42" s="28">
        <f t="shared" si="22"/>
        <v>584.17999999999995</v>
      </c>
      <c r="U42" s="784">
        <f>VLOOKUP(C42,FR!$C$6:$M$55,11,0)</f>
        <v>48.662193999999992</v>
      </c>
      <c r="V42" s="29"/>
      <c r="W42" s="30"/>
      <c r="X42" s="30"/>
      <c r="Y42" s="31">
        <f t="shared" si="14"/>
        <v>632.84219399999995</v>
      </c>
      <c r="Z42" s="32">
        <f t="shared" si="15"/>
        <v>55.205009999999987</v>
      </c>
      <c r="AA42" s="32"/>
      <c r="AB42" s="32"/>
      <c r="AC42" s="281">
        <f>IFERROR(+VLOOKUP(D42,PQ!$D$35:$E$45,2,0),0)</f>
        <v>0</v>
      </c>
      <c r="AD42" s="281"/>
      <c r="AE42" s="281"/>
      <c r="AF42" s="281"/>
      <c r="AG42" s="281"/>
      <c r="AH42" s="281">
        <v>0</v>
      </c>
      <c r="AI42" s="365">
        <f t="shared" si="16"/>
        <v>55.205009999999987</v>
      </c>
      <c r="AJ42" s="761">
        <f t="shared" si="0"/>
        <v>577.63718399999993</v>
      </c>
      <c r="AK42" s="26">
        <v>600101312755</v>
      </c>
      <c r="AL42" s="157"/>
      <c r="AN42" s="197">
        <f t="shared" si="17"/>
        <v>35</v>
      </c>
      <c r="AO42" s="25" t="str">
        <f t="shared" si="30"/>
        <v>ÑAMO GUALACEO BRYAN JAVIER</v>
      </c>
      <c r="AP42" s="374">
        <f t="shared" si="20"/>
        <v>44847</v>
      </c>
      <c r="AQ42" s="27">
        <f t="shared" si="55"/>
        <v>30</v>
      </c>
      <c r="AR42" s="23" t="str">
        <f t="shared" si="38"/>
        <v>Matriz</v>
      </c>
      <c r="AS42" s="198">
        <f t="shared" si="3"/>
        <v>584.17999999999995</v>
      </c>
      <c r="AT42" s="198">
        <f t="shared" si="10"/>
        <v>48.681666666666665</v>
      </c>
      <c r="AU42" s="198">
        <v>0</v>
      </c>
      <c r="AV42" s="198"/>
      <c r="AW42" s="198">
        <f t="shared" si="54"/>
        <v>39.166666666666664</v>
      </c>
      <c r="AX42" s="198">
        <f t="shared" si="4"/>
        <v>24.340833333333332</v>
      </c>
      <c r="AY42" s="199">
        <f t="shared" si="5"/>
        <v>696.3691666666665</v>
      </c>
      <c r="AZ42" s="198">
        <f t="shared" ref="AZ42" si="57">+AS42*11.15%</f>
        <v>65.136069999999989</v>
      </c>
      <c r="BA42" s="198">
        <f t="shared" ref="BA42" si="58">+AS42*1%</f>
        <v>5.8417999999999992</v>
      </c>
      <c r="BB42" s="198">
        <f t="shared" ref="BB42" si="59">SUM(AZ42:BA42)</f>
        <v>70.977869999999996</v>
      </c>
      <c r="BC42" s="200"/>
    </row>
    <row r="43" spans="1:55" ht="24.6" customHeight="1">
      <c r="B43" s="171">
        <f t="shared" si="12"/>
        <v>36</v>
      </c>
      <c r="C43" s="753" t="s">
        <v>434</v>
      </c>
      <c r="D43" s="753" t="s">
        <v>435</v>
      </c>
      <c r="E43" s="686">
        <v>45870</v>
      </c>
      <c r="F43" s="288" t="s">
        <v>436</v>
      </c>
      <c r="G43" s="23" t="s">
        <v>35</v>
      </c>
      <c r="H43" s="23" t="s">
        <v>104</v>
      </c>
      <c r="I43" s="247">
        <v>30</v>
      </c>
      <c r="J43" s="289">
        <v>600</v>
      </c>
      <c r="K43" s="290">
        <f>IFERROR(VLOOKUP(C43,Tabla15[[CEDULA]:[BONO VEHICULAR]],8,0),0)</f>
        <v>0</v>
      </c>
      <c r="L43" s="622"/>
      <c r="M43" s="291">
        <f>+VLOOKUP(C43,Tabla335[[CEDULA ]:[US$,,]],9,0)</f>
        <v>0</v>
      </c>
      <c r="N43" s="292"/>
      <c r="O43" s="292"/>
      <c r="P43" s="325">
        <f>+VLOOKUP(C43,'COMISIONES-SOCIOS'!$C$8:$L$57,10,0)</f>
        <v>0</v>
      </c>
      <c r="Q43" s="293">
        <f>+VLOOKUP(C43,Tabla3[[CEDULA ]:[US$,]],8,0)</f>
        <v>0</v>
      </c>
      <c r="R43" s="293">
        <f>+VLOOKUP($C43,Tabla3[[CEDULA ]:[US$,]],9,0)</f>
        <v>0</v>
      </c>
      <c r="S43" s="31">
        <f t="shared" si="21"/>
        <v>0</v>
      </c>
      <c r="T43" s="28">
        <f t="shared" si="22"/>
        <v>600</v>
      </c>
      <c r="U43" s="784">
        <f>VLOOKUP(C43,FR!$C$6:$M$55,11,0)</f>
        <v>0</v>
      </c>
      <c r="V43" s="29"/>
      <c r="W43" s="30"/>
      <c r="X43" s="30"/>
      <c r="Y43" s="31">
        <f t="shared" si="14"/>
        <v>600</v>
      </c>
      <c r="Z43" s="32">
        <f t="shared" si="15"/>
        <v>56.699999999999989</v>
      </c>
      <c r="AA43" s="32"/>
      <c r="AB43" s="32"/>
      <c r="AC43" s="281"/>
      <c r="AD43" s="281"/>
      <c r="AE43" s="281"/>
      <c r="AF43" s="281"/>
      <c r="AG43" s="281"/>
      <c r="AH43" s="281">
        <v>400</v>
      </c>
      <c r="AI43" s="365">
        <f t="shared" si="16"/>
        <v>456.7</v>
      </c>
      <c r="AJ43" s="761">
        <f t="shared" si="0"/>
        <v>143.30000000000001</v>
      </c>
      <c r="AK43" s="26">
        <v>600101320247</v>
      </c>
      <c r="AL43" s="157"/>
      <c r="AN43" s="197">
        <f t="shared" si="17"/>
        <v>36</v>
      </c>
      <c r="AO43" s="25" t="str">
        <f t="shared" si="30"/>
        <v>ORELLANA MANZO WHITNEY YAILYN</v>
      </c>
      <c r="AP43" s="374">
        <f t="shared" si="20"/>
        <v>45870</v>
      </c>
      <c r="AQ43" s="27">
        <f t="shared" si="55"/>
        <v>30</v>
      </c>
      <c r="AR43" s="23" t="str">
        <f t="shared" si="38"/>
        <v>Matriz</v>
      </c>
      <c r="AS43" s="198">
        <f t="shared" ref="AS43" si="60">T43</f>
        <v>600</v>
      </c>
      <c r="AT43" s="198">
        <f t="shared" ref="AT43" si="61">+AS43/12</f>
        <v>50</v>
      </c>
      <c r="AU43" s="198">
        <v>0</v>
      </c>
      <c r="AV43" s="198"/>
      <c r="AW43" s="198">
        <f t="shared" ref="AW43" si="62">($AW$7/360)*AQ43</f>
        <v>39.166666666666664</v>
      </c>
      <c r="AX43" s="198">
        <f t="shared" ref="AX43" si="63">+AS43/24</f>
        <v>25</v>
      </c>
      <c r="AY43" s="199">
        <f t="shared" ref="AY43" si="64">SUM(AS43:AX43)</f>
        <v>714.16666666666663</v>
      </c>
      <c r="AZ43" s="198">
        <f t="shared" ref="AZ43" si="65">+AS43*11.15%</f>
        <v>66.900000000000006</v>
      </c>
      <c r="BA43" s="198">
        <f t="shared" ref="BA43" si="66">+AS43*1%</f>
        <v>6</v>
      </c>
      <c r="BB43" s="198">
        <f t="shared" ref="BB43" si="67">SUM(AZ43:BA43)</f>
        <v>72.900000000000006</v>
      </c>
      <c r="BC43" s="200"/>
    </row>
    <row r="44" spans="1:55" ht="24.6" customHeight="1">
      <c r="A44" s="33"/>
      <c r="B44" s="171">
        <f t="shared" si="12"/>
        <v>37</v>
      </c>
      <c r="C44" s="753">
        <v>925830689</v>
      </c>
      <c r="D44" s="753" t="s">
        <v>26</v>
      </c>
      <c r="E44" s="686">
        <v>43678</v>
      </c>
      <c r="F44" s="288" t="s">
        <v>252</v>
      </c>
      <c r="G44" s="23" t="s">
        <v>35</v>
      </c>
      <c r="H44" s="23" t="s">
        <v>104</v>
      </c>
      <c r="I44" s="247">
        <v>30</v>
      </c>
      <c r="J44" s="289">
        <v>1022.2</v>
      </c>
      <c r="K44" s="728">
        <f>IFERROR(VLOOKUP(C44,Tabla15[[CEDULA]:[BONO VEHICULAR]],8,0),0)</f>
        <v>0</v>
      </c>
      <c r="L44" s="622">
        <v>22.22</v>
      </c>
      <c r="M44" s="291">
        <f>+VLOOKUP(C44,Tabla335[[CEDULA ]:[US$,,]],9,0)</f>
        <v>0</v>
      </c>
      <c r="N44" s="292"/>
      <c r="O44" s="292"/>
      <c r="P44" s="325">
        <f>+VLOOKUP(C44,'COMISIONES-SOCIOS'!$C$8:$L$57,10,0)</f>
        <v>0</v>
      </c>
      <c r="Q44" s="293">
        <f>+VLOOKUP(C44,Tabla3[[CEDULA ]:[US$,]],8,0)</f>
        <v>0</v>
      </c>
      <c r="R44" s="293">
        <f>+VLOOKUP($C44,Tabla3[[CEDULA ]:[US$,]],9,0)</f>
        <v>0</v>
      </c>
      <c r="S44" s="31">
        <f t="shared" si="21"/>
        <v>22.22</v>
      </c>
      <c r="T44" s="28">
        <f t="shared" si="22"/>
        <v>1044.42</v>
      </c>
      <c r="U44" s="784">
        <f>VLOOKUP(C44,FR!$C$6:$M$55,11,0)</f>
        <v>87.000185999999999</v>
      </c>
      <c r="V44" s="29"/>
      <c r="W44" s="30"/>
      <c r="X44" s="30"/>
      <c r="Y44" s="31">
        <f t="shared" si="14"/>
        <v>1131.4201860000001</v>
      </c>
      <c r="Z44" s="32">
        <f t="shared" si="15"/>
        <v>98.697689999999994</v>
      </c>
      <c r="AA44" s="32"/>
      <c r="AB44" s="32">
        <v>0</v>
      </c>
      <c r="AC44" s="281">
        <f>IFERROR(+VLOOKUP(D44,PQ!$D$35:$E$45,2,0),0)</f>
        <v>80.94</v>
      </c>
      <c r="AD44" s="281"/>
      <c r="AE44" s="281"/>
      <c r="AF44" s="281"/>
      <c r="AG44" s="281"/>
      <c r="AH44" s="281">
        <v>831.44</v>
      </c>
      <c r="AI44" s="365">
        <f t="shared" si="16"/>
        <v>1011.0776900000001</v>
      </c>
      <c r="AJ44" s="761">
        <f t="shared" si="0"/>
        <v>120.34249599999998</v>
      </c>
      <c r="AK44" s="26">
        <v>600101005135</v>
      </c>
      <c r="AL44" s="157"/>
      <c r="AN44" s="197">
        <f t="shared" si="17"/>
        <v>37</v>
      </c>
      <c r="AO44" s="25" t="str">
        <f t="shared" si="30"/>
        <v>PERALTA MENDEZ LINA LISSETTE</v>
      </c>
      <c r="AP44" s="374">
        <f t="shared" si="20"/>
        <v>43678</v>
      </c>
      <c r="AQ44" s="27">
        <f t="shared" si="55"/>
        <v>30</v>
      </c>
      <c r="AR44" s="23" t="str">
        <f t="shared" si="38"/>
        <v>Matriz</v>
      </c>
      <c r="AS44" s="198">
        <f t="shared" si="3"/>
        <v>1044.42</v>
      </c>
      <c r="AT44" s="198">
        <f t="shared" si="10"/>
        <v>87.035000000000011</v>
      </c>
      <c r="AU44" s="198">
        <v>0</v>
      </c>
      <c r="AV44" s="198"/>
      <c r="AW44" s="198">
        <f t="shared" si="54"/>
        <v>39.166666666666664</v>
      </c>
      <c r="AX44" s="198">
        <f t="shared" si="4"/>
        <v>43.517500000000005</v>
      </c>
      <c r="AY44" s="199">
        <f t="shared" si="5"/>
        <v>1214.1391666666668</v>
      </c>
      <c r="AZ44" s="198">
        <f t="shared" si="6"/>
        <v>116.45283000000001</v>
      </c>
      <c r="BA44" s="198">
        <f t="shared" si="7"/>
        <v>10.4442</v>
      </c>
      <c r="BB44" s="198">
        <f t="shared" si="8"/>
        <v>126.89703</v>
      </c>
      <c r="BC44" s="200"/>
    </row>
    <row r="45" spans="1:55" ht="24.6" customHeight="1">
      <c r="A45" s="33"/>
      <c r="B45" s="171">
        <f t="shared" si="12"/>
        <v>38</v>
      </c>
      <c r="C45" s="753">
        <v>944034842</v>
      </c>
      <c r="D45" s="753" t="s">
        <v>480</v>
      </c>
      <c r="E45" s="686">
        <v>45945</v>
      </c>
      <c r="F45" s="288" t="s">
        <v>106</v>
      </c>
      <c r="G45" s="23" t="s">
        <v>35</v>
      </c>
      <c r="H45" s="23" t="s">
        <v>104</v>
      </c>
      <c r="I45" s="247">
        <v>16</v>
      </c>
      <c r="J45" s="289">
        <v>256.52999999999997</v>
      </c>
      <c r="K45" s="728"/>
      <c r="L45" s="622"/>
      <c r="M45" s="291">
        <f>+VLOOKUP(C45,Tabla335[[CEDULA ]:[US$,,]],9,0)</f>
        <v>0</v>
      </c>
      <c r="N45" s="292"/>
      <c r="O45" s="292"/>
      <c r="P45" s="325">
        <f>+VLOOKUP(C45,'COMISIONES-SOCIOS'!$C$8:$L$57,10,0)</f>
        <v>0</v>
      </c>
      <c r="Q45" s="293">
        <f>+VLOOKUP(C45,Tabla3[[CEDULA ]:[US$,]],8,0)</f>
        <v>0</v>
      </c>
      <c r="R45" s="293">
        <f>+VLOOKUP($C45,Tabla3[[CEDULA ]:[US$,]],9,0)</f>
        <v>0</v>
      </c>
      <c r="S45" s="31">
        <f t="shared" si="21"/>
        <v>0</v>
      </c>
      <c r="T45" s="28">
        <f t="shared" si="22"/>
        <v>256.52999999999997</v>
      </c>
      <c r="U45" s="784"/>
      <c r="V45" s="29"/>
      <c r="W45" s="30"/>
      <c r="X45" s="30"/>
      <c r="Y45" s="31">
        <f t="shared" si="14"/>
        <v>256.52999999999997</v>
      </c>
      <c r="Z45" s="32">
        <f t="shared" si="15"/>
        <v>24.242084999999992</v>
      </c>
      <c r="AA45" s="32"/>
      <c r="AB45" s="32"/>
      <c r="AC45" s="281"/>
      <c r="AD45" s="281"/>
      <c r="AE45" s="281"/>
      <c r="AF45" s="281"/>
      <c r="AG45" s="281"/>
      <c r="AH45" s="281">
        <v>0</v>
      </c>
      <c r="AI45" s="365"/>
      <c r="AJ45" s="761"/>
      <c r="AK45" s="26"/>
      <c r="AL45" s="157"/>
      <c r="AN45" s="197">
        <f t="shared" si="17"/>
        <v>38</v>
      </c>
      <c r="AO45" s="25" t="str">
        <f t="shared" si="30"/>
        <v>PEREZ ZAMORA ANA DE LOS ANGELES</v>
      </c>
      <c r="AP45" s="374">
        <f t="shared" si="20"/>
        <v>45945</v>
      </c>
      <c r="AQ45" s="27">
        <f t="shared" si="55"/>
        <v>16</v>
      </c>
      <c r="AR45" s="23" t="str">
        <f t="shared" si="38"/>
        <v>Matriz</v>
      </c>
      <c r="AS45" s="198"/>
      <c r="AT45" s="198"/>
      <c r="AU45" s="198"/>
      <c r="AV45" s="198"/>
      <c r="AW45" s="198">
        <f t="shared" si="54"/>
        <v>20.888888888888889</v>
      </c>
      <c r="AX45" s="198"/>
      <c r="AY45" s="199"/>
      <c r="AZ45" s="198"/>
      <c r="BA45" s="198"/>
      <c r="BB45" s="198"/>
      <c r="BC45" s="200"/>
    </row>
    <row r="46" spans="1:55" ht="24.6" customHeight="1">
      <c r="A46" s="33"/>
      <c r="B46" s="171">
        <f t="shared" si="12"/>
        <v>39</v>
      </c>
      <c r="C46" s="753">
        <v>951340702</v>
      </c>
      <c r="D46" s="753" t="s">
        <v>260</v>
      </c>
      <c r="E46" s="686">
        <v>44579</v>
      </c>
      <c r="F46" s="288" t="s">
        <v>353</v>
      </c>
      <c r="G46" s="23" t="s">
        <v>36</v>
      </c>
      <c r="H46" s="23" t="s">
        <v>104</v>
      </c>
      <c r="I46" s="247">
        <v>30</v>
      </c>
      <c r="J46" s="289">
        <v>817.76</v>
      </c>
      <c r="K46" s="290">
        <f>IFERROR(VLOOKUP(C46,Tabla15[[CEDULA]:[BONO VEHICULAR]],8,0),0)</f>
        <v>0</v>
      </c>
      <c r="L46" s="622">
        <v>17.78</v>
      </c>
      <c r="M46" s="291">
        <f>+VLOOKUP(C46,Tabla335[[CEDULA ]:[US$,,]],9,0)</f>
        <v>0</v>
      </c>
      <c r="N46" s="292"/>
      <c r="O46" s="292"/>
      <c r="P46" s="325">
        <f>+VLOOKUP(C46,'COMISIONES-SOCIOS'!$C$8:$L$57,10,0)</f>
        <v>0</v>
      </c>
      <c r="Q46" s="293">
        <f>+VLOOKUP(C46,Tabla3[[CEDULA ]:[US$,]],8,0)</f>
        <v>0</v>
      </c>
      <c r="R46" s="293">
        <f>+VLOOKUP($C46,Tabla3[[CEDULA ]:[US$,]],9,0)</f>
        <v>0</v>
      </c>
      <c r="S46" s="31">
        <f t="shared" si="21"/>
        <v>17.78</v>
      </c>
      <c r="T46" s="28">
        <f t="shared" si="22"/>
        <v>835.54</v>
      </c>
      <c r="U46" s="784">
        <f>VLOOKUP(C46,FR!$C$6:$M$55,11,0)</f>
        <v>69.600482</v>
      </c>
      <c r="V46" s="29"/>
      <c r="W46" s="30"/>
      <c r="X46" s="30"/>
      <c r="Y46" s="31">
        <f t="shared" si="14"/>
        <v>905.14048200000002</v>
      </c>
      <c r="Z46" s="32">
        <f t="shared" si="15"/>
        <v>78.958529999999982</v>
      </c>
      <c r="AA46" s="32"/>
      <c r="AB46" s="32">
        <v>0</v>
      </c>
      <c r="AC46" s="281">
        <f>IFERROR(+VLOOKUP(D46,PQ!$D$35:$E$45,2,0),0)</f>
        <v>0</v>
      </c>
      <c r="AD46" s="281"/>
      <c r="AE46" s="281"/>
      <c r="AF46" s="281"/>
      <c r="AG46" s="281"/>
      <c r="AH46" s="281">
        <v>400</v>
      </c>
      <c r="AI46" s="365">
        <f t="shared" si="16"/>
        <v>478.95853</v>
      </c>
      <c r="AJ46" s="761">
        <f t="shared" si="0"/>
        <v>426.18195200000002</v>
      </c>
      <c r="AK46" s="26">
        <v>600101310821</v>
      </c>
      <c r="AL46" s="157"/>
      <c r="AN46" s="197">
        <f t="shared" si="17"/>
        <v>39</v>
      </c>
      <c r="AO46" s="25" t="str">
        <f t="shared" si="30"/>
        <v>QUITO CALDERON JONATHAN ENRIQUE</v>
      </c>
      <c r="AP46" s="374">
        <f t="shared" si="20"/>
        <v>44579</v>
      </c>
      <c r="AQ46" s="27">
        <f t="shared" si="55"/>
        <v>30</v>
      </c>
      <c r="AR46" s="23" t="str">
        <f t="shared" si="38"/>
        <v>Matriz</v>
      </c>
      <c r="AS46" s="198">
        <f t="shared" si="3"/>
        <v>835.54</v>
      </c>
      <c r="AT46" s="198">
        <f t="shared" si="10"/>
        <v>69.62833333333333</v>
      </c>
      <c r="AU46" s="198">
        <v>0</v>
      </c>
      <c r="AV46" s="198"/>
      <c r="AW46" s="198">
        <f t="shared" si="54"/>
        <v>39.166666666666664</v>
      </c>
      <c r="AX46" s="198">
        <f t="shared" si="4"/>
        <v>34.814166666666665</v>
      </c>
      <c r="AY46" s="199">
        <f t="shared" si="5"/>
        <v>979.14916666666659</v>
      </c>
      <c r="AZ46" s="198">
        <f t="shared" si="6"/>
        <v>93.162710000000004</v>
      </c>
      <c r="BA46" s="198">
        <f t="shared" si="7"/>
        <v>8.3553999999999995</v>
      </c>
      <c r="BB46" s="198">
        <f t="shared" si="8"/>
        <v>101.51811000000001</v>
      </c>
      <c r="BC46" s="200"/>
    </row>
    <row r="47" spans="1:55" ht="24.6" customHeight="1">
      <c r="A47" s="33"/>
      <c r="B47" s="171">
        <f t="shared" si="12"/>
        <v>40</v>
      </c>
      <c r="C47" s="753">
        <v>650112949</v>
      </c>
      <c r="D47" s="753" t="s">
        <v>76</v>
      </c>
      <c r="E47" s="686">
        <v>44929</v>
      </c>
      <c r="F47" s="288" t="s">
        <v>469</v>
      </c>
      <c r="G47" s="23" t="s">
        <v>35</v>
      </c>
      <c r="H47" s="23" t="s">
        <v>107</v>
      </c>
      <c r="I47" s="247">
        <v>30</v>
      </c>
      <c r="J47" s="289">
        <v>473.88</v>
      </c>
      <c r="K47" s="290">
        <f>IFERROR(VLOOKUP(C47,Tabla15[[CEDULA]:[BONO VEHICULAR]],8,0),0)</f>
        <v>0</v>
      </c>
      <c r="L47" s="622">
        <v>10.3</v>
      </c>
      <c r="M47" s="291">
        <f>+VLOOKUP(C47,Tabla335[[CEDULA ]:[US$,,]],9,0)</f>
        <v>0</v>
      </c>
      <c r="N47" s="292"/>
      <c r="O47" s="292"/>
      <c r="P47" s="325">
        <f>+VLOOKUP(C47,'COMISIONES-SOCIOS'!$C$8:$L$57,10,0)</f>
        <v>0</v>
      </c>
      <c r="Q47" s="293">
        <f>+VLOOKUP(C47,Tabla3[[CEDULA ]:[US$,]],8,0)</f>
        <v>0</v>
      </c>
      <c r="R47" s="293">
        <f>+VLOOKUP($C47,Tabla3[[CEDULA ]:[US$,]],9,0)</f>
        <v>0</v>
      </c>
      <c r="S47" s="31">
        <f t="shared" si="21"/>
        <v>10.3</v>
      </c>
      <c r="T47" s="28">
        <f t="shared" si="22"/>
        <v>484.18</v>
      </c>
      <c r="U47" s="784">
        <f>VLOOKUP(C47,FR!$C$6:$M$55,11,0)</f>
        <v>40.332194000000001</v>
      </c>
      <c r="V47" s="29"/>
      <c r="W47" s="30"/>
      <c r="X47" s="30"/>
      <c r="Y47" s="31">
        <f t="shared" si="14"/>
        <v>524.51219400000002</v>
      </c>
      <c r="Z47" s="32">
        <f t="shared" si="15"/>
        <v>45.755009999999992</v>
      </c>
      <c r="AA47" s="32"/>
      <c r="AB47" s="32">
        <v>0</v>
      </c>
      <c r="AC47" s="281">
        <f>IFERROR(+VLOOKUP(D47,PQ!$D$35:$E$45,2,0),0)</f>
        <v>0</v>
      </c>
      <c r="AD47" s="281"/>
      <c r="AE47" s="281"/>
      <c r="AF47" s="281"/>
      <c r="AG47" s="281"/>
      <c r="AH47" s="281">
        <v>200</v>
      </c>
      <c r="AI47" s="365">
        <f t="shared" si="16"/>
        <v>245.75501</v>
      </c>
      <c r="AJ47" s="761">
        <f t="shared" si="0"/>
        <v>278.75718400000005</v>
      </c>
      <c r="AK47" s="26">
        <v>600201313418</v>
      </c>
      <c r="AL47" s="157"/>
      <c r="AN47" s="197">
        <f t="shared" si="17"/>
        <v>40</v>
      </c>
      <c r="AO47" s="25" t="str">
        <f t="shared" si="30"/>
        <v>QUITO UCHUBANDA JANETH ALEXANDRA</v>
      </c>
      <c r="AP47" s="374">
        <f t="shared" si="20"/>
        <v>44929</v>
      </c>
      <c r="AQ47" s="27">
        <f t="shared" si="55"/>
        <v>30</v>
      </c>
      <c r="AR47" s="23" t="str">
        <f t="shared" si="38"/>
        <v>Norte</v>
      </c>
      <c r="AS47" s="198">
        <f t="shared" si="3"/>
        <v>484.18</v>
      </c>
      <c r="AT47" s="198">
        <f t="shared" si="10"/>
        <v>40.348333333333336</v>
      </c>
      <c r="AU47" s="198">
        <v>0</v>
      </c>
      <c r="AV47" s="198"/>
      <c r="AW47" s="198">
        <f t="shared" si="54"/>
        <v>39.166666666666664</v>
      </c>
      <c r="AX47" s="198">
        <f t="shared" si="4"/>
        <v>20.174166666666668</v>
      </c>
      <c r="AY47" s="199">
        <f t="shared" si="5"/>
        <v>583.86916666666662</v>
      </c>
      <c r="AZ47" s="198">
        <f t="shared" si="6"/>
        <v>53.986070000000005</v>
      </c>
      <c r="BA47" s="198">
        <f t="shared" si="7"/>
        <v>4.8418000000000001</v>
      </c>
      <c r="BB47" s="198">
        <f t="shared" si="8"/>
        <v>58.827870000000004</v>
      </c>
      <c r="BC47" s="200"/>
    </row>
    <row r="48" spans="1:55" ht="24.6" customHeight="1">
      <c r="B48" s="171">
        <f t="shared" si="12"/>
        <v>41</v>
      </c>
      <c r="C48" s="753">
        <v>924232804</v>
      </c>
      <c r="D48" s="753" t="s">
        <v>55</v>
      </c>
      <c r="E48" s="686">
        <v>44532</v>
      </c>
      <c r="F48" s="288" t="s">
        <v>352</v>
      </c>
      <c r="G48" s="23" t="s">
        <v>36</v>
      </c>
      <c r="H48" s="23" t="s">
        <v>104</v>
      </c>
      <c r="I48" s="247">
        <v>30</v>
      </c>
      <c r="J48" s="289">
        <v>1022.2</v>
      </c>
      <c r="K48" s="290">
        <f>IFERROR(VLOOKUP(C48,Tabla15[[CEDULA]:[BONO VEHICULAR]],8,0),0)</f>
        <v>0</v>
      </c>
      <c r="L48" s="622">
        <v>22.22</v>
      </c>
      <c r="M48" s="291">
        <f>+VLOOKUP(C48,Tabla335[[CEDULA ]:[US$,,]],9,0)</f>
        <v>0</v>
      </c>
      <c r="N48" s="292"/>
      <c r="O48" s="292"/>
      <c r="P48" s="325">
        <f>+VLOOKUP(C48,'COMISIONES-SOCIOS'!$C$8:$L$57,10,0)</f>
        <v>0</v>
      </c>
      <c r="Q48" s="293">
        <f>+VLOOKUP(C48,Tabla3[[CEDULA ]:[US$,]],8,0)</f>
        <v>0</v>
      </c>
      <c r="R48" s="293">
        <f>+VLOOKUP($C48,Tabla3[[CEDULA ]:[US$,]],9,0)</f>
        <v>0</v>
      </c>
      <c r="S48" s="31">
        <f t="shared" si="21"/>
        <v>22.22</v>
      </c>
      <c r="T48" s="28">
        <f t="shared" si="22"/>
        <v>1044.42</v>
      </c>
      <c r="U48" s="784">
        <f>VLOOKUP(C48,FR!$C$6:$M$55,11,0)</f>
        <v>87.000185999999999</v>
      </c>
      <c r="V48" s="29"/>
      <c r="W48" s="30"/>
      <c r="X48" s="30"/>
      <c r="Y48" s="31">
        <f t="shared" si="14"/>
        <v>1131.4201860000001</v>
      </c>
      <c r="Z48" s="32">
        <f t="shared" si="15"/>
        <v>98.697689999999994</v>
      </c>
      <c r="AA48" s="32"/>
      <c r="AB48" s="32">
        <v>0</v>
      </c>
      <c r="AC48" s="281">
        <f>IFERROR(+VLOOKUP(D48,PQ!$D$35:$E$45,2,0),0)</f>
        <v>71.05</v>
      </c>
      <c r="AD48" s="281"/>
      <c r="AE48" s="281"/>
      <c r="AF48" s="281"/>
      <c r="AG48" s="281"/>
      <c r="AH48" s="281">
        <v>900</v>
      </c>
      <c r="AI48" s="365">
        <f t="shared" si="16"/>
        <v>1069.7476899999999</v>
      </c>
      <c r="AJ48" s="761">
        <f t="shared" si="0"/>
        <v>61.672496000000137</v>
      </c>
      <c r="AK48" s="26">
        <v>600101310624</v>
      </c>
      <c r="AL48" s="157"/>
      <c r="AN48" s="197">
        <f t="shared" si="17"/>
        <v>41</v>
      </c>
      <c r="AO48" s="25" t="str">
        <f t="shared" si="30"/>
        <v>RECALDE NARANJO ANGEL ALEXIS</v>
      </c>
      <c r="AP48" s="374">
        <f t="shared" si="20"/>
        <v>44532</v>
      </c>
      <c r="AQ48" s="27">
        <f t="shared" si="55"/>
        <v>30</v>
      </c>
      <c r="AR48" s="23" t="str">
        <f t="shared" si="38"/>
        <v>Matriz</v>
      </c>
      <c r="AS48" s="198">
        <f t="shared" si="3"/>
        <v>1044.42</v>
      </c>
      <c r="AT48" s="198">
        <f t="shared" si="10"/>
        <v>87.035000000000011</v>
      </c>
      <c r="AU48" s="198">
        <v>0</v>
      </c>
      <c r="AV48" s="198"/>
      <c r="AW48" s="198">
        <f t="shared" si="54"/>
        <v>39.166666666666664</v>
      </c>
      <c r="AX48" s="198">
        <f t="shared" si="4"/>
        <v>43.517500000000005</v>
      </c>
      <c r="AY48" s="199">
        <f t="shared" si="5"/>
        <v>1214.1391666666668</v>
      </c>
      <c r="AZ48" s="198">
        <f t="shared" si="6"/>
        <v>116.45283000000001</v>
      </c>
      <c r="BA48" s="198">
        <f t="shared" si="7"/>
        <v>10.4442</v>
      </c>
      <c r="BB48" s="198">
        <f t="shared" si="8"/>
        <v>126.89703</v>
      </c>
      <c r="BC48" s="200"/>
    </row>
    <row r="49" spans="1:55" ht="24.6" customHeight="1">
      <c r="B49" s="171">
        <f t="shared" si="12"/>
        <v>42</v>
      </c>
      <c r="C49" s="753">
        <v>605031145</v>
      </c>
      <c r="D49" s="753" t="s">
        <v>82</v>
      </c>
      <c r="E49" s="686">
        <v>45066</v>
      </c>
      <c r="F49" s="288" t="s">
        <v>349</v>
      </c>
      <c r="G49" s="23" t="s">
        <v>36</v>
      </c>
      <c r="H49" s="23" t="s">
        <v>110</v>
      </c>
      <c r="I49" s="247">
        <v>30</v>
      </c>
      <c r="J49" s="289">
        <v>613.32000000000005</v>
      </c>
      <c r="K49" s="290">
        <f>IFERROR(VLOOKUP(C49,Tabla15[[CEDULA]:[BONO VEHICULAR]],8,0),0)</f>
        <v>0</v>
      </c>
      <c r="L49" s="622">
        <v>13.33</v>
      </c>
      <c r="M49" s="291">
        <f>+VLOOKUP(C49,Tabla335[[CEDULA ]:[US$,,]],9,0)</f>
        <v>0</v>
      </c>
      <c r="N49" s="292"/>
      <c r="O49" s="292"/>
      <c r="P49" s="325">
        <f>+VLOOKUP(C49,'COMISIONES-SOCIOS'!$C$8:$L$57,10,0)</f>
        <v>0</v>
      </c>
      <c r="Q49" s="293">
        <f>+VLOOKUP(C49,Tabla3[[CEDULA ]:[US$,]],8,0)</f>
        <v>0</v>
      </c>
      <c r="R49" s="293">
        <f>+VLOOKUP($C49,Tabla3[[CEDULA ]:[US$,]],9,0)</f>
        <v>0</v>
      </c>
      <c r="S49" s="31">
        <f t="shared" si="21"/>
        <v>13.33</v>
      </c>
      <c r="T49" s="28">
        <f t="shared" si="22"/>
        <v>626.65000000000009</v>
      </c>
      <c r="U49" s="784">
        <f>VLOOKUP(C49,FR!$C$6:$M$55,11,0)</f>
        <v>52.199945000000007</v>
      </c>
      <c r="V49" s="29"/>
      <c r="W49" s="30"/>
      <c r="X49" s="30"/>
      <c r="Y49" s="31">
        <f t="shared" si="14"/>
        <v>678.84994500000005</v>
      </c>
      <c r="Z49" s="32">
        <f t="shared" si="15"/>
        <v>59.218425000000003</v>
      </c>
      <c r="AA49" s="32"/>
      <c r="AB49" s="32"/>
      <c r="AC49" s="281">
        <f>IFERROR(+VLOOKUP(D49,PQ!$D$35:$E$45,2,0),0)</f>
        <v>0</v>
      </c>
      <c r="AD49" s="281"/>
      <c r="AE49" s="281"/>
      <c r="AF49" s="281"/>
      <c r="AG49" s="281"/>
      <c r="AH49" s="281">
        <v>0</v>
      </c>
      <c r="AI49" s="365">
        <f t="shared" si="16"/>
        <v>59.218425000000003</v>
      </c>
      <c r="AJ49" s="761">
        <f t="shared" si="0"/>
        <v>619.63152000000002</v>
      </c>
      <c r="AK49" s="26">
        <v>600301314632</v>
      </c>
      <c r="AL49" s="157"/>
      <c r="AN49" s="197">
        <f t="shared" si="17"/>
        <v>42</v>
      </c>
      <c r="AO49" s="25" t="str">
        <f t="shared" si="30"/>
        <v>SALAO PEREZ GERMAN FABRICIO</v>
      </c>
      <c r="AP49" s="374">
        <f t="shared" si="20"/>
        <v>45066</v>
      </c>
      <c r="AQ49" s="27">
        <f t="shared" si="55"/>
        <v>30</v>
      </c>
      <c r="AR49" s="23" t="str">
        <f t="shared" si="38"/>
        <v>Durán</v>
      </c>
      <c r="AS49" s="198">
        <f t="shared" si="3"/>
        <v>626.65000000000009</v>
      </c>
      <c r="AT49" s="198">
        <f t="shared" si="10"/>
        <v>52.220833333333339</v>
      </c>
      <c r="AU49" s="198">
        <v>0</v>
      </c>
      <c r="AV49" s="198"/>
      <c r="AW49" s="198">
        <f t="shared" si="54"/>
        <v>39.166666666666664</v>
      </c>
      <c r="AX49" s="198">
        <f t="shared" si="4"/>
        <v>26.110416666666669</v>
      </c>
      <c r="AY49" s="199">
        <f t="shared" si="5"/>
        <v>744.14791666666667</v>
      </c>
      <c r="AZ49" s="198">
        <f t="shared" si="6"/>
        <v>69.871475000000018</v>
      </c>
      <c r="BA49" s="198">
        <f t="shared" si="7"/>
        <v>6.2665000000000006</v>
      </c>
      <c r="BB49" s="198">
        <f t="shared" si="8"/>
        <v>76.137975000000012</v>
      </c>
      <c r="BC49" s="200"/>
    </row>
    <row r="50" spans="1:55" ht="24.6" customHeight="1">
      <c r="B50" s="171">
        <f t="shared" si="12"/>
        <v>43</v>
      </c>
      <c r="C50" s="753">
        <v>927257576</v>
      </c>
      <c r="D50" s="753" t="s">
        <v>39</v>
      </c>
      <c r="E50" s="686">
        <v>44139</v>
      </c>
      <c r="F50" s="288" t="s">
        <v>252</v>
      </c>
      <c r="G50" s="23" t="s">
        <v>36</v>
      </c>
      <c r="H50" s="23" t="s">
        <v>107</v>
      </c>
      <c r="I50" s="247">
        <v>30</v>
      </c>
      <c r="J50" s="289">
        <v>1022.2</v>
      </c>
      <c r="K50" s="728">
        <f>IFERROR(VLOOKUP(C50,Tabla15[[CEDULA]:[BONO VEHICULAR]],8,0),0)</f>
        <v>0</v>
      </c>
      <c r="L50" s="622">
        <v>22.222628</v>
      </c>
      <c r="M50" s="291">
        <f>+VLOOKUP(C50,Tabla335[[CEDULA ]:[US$,,]],9,0)</f>
        <v>0</v>
      </c>
      <c r="N50" s="292"/>
      <c r="O50" s="292"/>
      <c r="P50" s="325">
        <f>+VLOOKUP(C50,'COMISIONES-SOCIOS'!$C$8:$L$57,10,0)</f>
        <v>0</v>
      </c>
      <c r="Q50" s="293">
        <f>+VLOOKUP(C50,Tabla3[[CEDULA ]:[US$,]],8,0)</f>
        <v>0</v>
      </c>
      <c r="R50" s="293">
        <f>+VLOOKUP($C50,Tabla3[[CEDULA ]:[US$,]],9,0)</f>
        <v>0</v>
      </c>
      <c r="S50" s="31">
        <f t="shared" si="21"/>
        <v>22.222628</v>
      </c>
      <c r="T50" s="28">
        <f t="shared" si="22"/>
        <v>1044.422628</v>
      </c>
      <c r="U50" s="784">
        <f>VLOOKUP(C50,FR!$C$6:$M$55,11,0)</f>
        <v>87.000404912400001</v>
      </c>
      <c r="V50" s="29"/>
      <c r="W50" s="30"/>
      <c r="X50" s="30"/>
      <c r="Y50" s="31">
        <f t="shared" si="14"/>
        <v>1131.4230329124</v>
      </c>
      <c r="Z50" s="32">
        <f t="shared" si="15"/>
        <v>98.697938345999987</v>
      </c>
      <c r="AA50" s="32"/>
      <c r="AB50" s="32">
        <v>0</v>
      </c>
      <c r="AC50" s="281">
        <f>IFERROR(+VLOOKUP(D50,PQ!$D$35:$E$45,2,0),0)</f>
        <v>55.57</v>
      </c>
      <c r="AD50" s="281"/>
      <c r="AE50" s="399">
        <f>+T50*3.41%</f>
        <v>35.614811614799997</v>
      </c>
      <c r="AF50" s="281"/>
      <c r="AG50" s="281"/>
      <c r="AH50" s="281">
        <v>426.97</v>
      </c>
      <c r="AI50" s="365">
        <f t="shared" si="16"/>
        <v>616.8527499608</v>
      </c>
      <c r="AJ50" s="761">
        <f t="shared" si="0"/>
        <v>514.57028295160001</v>
      </c>
      <c r="AK50" s="26">
        <v>600101012010</v>
      </c>
      <c r="AL50" s="157"/>
      <c r="AN50" s="197">
        <f t="shared" si="17"/>
        <v>43</v>
      </c>
      <c r="AO50" s="25" t="str">
        <f t="shared" si="30"/>
        <v>SANISACA MITE ISRAEL BENJAMIN</v>
      </c>
      <c r="AP50" s="374">
        <f t="shared" si="20"/>
        <v>44139</v>
      </c>
      <c r="AQ50" s="27">
        <f t="shared" si="55"/>
        <v>30</v>
      </c>
      <c r="AR50" s="23" t="str">
        <f t="shared" si="38"/>
        <v>Norte</v>
      </c>
      <c r="AS50" s="198">
        <f t="shared" si="3"/>
        <v>1044.422628</v>
      </c>
      <c r="AT50" s="198">
        <f t="shared" si="10"/>
        <v>87.035218999999998</v>
      </c>
      <c r="AU50" s="198">
        <v>0</v>
      </c>
      <c r="AV50" s="198"/>
      <c r="AW50" s="198">
        <f t="shared" si="54"/>
        <v>39.166666666666664</v>
      </c>
      <c r="AX50" s="198">
        <f t="shared" si="4"/>
        <v>43.517609499999999</v>
      </c>
      <c r="AY50" s="199">
        <f t="shared" si="5"/>
        <v>1214.1421231666668</v>
      </c>
      <c r="AZ50" s="198">
        <f t="shared" si="6"/>
        <v>116.453123022</v>
      </c>
      <c r="BA50" s="198">
        <f t="shared" si="7"/>
        <v>10.444226280000001</v>
      </c>
      <c r="BB50" s="198">
        <f t="shared" si="8"/>
        <v>126.89734930199999</v>
      </c>
      <c r="BC50" s="200"/>
    </row>
    <row r="51" spans="1:55" ht="24.6" customHeight="1">
      <c r="A51" s="33"/>
      <c r="B51" s="171">
        <f t="shared" si="12"/>
        <v>44</v>
      </c>
      <c r="C51" s="753">
        <v>928901800</v>
      </c>
      <c r="D51" s="753" t="s">
        <v>263</v>
      </c>
      <c r="E51" s="686">
        <v>42856</v>
      </c>
      <c r="F51" s="288" t="s">
        <v>115</v>
      </c>
      <c r="G51" s="23" t="s">
        <v>36</v>
      </c>
      <c r="H51" s="23" t="s">
        <v>104</v>
      </c>
      <c r="I51" s="247">
        <v>30</v>
      </c>
      <c r="J51" s="289">
        <v>511.1</v>
      </c>
      <c r="K51" s="290">
        <f>IFERROR(VLOOKUP(C51,Tabla15[[CEDULA]:[BONO VEHICULAR]],8,0),0)</f>
        <v>100</v>
      </c>
      <c r="L51" s="622">
        <v>11.11</v>
      </c>
      <c r="M51" s="291">
        <f>+VLOOKUP(C51,Tabla335[[CEDULA ]:[US$,,]],9,0)</f>
        <v>0</v>
      </c>
      <c r="N51" s="292"/>
      <c r="O51" s="292"/>
      <c r="P51" s="325">
        <f>+VLOOKUP(C51,'COMISIONES-SOCIOS'!$C$8:$L$57,10,0)</f>
        <v>0</v>
      </c>
      <c r="Q51" s="293">
        <f>+VLOOKUP(C51,Tabla3[[CEDULA ]:[US$,]],8,0)</f>
        <v>0</v>
      </c>
      <c r="R51" s="293">
        <f>+VLOOKUP($C51,Tabla3[[CEDULA ]:[US$,]],9,0)</f>
        <v>0</v>
      </c>
      <c r="S51" s="31">
        <f t="shared" si="21"/>
        <v>111.11</v>
      </c>
      <c r="T51" s="28">
        <f t="shared" si="22"/>
        <v>622.21</v>
      </c>
      <c r="U51" s="784">
        <f>VLOOKUP(C51,FR!$C$6:$M$55,11,0)</f>
        <v>51.830093000000005</v>
      </c>
      <c r="V51" s="29"/>
      <c r="W51" s="30"/>
      <c r="X51" s="30"/>
      <c r="Y51" s="31">
        <f t="shared" si="14"/>
        <v>674.04009300000007</v>
      </c>
      <c r="Z51" s="32">
        <f t="shared" si="15"/>
        <v>58.798844999999993</v>
      </c>
      <c r="AA51" s="32"/>
      <c r="AB51" s="32"/>
      <c r="AC51" s="281">
        <f>IFERROR(+VLOOKUP(D51,PQ!$D$35:$E$45,2,0),0)</f>
        <v>84.3</v>
      </c>
      <c r="AD51" s="281">
        <v>0</v>
      </c>
      <c r="AE51" s="281"/>
      <c r="AF51" s="402">
        <v>0</v>
      </c>
      <c r="AG51" s="281"/>
      <c r="AH51" s="281">
        <v>150</v>
      </c>
      <c r="AI51" s="365">
        <f t="shared" si="16"/>
        <v>293.09884499999998</v>
      </c>
      <c r="AJ51" s="761">
        <f t="shared" si="0"/>
        <v>380.94124800000009</v>
      </c>
      <c r="AK51" s="26">
        <v>600101008569</v>
      </c>
      <c r="AL51" s="157"/>
      <c r="AN51" s="197">
        <f t="shared" si="17"/>
        <v>44</v>
      </c>
      <c r="AO51" s="25" t="str">
        <f t="shared" si="30"/>
        <v>TADAY GUAMAN NÉSTOR ALONSO</v>
      </c>
      <c r="AP51" s="374">
        <f t="shared" si="20"/>
        <v>42856</v>
      </c>
      <c r="AQ51" s="27">
        <f t="shared" si="55"/>
        <v>30</v>
      </c>
      <c r="AR51" s="23" t="str">
        <f t="shared" si="38"/>
        <v>Matriz</v>
      </c>
      <c r="AS51" s="198">
        <f t="shared" si="3"/>
        <v>622.21</v>
      </c>
      <c r="AT51" s="198">
        <f t="shared" si="10"/>
        <v>51.850833333333334</v>
      </c>
      <c r="AU51" s="198">
        <v>0</v>
      </c>
      <c r="AV51" s="198"/>
      <c r="AW51" s="198">
        <f t="shared" si="54"/>
        <v>39.166666666666664</v>
      </c>
      <c r="AX51" s="198">
        <f t="shared" si="4"/>
        <v>25.925416666666667</v>
      </c>
      <c r="AY51" s="199">
        <f t="shared" si="5"/>
        <v>739.15291666666667</v>
      </c>
      <c r="AZ51" s="198">
        <f t="shared" si="6"/>
        <v>69.376415000000009</v>
      </c>
      <c r="BA51" s="198">
        <f t="shared" si="7"/>
        <v>6.2221000000000002</v>
      </c>
      <c r="BB51" s="198">
        <f t="shared" si="8"/>
        <v>75.598515000000006</v>
      </c>
      <c r="BC51" s="200"/>
    </row>
    <row r="52" spans="1:55" ht="24.6" customHeight="1">
      <c r="A52" s="33"/>
      <c r="B52" s="171">
        <f t="shared" si="12"/>
        <v>45</v>
      </c>
      <c r="C52" s="753">
        <v>951315746</v>
      </c>
      <c r="D52" s="753" t="s">
        <v>73</v>
      </c>
      <c r="E52" s="687">
        <v>44837</v>
      </c>
      <c r="F52" s="288" t="s">
        <v>349</v>
      </c>
      <c r="G52" s="37" t="s">
        <v>35</v>
      </c>
      <c r="H52" s="37" t="s">
        <v>104</v>
      </c>
      <c r="I52" s="233">
        <v>30</v>
      </c>
      <c r="J52" s="295">
        <v>613.32000000000005</v>
      </c>
      <c r="K52" s="290">
        <f>IFERROR(VLOOKUP(C52,Tabla15[[CEDULA]:[BONO VEHICULAR]],8,0),0)</f>
        <v>0</v>
      </c>
      <c r="L52" s="622">
        <v>13.33</v>
      </c>
      <c r="M52" s="291">
        <f>+VLOOKUP(C52,Tabla335[[CEDULA ]:[US$,,]],9,0)</f>
        <v>0</v>
      </c>
      <c r="N52" s="292"/>
      <c r="O52" s="292"/>
      <c r="P52" s="325">
        <f>+VLOOKUP(C52,'COMISIONES-SOCIOS'!$C$8:$L$57,10,0)</f>
        <v>0</v>
      </c>
      <c r="Q52" s="293">
        <f>+VLOOKUP(C52,Tabla3[[CEDULA ]:[US$,]],8,0)</f>
        <v>0</v>
      </c>
      <c r="R52" s="293">
        <f>+VLOOKUP($C52,Tabla3[[CEDULA ]:[US$,]],9,0)</f>
        <v>0</v>
      </c>
      <c r="S52" s="31">
        <f t="shared" si="21"/>
        <v>13.33</v>
      </c>
      <c r="T52" s="28">
        <f t="shared" si="22"/>
        <v>626.65000000000009</v>
      </c>
      <c r="U52" s="784">
        <f>VLOOKUP(C52,FR!$C$6:$M$55,11,0)</f>
        <v>52.199945000000007</v>
      </c>
      <c r="V52" s="29"/>
      <c r="W52" s="30"/>
      <c r="X52" s="30"/>
      <c r="Y52" s="31">
        <f t="shared" si="14"/>
        <v>678.84994500000005</v>
      </c>
      <c r="Z52" s="32">
        <f t="shared" si="15"/>
        <v>59.218425000000003</v>
      </c>
      <c r="AA52" s="32"/>
      <c r="AB52" s="32"/>
      <c r="AC52" s="281">
        <f>IFERROR(+VLOOKUP(D52,PQ!$D$35:$E$45,2,0),0)</f>
        <v>0</v>
      </c>
      <c r="AD52" s="281"/>
      <c r="AE52" s="281"/>
      <c r="AF52" s="281"/>
      <c r="AG52" s="281"/>
      <c r="AH52" s="281">
        <v>350</v>
      </c>
      <c r="AI52" s="365">
        <f t="shared" si="16"/>
        <v>409.21842500000002</v>
      </c>
      <c r="AJ52" s="761">
        <f t="shared" si="0"/>
        <v>269.63152000000002</v>
      </c>
      <c r="AK52" s="26">
        <v>600201312646</v>
      </c>
      <c r="AL52" s="157"/>
      <c r="AN52" s="197">
        <f t="shared" si="17"/>
        <v>45</v>
      </c>
      <c r="AO52" s="25" t="str">
        <f t="shared" si="30"/>
        <v>TIGUA MONTERO KAREN LISBETH</v>
      </c>
      <c r="AP52" s="374">
        <f t="shared" si="20"/>
        <v>44837</v>
      </c>
      <c r="AQ52" s="27">
        <f t="shared" si="55"/>
        <v>30</v>
      </c>
      <c r="AR52" s="23" t="str">
        <f t="shared" si="38"/>
        <v>Matriz</v>
      </c>
      <c r="AS52" s="198">
        <f t="shared" si="3"/>
        <v>626.65000000000009</v>
      </c>
      <c r="AT52" s="198">
        <f t="shared" si="10"/>
        <v>52.220833333333339</v>
      </c>
      <c r="AU52" s="198">
        <v>0</v>
      </c>
      <c r="AV52" s="198"/>
      <c r="AW52" s="198">
        <f t="shared" si="54"/>
        <v>39.166666666666664</v>
      </c>
      <c r="AX52" s="198">
        <f t="shared" si="4"/>
        <v>26.110416666666669</v>
      </c>
      <c r="AY52" s="199">
        <f t="shared" si="5"/>
        <v>744.14791666666667</v>
      </c>
      <c r="AZ52" s="198">
        <f t="shared" si="6"/>
        <v>69.871475000000018</v>
      </c>
      <c r="BA52" s="198">
        <f t="shared" si="7"/>
        <v>6.2665000000000006</v>
      </c>
      <c r="BB52" s="198">
        <f t="shared" si="8"/>
        <v>76.137975000000012</v>
      </c>
      <c r="BC52" s="200"/>
    </row>
    <row r="53" spans="1:55" ht="24.6" customHeight="1">
      <c r="A53" s="33"/>
      <c r="B53" s="171">
        <f t="shared" si="12"/>
        <v>46</v>
      </c>
      <c r="C53" s="753">
        <v>954184321</v>
      </c>
      <c r="D53" s="753" t="s">
        <v>47</v>
      </c>
      <c r="E53" s="686">
        <v>44378</v>
      </c>
      <c r="F53" s="288" t="s">
        <v>469</v>
      </c>
      <c r="G53" s="23" t="s">
        <v>36</v>
      </c>
      <c r="H53" s="23" t="s">
        <v>104</v>
      </c>
      <c r="I53" s="247">
        <v>30</v>
      </c>
      <c r="J53" s="289">
        <v>511.1</v>
      </c>
      <c r="K53" s="290">
        <f>IFERROR(VLOOKUP(C53,Tabla15[[CEDULA]:[BONO VEHICULAR]],8,0),0)</f>
        <v>100</v>
      </c>
      <c r="L53" s="622">
        <v>11.11</v>
      </c>
      <c r="M53" s="291">
        <f>+VLOOKUP(C53,Tabla335[[CEDULA ]:[US$,,]],9,0)</f>
        <v>0</v>
      </c>
      <c r="N53" s="292"/>
      <c r="O53" s="292"/>
      <c r="P53" s="325">
        <f>+VLOOKUP(C53,'COMISIONES-SOCIOS'!$C$8:$L$57,10,0)</f>
        <v>0</v>
      </c>
      <c r="Q53" s="293">
        <f>+VLOOKUP(C53,Tabla3[[CEDULA ]:[US$,]],8,0)</f>
        <v>0</v>
      </c>
      <c r="R53" s="293">
        <f>+VLOOKUP($C53,Tabla3[[CEDULA ]:[US$,]],9,0)</f>
        <v>0</v>
      </c>
      <c r="S53" s="31">
        <f t="shared" si="21"/>
        <v>111.11</v>
      </c>
      <c r="T53" s="28">
        <f t="shared" si="22"/>
        <v>622.21</v>
      </c>
      <c r="U53" s="784">
        <f>VLOOKUP(C53,FR!$C$6:$M$55,11,0)</f>
        <v>51.830093000000005</v>
      </c>
      <c r="V53" s="29"/>
      <c r="W53" s="30"/>
      <c r="X53" s="30"/>
      <c r="Y53" s="31">
        <f t="shared" si="14"/>
        <v>674.04009300000007</v>
      </c>
      <c r="Z53" s="32">
        <f t="shared" si="15"/>
        <v>58.798844999999993</v>
      </c>
      <c r="AA53" s="32"/>
      <c r="AB53" s="32"/>
      <c r="AC53" s="281">
        <f>IFERROR(+VLOOKUP(D53,PQ!$D$35:$E$45,2,0),0)</f>
        <v>0</v>
      </c>
      <c r="AD53" s="281"/>
      <c r="AE53" s="281"/>
      <c r="AF53" s="281"/>
      <c r="AG53" s="281"/>
      <c r="AH53" s="281">
        <v>200</v>
      </c>
      <c r="AI53" s="365">
        <f t="shared" si="16"/>
        <v>258.79884499999997</v>
      </c>
      <c r="AJ53" s="761">
        <f t="shared" si="0"/>
        <v>415.2412480000001</v>
      </c>
      <c r="AK53" s="26">
        <v>600101008248</v>
      </c>
      <c r="AL53" s="157"/>
      <c r="AN53" s="197">
        <f t="shared" si="17"/>
        <v>46</v>
      </c>
      <c r="AO53" s="25" t="str">
        <f t="shared" si="30"/>
        <v>URQUIZO GUARANGA ALEX EFRAIN</v>
      </c>
      <c r="AP53" s="374">
        <f t="shared" si="20"/>
        <v>44378</v>
      </c>
      <c r="AQ53" s="27">
        <f t="shared" si="55"/>
        <v>30</v>
      </c>
      <c r="AR53" s="23" t="str">
        <f t="shared" si="38"/>
        <v>Matriz</v>
      </c>
      <c r="AS53" s="198">
        <f t="shared" si="3"/>
        <v>622.21</v>
      </c>
      <c r="AT53" s="198">
        <f t="shared" si="10"/>
        <v>51.850833333333334</v>
      </c>
      <c r="AU53" s="198">
        <v>0</v>
      </c>
      <c r="AV53" s="198"/>
      <c r="AW53" s="198">
        <f t="shared" si="54"/>
        <v>39.166666666666664</v>
      </c>
      <c r="AX53" s="198">
        <f t="shared" si="4"/>
        <v>25.925416666666667</v>
      </c>
      <c r="AY53" s="199">
        <f t="shared" si="5"/>
        <v>739.15291666666667</v>
      </c>
      <c r="AZ53" s="198">
        <f t="shared" si="6"/>
        <v>69.376415000000009</v>
      </c>
      <c r="BA53" s="198">
        <f t="shared" si="7"/>
        <v>6.2221000000000002</v>
      </c>
      <c r="BB53" s="198">
        <f t="shared" si="8"/>
        <v>75.598515000000006</v>
      </c>
      <c r="BC53" s="200"/>
    </row>
    <row r="54" spans="1:55" ht="24.6" customHeight="1">
      <c r="B54" s="171">
        <f t="shared" si="12"/>
        <v>47</v>
      </c>
      <c r="C54" s="753">
        <v>922034772</v>
      </c>
      <c r="D54" s="753" t="s">
        <v>38</v>
      </c>
      <c r="E54" s="686">
        <v>44110</v>
      </c>
      <c r="F54" s="288" t="s">
        <v>351</v>
      </c>
      <c r="G54" s="23" t="s">
        <v>35</v>
      </c>
      <c r="H54" s="23" t="s">
        <v>104</v>
      </c>
      <c r="I54" s="247">
        <v>30</v>
      </c>
      <c r="J54" s="289">
        <v>700</v>
      </c>
      <c r="K54" s="290">
        <f>IFERROR(VLOOKUP(C54,Tabla15[[CEDULA]:[BONO VEHICULAR]],8,0),0)</f>
        <v>0</v>
      </c>
      <c r="L54" s="622">
        <v>0</v>
      </c>
      <c r="M54" s="291">
        <f>+VLOOKUP(C54,Tabla335[[CEDULA ]:[US$,,]],9,0)</f>
        <v>0</v>
      </c>
      <c r="N54" s="292"/>
      <c r="O54" s="292"/>
      <c r="P54" s="325">
        <f>+VLOOKUP(C54,'COMISIONES-SOCIOS'!$C$8:$L$57,10,0)</f>
        <v>0</v>
      </c>
      <c r="Q54" s="293">
        <f>+VLOOKUP(C54,Tabla3[[CEDULA ]:[US$,]],8,0)</f>
        <v>0</v>
      </c>
      <c r="R54" s="293">
        <f>+VLOOKUP($C54,Tabla3[[CEDULA ]:[US$,]],9,0)</f>
        <v>0</v>
      </c>
      <c r="S54" s="31">
        <f t="shared" si="21"/>
        <v>0</v>
      </c>
      <c r="T54" s="28">
        <f t="shared" si="22"/>
        <v>700</v>
      </c>
      <c r="U54" s="784">
        <f>VLOOKUP(C54,FR!$C$6:$M$55,11,0)</f>
        <v>58.31</v>
      </c>
      <c r="V54" s="29"/>
      <c r="W54" s="30"/>
      <c r="X54" s="30"/>
      <c r="Y54" s="31">
        <f t="shared" si="14"/>
        <v>758.31</v>
      </c>
      <c r="Z54" s="32">
        <f t="shared" si="15"/>
        <v>66.149999999999991</v>
      </c>
      <c r="AA54" s="32"/>
      <c r="AB54" s="32"/>
      <c r="AC54" s="281">
        <f>IFERROR(+VLOOKUP(D54,PQ!$D$35:$E$45,2,0),0)</f>
        <v>0</v>
      </c>
      <c r="AD54" s="281"/>
      <c r="AE54" s="281"/>
      <c r="AF54" s="281"/>
      <c r="AG54" s="281"/>
      <c r="AH54" s="281">
        <v>600</v>
      </c>
      <c r="AI54" s="365">
        <f t="shared" si="16"/>
        <v>666.15</v>
      </c>
      <c r="AJ54" s="761">
        <f t="shared" si="0"/>
        <v>92.159999999999968</v>
      </c>
      <c r="AK54" s="26">
        <v>600101011966</v>
      </c>
      <c r="AL54" s="157"/>
      <c r="AN54" s="197">
        <f t="shared" si="17"/>
        <v>47</v>
      </c>
      <c r="AO54" s="25" t="str">
        <f t="shared" si="30"/>
        <v>VERA GUEVARA PAOLA KARINA</v>
      </c>
      <c r="AP54" s="374">
        <f t="shared" si="20"/>
        <v>44110</v>
      </c>
      <c r="AQ54" s="27">
        <f t="shared" si="55"/>
        <v>30</v>
      </c>
      <c r="AR54" s="23" t="str">
        <f t="shared" si="38"/>
        <v>Matriz</v>
      </c>
      <c r="AS54" s="198">
        <f t="shared" si="3"/>
        <v>700</v>
      </c>
      <c r="AT54" s="198">
        <f t="shared" si="10"/>
        <v>58.333333333333336</v>
      </c>
      <c r="AU54" s="198">
        <v>0</v>
      </c>
      <c r="AV54" s="198"/>
      <c r="AW54" s="198">
        <f t="shared" si="54"/>
        <v>39.166666666666664</v>
      </c>
      <c r="AX54" s="198">
        <f t="shared" si="4"/>
        <v>29.166666666666668</v>
      </c>
      <c r="AY54" s="199">
        <f t="shared" si="5"/>
        <v>826.66666666666663</v>
      </c>
      <c r="AZ54" s="198">
        <f t="shared" si="6"/>
        <v>78.05</v>
      </c>
      <c r="BA54" s="198">
        <f t="shared" si="7"/>
        <v>7</v>
      </c>
      <c r="BB54" s="198">
        <f t="shared" si="8"/>
        <v>85.05</v>
      </c>
      <c r="BC54" s="200"/>
    </row>
    <row r="55" spans="1:55" ht="24.6" customHeight="1">
      <c r="B55" s="171">
        <f t="shared" si="12"/>
        <v>48</v>
      </c>
      <c r="C55" s="753">
        <v>923837991</v>
      </c>
      <c r="D55" s="753" t="s">
        <v>251</v>
      </c>
      <c r="E55" s="686">
        <v>41426</v>
      </c>
      <c r="F55" s="288" t="s">
        <v>116</v>
      </c>
      <c r="G55" s="23" t="s">
        <v>35</v>
      </c>
      <c r="H55" s="23" t="s">
        <v>104</v>
      </c>
      <c r="I55" s="247">
        <v>30</v>
      </c>
      <c r="J55" s="289">
        <v>1022.2</v>
      </c>
      <c r="K55" s="290">
        <f>IFERROR(VLOOKUP(C55,Tabla15[[CEDULA]:[BONO VEHICULAR]],8,0),0)</f>
        <v>0</v>
      </c>
      <c r="L55" s="622">
        <v>100</v>
      </c>
      <c r="M55" s="291">
        <f>+VLOOKUP(C55,Tabla335[[CEDULA ]:[US$,,]],9,0)</f>
        <v>0</v>
      </c>
      <c r="N55" s="292"/>
      <c r="O55" s="292"/>
      <c r="P55" s="325">
        <f>+VLOOKUP(C55,'COMISIONES-SOCIOS'!$C$8:$L$57,10,0)</f>
        <v>0</v>
      </c>
      <c r="Q55" s="293">
        <f>+VLOOKUP(C55,Tabla3[[CEDULA ]:[US$,]],8,0)</f>
        <v>0</v>
      </c>
      <c r="R55" s="293">
        <f>+VLOOKUP($C55,Tabla3[[CEDULA ]:[US$,]],9,0)</f>
        <v>0</v>
      </c>
      <c r="S55" s="31">
        <f t="shared" si="21"/>
        <v>100</v>
      </c>
      <c r="T55" s="28">
        <f t="shared" si="22"/>
        <v>1122.2</v>
      </c>
      <c r="U55" s="784">
        <f>VLOOKUP(C55,FR!$C$6:$M$55,11,0)</f>
        <v>93.479259999999996</v>
      </c>
      <c r="V55" s="29"/>
      <c r="W55" s="30"/>
      <c r="X55" s="30"/>
      <c r="Y55" s="31">
        <f t="shared" si="14"/>
        <v>1215.6792600000001</v>
      </c>
      <c r="Z55" s="32">
        <f t="shared" si="15"/>
        <v>106.04789999999998</v>
      </c>
      <c r="AA55" s="32"/>
      <c r="AB55" s="32"/>
      <c r="AC55" s="281">
        <f>IFERROR(+VLOOKUP(D55,PQ!$D$35:$E$45,2,0),0)</f>
        <v>0</v>
      </c>
      <c r="AD55" s="281">
        <v>0</v>
      </c>
      <c r="AE55" s="281"/>
      <c r="AF55" s="281"/>
      <c r="AG55" s="281"/>
      <c r="AH55" s="281">
        <v>850</v>
      </c>
      <c r="AI55" s="365">
        <f t="shared" si="16"/>
        <v>956.04790000000003</v>
      </c>
      <c r="AJ55" s="761">
        <f t="shared" si="0"/>
        <v>259.63136000000009</v>
      </c>
      <c r="AK55" s="26">
        <v>600101004961</v>
      </c>
      <c r="AL55" s="157"/>
      <c r="AN55" s="197">
        <f t="shared" si="17"/>
        <v>48</v>
      </c>
      <c r="AO55" s="25" t="str">
        <f t="shared" si="30"/>
        <v>YUNDA CUJILEMA MARIA TERESA</v>
      </c>
      <c r="AP55" s="374">
        <f t="shared" si="20"/>
        <v>41426</v>
      </c>
      <c r="AQ55" s="27">
        <f t="shared" si="55"/>
        <v>30</v>
      </c>
      <c r="AR55" s="23" t="str">
        <f t="shared" si="38"/>
        <v>Matriz</v>
      </c>
      <c r="AS55" s="198">
        <f>T55</f>
        <v>1122.2</v>
      </c>
      <c r="AT55" s="198">
        <f t="shared" si="10"/>
        <v>93.516666666666666</v>
      </c>
      <c r="AU55" s="198">
        <v>0</v>
      </c>
      <c r="AV55" s="198"/>
      <c r="AW55" s="198">
        <f t="shared" si="54"/>
        <v>39.166666666666664</v>
      </c>
      <c r="AX55" s="198">
        <f t="shared" si="4"/>
        <v>46.758333333333333</v>
      </c>
      <c r="AY55" s="199">
        <f t="shared" si="5"/>
        <v>1301.6416666666669</v>
      </c>
      <c r="AZ55" s="198">
        <f t="shared" si="6"/>
        <v>125.12530000000001</v>
      </c>
      <c r="BA55" s="198">
        <f t="shared" si="7"/>
        <v>11.222000000000001</v>
      </c>
      <c r="BB55" s="198">
        <f t="shared" si="8"/>
        <v>136.34730000000002</v>
      </c>
      <c r="BC55" s="200"/>
    </row>
    <row r="56" spans="1:55" ht="24.6" customHeight="1">
      <c r="B56" s="171">
        <f t="shared" si="12"/>
        <v>49</v>
      </c>
      <c r="C56" s="753">
        <v>941508905</v>
      </c>
      <c r="D56" s="753" t="s">
        <v>28</v>
      </c>
      <c r="E56" s="686">
        <v>43567</v>
      </c>
      <c r="F56" s="288" t="s">
        <v>469</v>
      </c>
      <c r="G56" s="23" t="s">
        <v>36</v>
      </c>
      <c r="H56" s="23" t="s">
        <v>104</v>
      </c>
      <c r="I56" s="247">
        <v>30</v>
      </c>
      <c r="J56" s="289">
        <v>511.1</v>
      </c>
      <c r="K56" s="290">
        <f>IFERROR(VLOOKUP(C56,Tabla15[[CEDULA]:[BONO VEHICULAR]],8,0),0)</f>
        <v>100</v>
      </c>
      <c r="L56" s="622">
        <v>11.11</v>
      </c>
      <c r="M56" s="291">
        <f>+VLOOKUP(C56,Tabla335[[CEDULA ]:[US$,,]],9,0)</f>
        <v>0</v>
      </c>
      <c r="N56" s="292"/>
      <c r="O56" s="292"/>
      <c r="P56" s="325">
        <f>+VLOOKUP(C56,'COMISIONES-SOCIOS'!$C$8:$L$57,10,0)</f>
        <v>0</v>
      </c>
      <c r="Q56" s="293">
        <f>+VLOOKUP(C56,Tabla3[[CEDULA ]:[US$,]],8,0)</f>
        <v>0</v>
      </c>
      <c r="R56" s="293">
        <f>+VLOOKUP($C56,Tabla3[[CEDULA ]:[US$,]],9,0)</f>
        <v>0</v>
      </c>
      <c r="S56" s="31">
        <f t="shared" si="21"/>
        <v>111.11</v>
      </c>
      <c r="T56" s="28">
        <f t="shared" si="22"/>
        <v>622.21</v>
      </c>
      <c r="U56" s="784">
        <f>VLOOKUP(C56,FR!$C$6:$M$55,11,0)</f>
        <v>51.830093000000005</v>
      </c>
      <c r="V56" s="29"/>
      <c r="W56" s="30"/>
      <c r="X56" s="30"/>
      <c r="Y56" s="31">
        <f t="shared" si="14"/>
        <v>674.04009300000007</v>
      </c>
      <c r="Z56" s="32">
        <f t="shared" si="15"/>
        <v>58.798844999999993</v>
      </c>
      <c r="AA56" s="32"/>
      <c r="AB56" s="32"/>
      <c r="AC56" s="281">
        <f>IFERROR(+VLOOKUP(D56,PQ!$D$35:$E$45,2,0),0)</f>
        <v>0</v>
      </c>
      <c r="AD56" s="281"/>
      <c r="AE56" s="281"/>
      <c r="AF56" s="281"/>
      <c r="AG56" s="281"/>
      <c r="AH56" s="281">
        <v>500</v>
      </c>
      <c r="AI56" s="365">
        <f t="shared" si="16"/>
        <v>558.79884500000003</v>
      </c>
      <c r="AJ56" s="761">
        <f t="shared" si="0"/>
        <v>115.24124800000004</v>
      </c>
      <c r="AK56" s="26">
        <v>600101008981</v>
      </c>
      <c r="AL56" s="157"/>
      <c r="AN56" s="197">
        <f t="shared" si="17"/>
        <v>49</v>
      </c>
      <c r="AO56" s="25" t="str">
        <f t="shared" si="30"/>
        <v>YUQUILEMA CACUANGO ANGEL JOSE</v>
      </c>
      <c r="AP56" s="374">
        <f t="shared" si="20"/>
        <v>43567</v>
      </c>
      <c r="AQ56" s="27">
        <f t="shared" si="55"/>
        <v>30</v>
      </c>
      <c r="AR56" s="23" t="str">
        <f t="shared" si="38"/>
        <v>Matriz</v>
      </c>
      <c r="AS56" s="198">
        <f t="shared" si="3"/>
        <v>622.21</v>
      </c>
      <c r="AT56" s="198">
        <f t="shared" si="10"/>
        <v>51.850833333333334</v>
      </c>
      <c r="AU56" s="198">
        <v>0</v>
      </c>
      <c r="AV56" s="198"/>
      <c r="AW56" s="198">
        <f t="shared" si="54"/>
        <v>39.166666666666664</v>
      </c>
      <c r="AX56" s="198">
        <f t="shared" si="4"/>
        <v>25.925416666666667</v>
      </c>
      <c r="AY56" s="199">
        <f t="shared" si="5"/>
        <v>739.15291666666667</v>
      </c>
      <c r="AZ56" s="198">
        <f t="shared" si="6"/>
        <v>69.376415000000009</v>
      </c>
      <c r="BA56" s="198">
        <f t="shared" si="7"/>
        <v>6.2221000000000002</v>
      </c>
      <c r="BB56" s="198">
        <f t="shared" si="8"/>
        <v>75.598515000000006</v>
      </c>
      <c r="BC56" s="200"/>
    </row>
    <row r="57" spans="1:55" ht="24.6" customHeight="1">
      <c r="A57" s="33"/>
      <c r="B57" s="171">
        <f t="shared" si="12"/>
        <v>50</v>
      </c>
      <c r="C57" s="753">
        <v>604154575</v>
      </c>
      <c r="D57" s="753" t="s">
        <v>30</v>
      </c>
      <c r="E57" s="686">
        <v>43379</v>
      </c>
      <c r="F57" s="288" t="s">
        <v>252</v>
      </c>
      <c r="G57" s="23" t="s">
        <v>36</v>
      </c>
      <c r="H57" s="23" t="s">
        <v>110</v>
      </c>
      <c r="I57" s="247">
        <v>30</v>
      </c>
      <c r="J57" s="289">
        <v>1022.2</v>
      </c>
      <c r="K57" s="290">
        <f>IFERROR(VLOOKUP(C57,Tabla15[[CEDULA]:[BONO VEHICULAR]],8,0),0)</f>
        <v>0</v>
      </c>
      <c r="L57" s="622">
        <v>0</v>
      </c>
      <c r="M57" s="291">
        <f>+VLOOKUP(C57,Tabla335[[CEDULA ]:[US$,,]],9,0)</f>
        <v>0</v>
      </c>
      <c r="N57" s="292"/>
      <c r="O57" s="292"/>
      <c r="P57" s="325">
        <f>+VLOOKUP(C57,'COMISIONES-SOCIOS'!$C$8:$L$57,10,0)</f>
        <v>0</v>
      </c>
      <c r="Q57" s="293">
        <f>+VLOOKUP(C57,Tabla3[[CEDULA ]:[US$,]],8,0)</f>
        <v>0</v>
      </c>
      <c r="R57" s="293">
        <f>+VLOOKUP($C57,Tabla3[[CEDULA ]:[US$,]],9,0)</f>
        <v>0</v>
      </c>
      <c r="S57" s="31">
        <f t="shared" si="21"/>
        <v>0</v>
      </c>
      <c r="T57" s="28">
        <f t="shared" si="22"/>
        <v>1022.2</v>
      </c>
      <c r="U57" s="784">
        <f>VLOOKUP(C57,FR!$C$6:$M$55,11,0)</f>
        <v>85.149259999999998</v>
      </c>
      <c r="V57" s="29"/>
      <c r="W57" s="30"/>
      <c r="X57" s="30"/>
      <c r="Y57" s="31">
        <f t="shared" si="14"/>
        <v>1107.34926</v>
      </c>
      <c r="Z57" s="32">
        <f t="shared" si="15"/>
        <v>96.597899999999996</v>
      </c>
      <c r="AA57" s="32"/>
      <c r="AB57" s="32">
        <v>0</v>
      </c>
      <c r="AC57" s="281">
        <f>IFERROR(+VLOOKUP(D57,PQ!$D$35:$E$45,2,0),0)</f>
        <v>0</v>
      </c>
      <c r="AD57" s="281"/>
      <c r="AE57" s="281"/>
      <c r="AF57" s="281"/>
      <c r="AG57" s="281">
        <v>0</v>
      </c>
      <c r="AH57" s="281">
        <v>800</v>
      </c>
      <c r="AI57" s="365">
        <f t="shared" si="16"/>
        <v>896.59789999999998</v>
      </c>
      <c r="AJ57" s="761">
        <f t="shared" si="0"/>
        <v>210.75135999999998</v>
      </c>
      <c r="AK57" s="196">
        <v>600101003932</v>
      </c>
      <c r="AL57" s="157"/>
      <c r="AN57" s="197">
        <f t="shared" si="17"/>
        <v>50</v>
      </c>
      <c r="AO57" s="25" t="str">
        <f t="shared" si="30"/>
        <v>YUQUILEMA DELGADO PEDRO ANTONIO</v>
      </c>
      <c r="AP57" s="374">
        <f t="shared" si="20"/>
        <v>43379</v>
      </c>
      <c r="AQ57" s="27">
        <f t="shared" si="55"/>
        <v>30</v>
      </c>
      <c r="AR57" s="23" t="str">
        <f t="shared" si="38"/>
        <v>Durán</v>
      </c>
      <c r="AS57" s="198">
        <f t="shared" si="3"/>
        <v>1022.2</v>
      </c>
      <c r="AT57" s="198">
        <f t="shared" si="10"/>
        <v>85.183333333333337</v>
      </c>
      <c r="AU57" s="198">
        <v>0</v>
      </c>
      <c r="AV57" s="198"/>
      <c r="AW57" s="198">
        <f t="shared" si="54"/>
        <v>39.166666666666664</v>
      </c>
      <c r="AX57" s="198">
        <f t="shared" si="4"/>
        <v>42.591666666666669</v>
      </c>
      <c r="AY57" s="199">
        <f t="shared" si="5"/>
        <v>1189.1416666666669</v>
      </c>
      <c r="AZ57" s="198">
        <f t="shared" si="6"/>
        <v>113.9753</v>
      </c>
      <c r="BA57" s="198">
        <f t="shared" si="7"/>
        <v>10.222000000000001</v>
      </c>
      <c r="BB57" s="198">
        <f t="shared" si="8"/>
        <v>124.19730000000001</v>
      </c>
      <c r="BC57" s="200"/>
    </row>
    <row r="58" spans="1:55" ht="22.2" customHeight="1">
      <c r="B58" s="153"/>
      <c r="C58" s="154"/>
      <c r="D58" s="749" t="s">
        <v>32</v>
      </c>
      <c r="E58" s="688"/>
      <c r="F58" s="296"/>
      <c r="G58" s="297"/>
      <c r="H58" s="297"/>
      <c r="I58" s="298"/>
      <c r="J58" s="299">
        <f t="shared" ref="J58:X58" si="68">SUBTOTAL(9,J8:J57)</f>
        <v>30990.649999999994</v>
      </c>
      <c r="K58" s="299">
        <f t="shared" si="68"/>
        <v>1070</v>
      </c>
      <c r="L58" s="299">
        <f t="shared" si="68"/>
        <v>1607.1266279999993</v>
      </c>
      <c r="M58" s="299">
        <f t="shared" si="68"/>
        <v>737.54</v>
      </c>
      <c r="N58" s="299">
        <f t="shared" si="68"/>
        <v>0</v>
      </c>
      <c r="O58" s="299">
        <f t="shared" si="68"/>
        <v>0</v>
      </c>
      <c r="P58" s="299">
        <f t="shared" si="68"/>
        <v>0</v>
      </c>
      <c r="Q58" s="299">
        <f t="shared" si="68"/>
        <v>0</v>
      </c>
      <c r="R58" s="299">
        <f t="shared" si="68"/>
        <v>0</v>
      </c>
      <c r="S58" s="149">
        <f t="shared" si="68"/>
        <v>3414.6666279999999</v>
      </c>
      <c r="T58" s="149">
        <f t="shared" si="68"/>
        <v>34405.316628</v>
      </c>
      <c r="U58" s="583">
        <f t="shared" si="68"/>
        <v>2259.8069345124009</v>
      </c>
      <c r="V58" s="583">
        <f t="shared" si="68"/>
        <v>0</v>
      </c>
      <c r="W58" s="149">
        <f t="shared" si="68"/>
        <v>225</v>
      </c>
      <c r="X58" s="149">
        <f t="shared" si="68"/>
        <v>39.166666666666664</v>
      </c>
      <c r="Y58" s="149">
        <f>SUBTOTAL(9,Y8:Y57)</f>
        <v>36929.290229179074</v>
      </c>
      <c r="Z58" s="149">
        <f>T58*9.45%</f>
        <v>3251.3024213459994</v>
      </c>
      <c r="AA58" s="149">
        <f>+SUBTOTAL(9,AA8:AA57)</f>
        <v>51.88</v>
      </c>
      <c r="AB58" s="149">
        <f t="shared" ref="AB58:AJ58" si="69">SUBTOTAL(9,AB8:AB57)</f>
        <v>0</v>
      </c>
      <c r="AC58" s="149">
        <f t="shared" si="69"/>
        <v>760.63</v>
      </c>
      <c r="AD58" s="583">
        <f t="shared" si="69"/>
        <v>912.87954799999989</v>
      </c>
      <c r="AE58" s="149">
        <f>SUBTOTAL(9,AE8:AE57)</f>
        <v>87.739526014799992</v>
      </c>
      <c r="AF58" s="149">
        <f t="shared" si="69"/>
        <v>0</v>
      </c>
      <c r="AG58" s="149">
        <f t="shared" si="69"/>
        <v>0</v>
      </c>
      <c r="AH58" s="149">
        <f t="shared" si="69"/>
        <v>13476.109999999999</v>
      </c>
      <c r="AI58" s="149">
        <f t="shared" si="69"/>
        <v>18205.691695360802</v>
      </c>
      <c r="AJ58" s="762">
        <f t="shared" si="69"/>
        <v>16707.198533818264</v>
      </c>
      <c r="AK58" s="53"/>
      <c r="AL58" s="157"/>
      <c r="AN58" s="201"/>
      <c r="AO58" s="25" t="str">
        <f t="shared" si="30"/>
        <v>TOTALES</v>
      </c>
      <c r="AP58" s="375"/>
      <c r="AQ58" s="202"/>
      <c r="AR58" s="202"/>
      <c r="AS58" s="203">
        <f t="shared" ref="AS58:AX58" si="70">SUBTOTAL(9,AS8:AS57)</f>
        <v>32388.916628000006</v>
      </c>
      <c r="AT58" s="203">
        <f t="shared" si="70"/>
        <v>2474.0763856666672</v>
      </c>
      <c r="AU58" s="203">
        <f t="shared" si="70"/>
        <v>119.62712999999999</v>
      </c>
      <c r="AV58" s="203">
        <f t="shared" si="70"/>
        <v>0</v>
      </c>
      <c r="AW58" s="203">
        <f t="shared" si="70"/>
        <v>1742.9166666666677</v>
      </c>
      <c r="AX58" s="203">
        <f t="shared" si="70"/>
        <v>1349.5381928333336</v>
      </c>
      <c r="AY58" s="199">
        <f>SUM(AS58:AX58)</f>
        <v>38075.075003166668</v>
      </c>
      <c r="AZ58" s="198">
        <f t="shared" si="6"/>
        <v>3611.3642040220006</v>
      </c>
      <c r="BA58" s="198">
        <f t="shared" si="7"/>
        <v>323.8891662800001</v>
      </c>
      <c r="BB58" s="198">
        <f t="shared" ref="BB58" si="71">SUM(AZ58:BA58)</f>
        <v>3935.2533703020008</v>
      </c>
      <c r="BC58" s="200"/>
    </row>
    <row r="59" spans="1:55">
      <c r="D59" s="750"/>
      <c r="E59" s="689"/>
      <c r="F59" s="678"/>
      <c r="G59" s="51"/>
      <c r="H59" s="368"/>
      <c r="I59" s="51"/>
      <c r="J59" s="195"/>
      <c r="K59" s="195"/>
      <c r="L59" s="195"/>
      <c r="M59" s="300"/>
      <c r="N59" s="195"/>
      <c r="O59" s="195"/>
      <c r="P59" s="195"/>
      <c r="Q59" s="195"/>
      <c r="R59" s="195"/>
      <c r="S59" s="195"/>
      <c r="T59" s="195"/>
      <c r="U59" s="78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50"/>
      <c r="AK59" s="150"/>
      <c r="AL59" s="150"/>
      <c r="AN59"/>
      <c r="AO59"/>
      <c r="AP59" s="376"/>
      <c r="AQ59"/>
      <c r="AR59"/>
      <c r="AS59" s="66"/>
      <c r="AT59" s="66">
        <v>45011005</v>
      </c>
      <c r="AU59" s="236">
        <v>450135</v>
      </c>
      <c r="AV59" s="152"/>
      <c r="AW59" s="66">
        <v>45011010</v>
      </c>
      <c r="AX59" s="66">
        <v>45019020</v>
      </c>
      <c r="AY59" s="66"/>
      <c r="AZ59" s="66">
        <v>45012005</v>
      </c>
      <c r="BA59" s="66">
        <v>45012015</v>
      </c>
      <c r="BB59" s="66"/>
    </row>
    <row r="60" spans="1:55">
      <c r="J60" s="66">
        <v>45010505</v>
      </c>
      <c r="K60" s="827">
        <v>45019005</v>
      </c>
      <c r="L60" s="827"/>
      <c r="M60" s="827"/>
      <c r="N60" s="827"/>
      <c r="O60" s="827"/>
      <c r="P60" s="827"/>
      <c r="Q60" s="827">
        <v>45019015</v>
      </c>
      <c r="R60" s="827"/>
      <c r="S60" s="66"/>
      <c r="T60" s="66"/>
      <c r="U60" s="66">
        <v>450135</v>
      </c>
      <c r="V60" s="66"/>
      <c r="W60" s="66">
        <v>45011005</v>
      </c>
      <c r="X60" s="66">
        <v>45011010</v>
      </c>
      <c r="Y60" s="66"/>
      <c r="Z60" s="66">
        <v>25031505</v>
      </c>
      <c r="AA60" s="66">
        <v>25040505</v>
      </c>
      <c r="AB60" s="66"/>
      <c r="AC60" s="133">
        <v>25039001</v>
      </c>
      <c r="AD60" s="66">
        <v>45010505</v>
      </c>
      <c r="AE60" s="66">
        <v>25039002</v>
      </c>
      <c r="AF60" s="66">
        <v>25039003</v>
      </c>
      <c r="AG60" s="151">
        <v>16909005</v>
      </c>
      <c r="AH60" s="66">
        <v>169005</v>
      </c>
      <c r="AI60" s="66"/>
      <c r="AJ60" s="763">
        <v>250305</v>
      </c>
      <c r="AS60" s="151"/>
      <c r="AT60" s="151">
        <v>25031005</v>
      </c>
      <c r="AU60" s="151">
        <v>250320</v>
      </c>
      <c r="AV60" s="151"/>
      <c r="AW60" s="151">
        <v>25031010</v>
      </c>
      <c r="AX60" s="151">
        <v>25031025</v>
      </c>
      <c r="AY60" s="151"/>
      <c r="AZ60" s="151">
        <v>25031510</v>
      </c>
      <c r="BA60" s="151">
        <v>25031510</v>
      </c>
      <c r="BB60" s="151"/>
    </row>
    <row r="61" spans="1:55">
      <c r="M61" s="301"/>
      <c r="R61" s="80"/>
    </row>
    <row r="62" spans="1:55">
      <c r="R62" s="80"/>
      <c r="Y62" s="80"/>
      <c r="AG62" s="80"/>
      <c r="AK62" s="408"/>
    </row>
    <row r="63" spans="1:55">
      <c r="I63" s="80"/>
      <c r="J63" s="80"/>
      <c r="K63" s="34"/>
      <c r="L63" s="34"/>
      <c r="M63" s="406"/>
      <c r="N63" s="34"/>
      <c r="O63" s="34"/>
      <c r="P63" s="34"/>
      <c r="Q63" s="34"/>
      <c r="R63" s="34"/>
      <c r="S63" s="34"/>
      <c r="T63" s="34"/>
      <c r="U63" s="786"/>
      <c r="V63" s="34"/>
      <c r="AF63" s="80"/>
    </row>
    <row r="64" spans="1:55" ht="10.95" customHeight="1">
      <c r="J64" s="80"/>
      <c r="N64" s="80"/>
      <c r="R64" s="80"/>
    </row>
    <row r="65" spans="3:58" ht="10.95" customHeight="1">
      <c r="K65" s="80"/>
      <c r="L65" s="80"/>
      <c r="R65" s="80"/>
      <c r="AZ65" s="740"/>
      <c r="BA65" s="15"/>
      <c r="BB65" s="15"/>
      <c r="BC65" s="166"/>
      <c r="BD65" s="166"/>
      <c r="BE65" s="166"/>
      <c r="BF65" s="166"/>
    </row>
    <row r="66" spans="3:58" s="143" customFormat="1">
      <c r="C66" s="144"/>
      <c r="D66" s="145"/>
      <c r="E66" s="690"/>
      <c r="F66" s="679"/>
      <c r="H66" s="369"/>
      <c r="J66" s="302"/>
      <c r="K66" s="478"/>
      <c r="L66" s="478"/>
      <c r="M66" s="146"/>
      <c r="U66" s="787"/>
      <c r="AJ66" s="160"/>
      <c r="AL66" s="160"/>
      <c r="AN66" s="146"/>
      <c r="AO66" s="146"/>
      <c r="AP66" s="378"/>
      <c r="AQ66" s="146"/>
      <c r="AR66" s="146"/>
      <c r="AS66" s="146"/>
      <c r="AY66" s="146"/>
      <c r="AZ66" s="146"/>
      <c r="BA66" s="15"/>
      <c r="BB66" s="15"/>
      <c r="BC66" s="166"/>
      <c r="BD66" s="166"/>
      <c r="BE66" s="166"/>
      <c r="BF66" s="166"/>
    </row>
    <row r="67" spans="3:58" ht="71.400000000000006" customHeight="1">
      <c r="AU67" s="740"/>
      <c r="BA67" s="15"/>
      <c r="BB67" s="15"/>
      <c r="BC67" s="166"/>
      <c r="BD67" s="166"/>
      <c r="BE67" s="166"/>
      <c r="BF67" s="166"/>
    </row>
    <row r="68" spans="3:58">
      <c r="D68" s="751"/>
      <c r="E68" s="691"/>
      <c r="F68" s="680"/>
      <c r="G68" s="1"/>
      <c r="H68" s="370"/>
      <c r="I68" s="4"/>
      <c r="J68" s="4"/>
      <c r="K68" s="4"/>
      <c r="L68" s="4"/>
      <c r="M68" s="303"/>
      <c r="N68" s="4"/>
      <c r="O68" s="4"/>
      <c r="P68" s="4"/>
      <c r="Q68" s="4"/>
      <c r="R68" s="4"/>
      <c r="S68" s="250"/>
      <c r="T68" s="4"/>
      <c r="U68" s="249"/>
      <c r="V68" s="249"/>
      <c r="W68" s="249"/>
      <c r="X68" s="250"/>
      <c r="Y68" s="250"/>
      <c r="AU68" s="301"/>
      <c r="BA68" s="15"/>
      <c r="BB68" s="15"/>
      <c r="BC68" s="166"/>
      <c r="BD68" s="166"/>
      <c r="BE68" s="166"/>
      <c r="BF68" s="166"/>
    </row>
    <row r="69" spans="3:58" s="169" customFormat="1" ht="15.6">
      <c r="D69" s="752"/>
      <c r="E69" s="692"/>
      <c r="F69" s="681"/>
      <c r="G69" s="282"/>
      <c r="H69" s="367"/>
      <c r="I69" s="813"/>
      <c r="J69" s="813"/>
      <c r="K69" s="813"/>
      <c r="L69" s="813"/>
      <c r="M69" s="813"/>
      <c r="N69" s="813"/>
      <c r="O69" s="813"/>
      <c r="P69" s="813"/>
      <c r="Q69" s="9"/>
      <c r="R69" s="9"/>
      <c r="S69" s="9"/>
      <c r="T69" s="813"/>
      <c r="U69" s="813"/>
      <c r="V69" s="813"/>
      <c r="W69" s="813"/>
      <c r="X69" s="813"/>
      <c r="Y69" s="813"/>
      <c r="AJ69" s="170"/>
      <c r="AL69" s="170"/>
      <c r="AP69" s="379"/>
      <c r="BA69" s="264"/>
      <c r="BB69" s="264"/>
      <c r="BC69" s="264"/>
      <c r="BD69" s="264"/>
      <c r="BE69" s="264"/>
      <c r="BF69" s="264"/>
    </row>
    <row r="70" spans="3:58" s="169" customFormat="1" ht="15.6">
      <c r="D70" s="752"/>
      <c r="E70" s="692"/>
      <c r="F70" s="681"/>
      <c r="G70" s="304"/>
      <c r="H70" s="367"/>
      <c r="I70" s="813"/>
      <c r="J70" s="813"/>
      <c r="K70" s="813"/>
      <c r="L70" s="813"/>
      <c r="M70" s="813"/>
      <c r="N70" s="813"/>
      <c r="O70" s="813"/>
      <c r="P70" s="813"/>
      <c r="Q70" s="9"/>
      <c r="R70" s="9"/>
      <c r="S70" s="9"/>
      <c r="T70" s="814"/>
      <c r="U70" s="814"/>
      <c r="V70" s="814"/>
      <c r="W70" s="814"/>
      <c r="X70" s="814"/>
      <c r="Y70" s="814"/>
      <c r="AJ70" s="170"/>
      <c r="AL70" s="170"/>
      <c r="AP70" s="379"/>
      <c r="BA70" s="264"/>
      <c r="BB70" s="264"/>
      <c r="BC70" s="264"/>
      <c r="BD70" s="264"/>
      <c r="BE70" s="264"/>
      <c r="BF70" s="264"/>
    </row>
    <row r="74" spans="3:58">
      <c r="I74" s="305" t="s">
        <v>33</v>
      </c>
      <c r="J74" s="306">
        <f>J58</f>
        <v>30990.649999999994</v>
      </c>
      <c r="K74" s="5"/>
      <c r="L74" s="5"/>
      <c r="M74" s="5"/>
      <c r="N74" s="5"/>
      <c r="O74" s="307" t="s">
        <v>34</v>
      </c>
      <c r="P74" s="306">
        <f>+S58</f>
        <v>3414.6666279999999</v>
      </c>
      <c r="Q74" s="308"/>
      <c r="R74" s="308"/>
      <c r="S74" s="7"/>
      <c r="T74" s="7"/>
      <c r="U74" s="788"/>
      <c r="V74" s="7"/>
      <c r="W74" s="7"/>
      <c r="X74" s="7"/>
      <c r="Y74" s="7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61"/>
      <c r="AK74" s="18"/>
      <c r="AL74" s="161"/>
      <c r="AM74" s="18"/>
    </row>
    <row r="75" spans="3:58">
      <c r="I75" s="309">
        <v>9.4500000000000001E-2</v>
      </c>
      <c r="J75" s="310">
        <f>+J74*I75</f>
        <v>2928.6164249999993</v>
      </c>
      <c r="K75" s="5"/>
      <c r="L75" s="5"/>
      <c r="M75" s="5"/>
      <c r="N75" s="5"/>
      <c r="O75" s="311">
        <v>9.4500000000000001E-2</v>
      </c>
      <c r="P75" s="310">
        <f>+P74*O75</f>
        <v>322.68599634600002</v>
      </c>
      <c r="Q75" s="312"/>
      <c r="R75" s="312"/>
      <c r="S75" s="5"/>
      <c r="T75" s="5"/>
      <c r="U75" s="789"/>
      <c r="V75" s="5"/>
      <c r="W75" s="5"/>
      <c r="X75" s="5"/>
      <c r="Y75" s="5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61"/>
      <c r="AK75" s="18"/>
      <c r="AL75" s="161"/>
      <c r="AM75" s="18"/>
    </row>
    <row r="76" spans="3:58">
      <c r="I76" s="309">
        <v>0.1215</v>
      </c>
      <c r="J76" s="310">
        <f>+J74*I76</f>
        <v>3765.3639749999993</v>
      </c>
      <c r="K76" s="5"/>
      <c r="L76" s="5"/>
      <c r="M76" s="5"/>
      <c r="N76" s="5"/>
      <c r="O76" s="311">
        <v>0.1215</v>
      </c>
      <c r="P76" s="310">
        <f>+P74*O76</f>
        <v>414.88199530200001</v>
      </c>
      <c r="Q76" s="5"/>
      <c r="R76" s="5"/>
      <c r="S76" s="5"/>
      <c r="T76" s="5"/>
      <c r="U76" s="789"/>
      <c r="V76" s="5"/>
      <c r="W76" s="5"/>
      <c r="X76" s="5"/>
      <c r="Y76" s="5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61"/>
      <c r="AK76" s="18"/>
      <c r="AL76" s="161"/>
      <c r="AM76" s="18"/>
      <c r="AT76" s="66">
        <v>45011005</v>
      </c>
      <c r="AU76" s="67" t="s">
        <v>211</v>
      </c>
      <c r="AV76" s="235" t="e">
        <f>+#REF!</f>
        <v>#REF!</v>
      </c>
      <c r="AW76" s="238">
        <f>+AT58</f>
        <v>2474.0763856666672</v>
      </c>
      <c r="AX76" s="239"/>
    </row>
    <row r="77" spans="3:58">
      <c r="I77" s="313" t="s">
        <v>21</v>
      </c>
      <c r="J77" s="314">
        <f>SUM(J75:J76)</f>
        <v>6693.9803999999986</v>
      </c>
      <c r="K77" s="5"/>
      <c r="L77" s="5"/>
      <c r="M77" s="5"/>
      <c r="N77" s="5"/>
      <c r="O77" s="307" t="s">
        <v>21</v>
      </c>
      <c r="P77" s="314">
        <f>SUM(P75:P76)</f>
        <v>737.56799164800009</v>
      </c>
      <c r="Q77" s="5"/>
      <c r="R77" s="5"/>
      <c r="S77" s="5"/>
      <c r="T77" s="5"/>
      <c r="U77" s="789"/>
      <c r="V77" s="5"/>
      <c r="W77" s="5"/>
      <c r="X77" s="5"/>
      <c r="Y77" s="5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61"/>
      <c r="AK77" s="18"/>
      <c r="AL77" s="161"/>
      <c r="AM77" s="18"/>
      <c r="AT77" s="151">
        <v>450135</v>
      </c>
      <c r="AU77" s="237" t="s">
        <v>212</v>
      </c>
      <c r="AV77" s="237"/>
      <c r="AW77" s="240">
        <f>+AU58</f>
        <v>119.62712999999999</v>
      </c>
      <c r="AX77" s="240"/>
    </row>
    <row r="78" spans="3:58">
      <c r="I78" s="315"/>
      <c r="J78" s="315"/>
      <c r="K78" s="315"/>
      <c r="L78" s="315"/>
      <c r="M78" s="308"/>
      <c r="N78" s="147"/>
      <c r="O78" s="5"/>
      <c r="P78" s="5"/>
      <c r="Q78" s="5"/>
      <c r="R78" s="5"/>
      <c r="S78" s="5"/>
      <c r="T78" s="5"/>
      <c r="U78" s="789"/>
      <c r="V78" s="5"/>
      <c r="W78" s="5"/>
      <c r="X78" s="5"/>
      <c r="Y78" s="5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61"/>
      <c r="AK78" s="18"/>
      <c r="AL78" s="161"/>
      <c r="AM78" s="18"/>
      <c r="AT78" s="66">
        <v>45011010</v>
      </c>
      <c r="AU78" s="67" t="s">
        <v>210</v>
      </c>
      <c r="AV78" s="235" t="e">
        <f>SUM(#REF!)</f>
        <v>#REF!</v>
      </c>
      <c r="AW78" s="238">
        <f>+AW58</f>
        <v>1742.9166666666677</v>
      </c>
      <c r="AX78" s="240"/>
    </row>
    <row r="79" spans="3:58" ht="15.6">
      <c r="I79" s="147"/>
      <c r="J79" s="308"/>
      <c r="K79" s="308"/>
      <c r="L79" s="308"/>
      <c r="M79" s="308"/>
      <c r="N79" s="147"/>
      <c r="O79" s="5"/>
      <c r="P79" s="5"/>
      <c r="Q79" s="5"/>
      <c r="R79" s="5"/>
      <c r="S79" s="5"/>
      <c r="T79" s="5"/>
      <c r="U79" s="789"/>
      <c r="V79" s="5"/>
      <c r="AA79" s="18"/>
      <c r="AB79" s="18"/>
      <c r="AC79" s="18"/>
      <c r="AD79" s="18"/>
      <c r="AE79" s="18"/>
      <c r="AF79" s="18"/>
      <c r="AG79" s="18"/>
      <c r="AH79" s="18"/>
      <c r="AI79" s="18"/>
      <c r="AJ79" s="161"/>
      <c r="AK79" s="18"/>
      <c r="AL79" s="161"/>
      <c r="AM79" s="18"/>
      <c r="AT79" s="66">
        <v>45019020</v>
      </c>
      <c r="AU79" s="67" t="s">
        <v>221</v>
      </c>
      <c r="AV79" s="235" t="e">
        <f>SUM(#REF!)</f>
        <v>#REF!</v>
      </c>
      <c r="AW79" s="238">
        <f>+AX58</f>
        <v>1349.5381928333336</v>
      </c>
      <c r="AX79" s="241"/>
    </row>
    <row r="80" spans="3:58" ht="15.6">
      <c r="I80" s="147"/>
      <c r="J80" s="308"/>
      <c r="K80" s="308"/>
      <c r="L80" s="308"/>
      <c r="M80" s="308"/>
      <c r="N80" s="147"/>
      <c r="O80" s="5"/>
      <c r="P80" s="5"/>
      <c r="Q80" s="5"/>
      <c r="R80" s="5"/>
      <c r="S80" s="5"/>
      <c r="T80" s="5"/>
      <c r="U80" s="788"/>
      <c r="V80" s="7"/>
      <c r="AA80" s="18"/>
      <c r="AB80" s="18"/>
      <c r="AC80" s="18"/>
      <c r="AD80" s="18"/>
      <c r="AE80" s="18"/>
      <c r="AF80" s="18"/>
      <c r="AG80" s="18"/>
      <c r="AH80" s="18"/>
      <c r="AI80" s="18"/>
      <c r="AJ80" s="161"/>
      <c r="AK80" s="18"/>
      <c r="AL80" s="161"/>
      <c r="AM80" s="18"/>
      <c r="AT80" s="66">
        <v>45012005</v>
      </c>
      <c r="AU80" s="67" t="s">
        <v>222</v>
      </c>
      <c r="AV80" s="235" t="e">
        <f>+#REF!</f>
        <v>#REF!</v>
      </c>
      <c r="AW80" s="238">
        <f>+AZ58</f>
        <v>3611.3642040220006</v>
      </c>
      <c r="AX80" s="241"/>
    </row>
    <row r="81" spans="9:51">
      <c r="I81" s="316">
        <v>25031505</v>
      </c>
      <c r="J81" s="317" t="s">
        <v>50</v>
      </c>
      <c r="K81" s="317">
        <v>2910.88</v>
      </c>
      <c r="L81" s="317"/>
      <c r="M81" s="317"/>
      <c r="N81" s="147"/>
      <c r="O81" s="316">
        <v>25031505</v>
      </c>
      <c r="P81" s="317" t="s">
        <v>50</v>
      </c>
      <c r="Q81" s="317">
        <v>657.98</v>
      </c>
      <c r="R81" s="148"/>
      <c r="S81" s="8">
        <f>+K81+Q81</f>
        <v>3568.86</v>
      </c>
      <c r="T81" s="18"/>
      <c r="U81" s="790"/>
      <c r="V81" s="18"/>
      <c r="W81" s="653" t="s">
        <v>356</v>
      </c>
      <c r="X81" s="586" t="s">
        <v>357</v>
      </c>
      <c r="Y81" s="586" t="s">
        <v>358</v>
      </c>
      <c r="Z81" s="586" t="s">
        <v>359</v>
      </c>
      <c r="AA81" s="18"/>
      <c r="AB81" s="18"/>
      <c r="AC81" s="18"/>
      <c r="AD81" s="18"/>
      <c r="AE81" s="18"/>
      <c r="AF81" s="18"/>
      <c r="AG81" s="18"/>
      <c r="AH81" s="18"/>
      <c r="AI81" s="18"/>
      <c r="AJ81" s="161"/>
      <c r="AK81" s="18"/>
      <c r="AL81" s="161"/>
      <c r="AM81" s="18"/>
      <c r="AT81" s="66">
        <v>45012015</v>
      </c>
      <c r="AU81" s="67" t="s">
        <v>223</v>
      </c>
      <c r="AV81" s="235" t="e">
        <f>+#REF!</f>
        <v>#REF!</v>
      </c>
      <c r="AW81" s="238">
        <f>+BA58</f>
        <v>323.8891662800001</v>
      </c>
      <c r="AX81" s="240"/>
    </row>
    <row r="82" spans="9:51">
      <c r="I82" s="316">
        <v>25031510</v>
      </c>
      <c r="J82" s="317" t="s">
        <v>51</v>
      </c>
      <c r="K82" s="317">
        <v>3742.58</v>
      </c>
      <c r="L82" s="317"/>
      <c r="M82" s="317"/>
      <c r="N82" s="6"/>
      <c r="O82" s="316">
        <v>25031510</v>
      </c>
      <c r="P82" s="317" t="s">
        <v>51</v>
      </c>
      <c r="Q82" s="317">
        <v>845.91</v>
      </c>
      <c r="R82" s="148"/>
      <c r="S82" s="8">
        <f>+K82+Q82</f>
        <v>4588.49</v>
      </c>
      <c r="T82" s="18"/>
      <c r="U82" s="790"/>
      <c r="V82" s="18"/>
      <c r="W82" s="654"/>
      <c r="X82" s="588">
        <v>25031505</v>
      </c>
      <c r="Y82" s="588">
        <v>25031510</v>
      </c>
      <c r="Z82" s="588">
        <v>250305</v>
      </c>
      <c r="AA82" s="18"/>
      <c r="AB82" s="18"/>
      <c r="AC82" s="18"/>
      <c r="AD82" s="18"/>
      <c r="AE82" s="18"/>
      <c r="AF82" s="18"/>
      <c r="AG82" s="18"/>
      <c r="AH82" s="18"/>
      <c r="AI82" s="18"/>
      <c r="AJ82" s="161"/>
      <c r="AK82" s="18"/>
      <c r="AL82" s="161"/>
      <c r="AM82" s="18"/>
      <c r="AT82" s="66">
        <v>25031005</v>
      </c>
      <c r="AU82" s="67" t="s">
        <v>211</v>
      </c>
      <c r="AV82" s="235"/>
      <c r="AW82" s="238"/>
      <c r="AX82" s="240">
        <f>+AT58</f>
        <v>2474.0763856666672</v>
      </c>
    </row>
    <row r="83" spans="9:51">
      <c r="I83" s="316">
        <v>45039005</v>
      </c>
      <c r="J83" s="317" t="s">
        <v>52</v>
      </c>
      <c r="K83" s="317">
        <v>0</v>
      </c>
      <c r="L83" s="317"/>
      <c r="M83" s="584"/>
      <c r="N83" s="6"/>
      <c r="O83" s="316">
        <v>45039005</v>
      </c>
      <c r="P83" s="317" t="s">
        <v>52</v>
      </c>
      <c r="Q83" s="317">
        <v>0</v>
      </c>
      <c r="R83" s="148"/>
      <c r="S83" s="18"/>
      <c r="T83" s="18"/>
      <c r="U83" s="6"/>
      <c r="V83" s="6"/>
      <c r="W83" s="591" t="s">
        <v>274</v>
      </c>
      <c r="X83" s="592">
        <f>+S81</f>
        <v>3568.86</v>
      </c>
      <c r="Y83" s="592">
        <f>+S82</f>
        <v>4588.49</v>
      </c>
      <c r="Z83" s="592">
        <v>22934.41</v>
      </c>
      <c r="AA83" s="18"/>
      <c r="AB83" s="18"/>
      <c r="AC83" s="18"/>
      <c r="AD83" s="18"/>
      <c r="AE83" s="18"/>
      <c r="AF83" s="18"/>
      <c r="AG83" s="18"/>
      <c r="AH83" s="18"/>
      <c r="AI83" s="18"/>
      <c r="AJ83" s="161"/>
      <c r="AK83" s="18"/>
      <c r="AL83" s="161"/>
      <c r="AM83" s="18"/>
      <c r="AT83" s="66">
        <v>250320</v>
      </c>
      <c r="AU83" s="67" t="s">
        <v>212</v>
      </c>
      <c r="AV83" s="67"/>
      <c r="AW83" s="238"/>
      <c r="AX83" s="240">
        <f>+AU58</f>
        <v>119.62712999999999</v>
      </c>
    </row>
    <row r="84" spans="9:51">
      <c r="I84" s="316">
        <v>25031505</v>
      </c>
      <c r="J84" s="317" t="s">
        <v>50</v>
      </c>
      <c r="K84" s="317"/>
      <c r="L84" s="317"/>
      <c r="M84" s="584">
        <v>0</v>
      </c>
      <c r="N84" s="6"/>
      <c r="O84" s="316">
        <v>11031020</v>
      </c>
      <c r="P84" s="317" t="s">
        <v>53</v>
      </c>
      <c r="Q84" s="317"/>
      <c r="R84" s="148">
        <v>1503.89</v>
      </c>
      <c r="S84" s="18"/>
      <c r="T84" s="18"/>
      <c r="U84" s="6"/>
      <c r="V84" s="6"/>
      <c r="W84" s="318" t="s">
        <v>104</v>
      </c>
      <c r="X84" s="593">
        <v>2129.96</v>
      </c>
      <c r="Y84" s="593">
        <v>2674.74</v>
      </c>
      <c r="Z84" s="593">
        <v>13492.95</v>
      </c>
      <c r="AA84" s="18"/>
      <c r="AB84" s="18"/>
      <c r="AC84" s="18"/>
      <c r="AD84" s="18"/>
      <c r="AE84" s="18"/>
      <c r="AF84" s="18"/>
      <c r="AG84" s="18"/>
      <c r="AH84" s="18"/>
      <c r="AI84" s="18"/>
      <c r="AJ84" s="161"/>
      <c r="AK84" s="18"/>
      <c r="AL84" s="161"/>
      <c r="AM84" s="18"/>
      <c r="AT84" s="66">
        <v>25031010</v>
      </c>
      <c r="AU84" s="67" t="s">
        <v>210</v>
      </c>
      <c r="AV84" s="67"/>
      <c r="AW84" s="238"/>
      <c r="AX84" s="240">
        <f>+AW58</f>
        <v>1742.9166666666677</v>
      </c>
    </row>
    <row r="85" spans="9:51">
      <c r="I85" s="316">
        <v>25031510</v>
      </c>
      <c r="J85" s="317" t="s">
        <v>51</v>
      </c>
      <c r="K85" s="317"/>
      <c r="L85" s="317"/>
      <c r="M85" s="317">
        <v>0</v>
      </c>
      <c r="N85" s="6"/>
      <c r="O85" s="5"/>
      <c r="P85" s="5"/>
      <c r="Q85" s="308">
        <f>SUM(Q81:Q84)</f>
        <v>1503.8899999999999</v>
      </c>
      <c r="R85" s="308">
        <f>SUM(R81:R84)</f>
        <v>1503.89</v>
      </c>
      <c r="S85" s="18"/>
      <c r="T85" s="18"/>
      <c r="U85" s="6"/>
      <c r="V85" s="6"/>
      <c r="W85" s="318" t="s">
        <v>107</v>
      </c>
      <c r="X85" s="593">
        <v>866.39</v>
      </c>
      <c r="Y85" s="593">
        <v>1102.8699999999999</v>
      </c>
      <c r="Z85" s="593">
        <v>5495.22</v>
      </c>
      <c r="AA85" s="18"/>
      <c r="AB85" s="18"/>
      <c r="AC85" s="18"/>
      <c r="AD85" s="18"/>
      <c r="AE85" s="18"/>
      <c r="AF85" s="18"/>
      <c r="AG85" s="18"/>
      <c r="AH85" s="18"/>
      <c r="AI85" s="18"/>
      <c r="AJ85" s="161"/>
      <c r="AK85" s="18"/>
      <c r="AL85" s="161"/>
      <c r="AM85" s="18"/>
      <c r="AT85" s="66">
        <v>25031025</v>
      </c>
      <c r="AU85" s="67" t="s">
        <v>221</v>
      </c>
      <c r="AV85" s="67"/>
      <c r="AW85" s="238"/>
      <c r="AX85" s="240">
        <f>+AX58</f>
        <v>1349.5381928333336</v>
      </c>
    </row>
    <row r="86" spans="9:51">
      <c r="I86" s="316">
        <v>11031020</v>
      </c>
      <c r="J86" s="317" t="s">
        <v>53</v>
      </c>
      <c r="K86" s="317"/>
      <c r="L86" s="317"/>
      <c r="M86" s="317">
        <v>6653.46</v>
      </c>
      <c r="N86" s="6"/>
      <c r="O86" s="5"/>
      <c r="P86" s="5"/>
      <c r="Q86" s="5"/>
      <c r="R86" s="8">
        <f>+Q85-R85</f>
        <v>0</v>
      </c>
      <c r="S86" s="18"/>
      <c r="T86" s="18"/>
      <c r="U86" s="789"/>
      <c r="V86" s="5"/>
      <c r="W86" s="318" t="s">
        <v>110</v>
      </c>
      <c r="X86" s="593">
        <v>572.51</v>
      </c>
      <c r="Y86" s="593">
        <v>783.26</v>
      </c>
      <c r="Z86" s="593">
        <v>3946.23</v>
      </c>
      <c r="AA86" s="18"/>
      <c r="AB86" s="18"/>
      <c r="AC86" s="18"/>
      <c r="AD86" s="18"/>
      <c r="AE86" s="18"/>
      <c r="AF86" s="18"/>
      <c r="AG86" s="18"/>
      <c r="AH86" s="18"/>
      <c r="AI86" s="18"/>
      <c r="AJ86" s="161"/>
      <c r="AK86" s="18"/>
      <c r="AL86" s="161"/>
      <c r="AM86" s="18"/>
      <c r="AT86" s="66">
        <v>25031510</v>
      </c>
      <c r="AU86" s="67" t="s">
        <v>222</v>
      </c>
      <c r="AV86" s="67"/>
      <c r="AW86" s="238"/>
      <c r="AX86" s="240">
        <f>+AZ58</f>
        <v>3611.3642040220006</v>
      </c>
    </row>
    <row r="87" spans="9:51">
      <c r="I87" s="147"/>
      <c r="J87" s="3"/>
      <c r="K87" s="308">
        <f>SUM(K81:K86)</f>
        <v>6653.46</v>
      </c>
      <c r="L87" s="308"/>
      <c r="M87" s="308">
        <f>SUM(M81:M86)</f>
        <v>6653.46</v>
      </c>
      <c r="N87" s="2"/>
      <c r="O87" s="2"/>
      <c r="P87" s="2"/>
      <c r="Q87" s="6"/>
      <c r="R87" s="6"/>
      <c r="S87" s="6"/>
      <c r="T87" s="6"/>
      <c r="U87" s="6"/>
      <c r="V87" s="6"/>
      <c r="W87" s="594" t="s">
        <v>362</v>
      </c>
      <c r="X87" s="592">
        <f>+X83-X84-X85-X86</f>
        <v>0</v>
      </c>
      <c r="Y87" s="592">
        <f t="shared" ref="Y87:Z87" si="72">+Y83-Y84-Y85-Y86</f>
        <v>27.620000000000118</v>
      </c>
      <c r="Z87" s="592">
        <f t="shared" si="72"/>
        <v>9.9999999988540367E-3</v>
      </c>
      <c r="AA87" s="18"/>
      <c r="AB87" s="18"/>
      <c r="AC87" s="18"/>
      <c r="AD87" s="18"/>
      <c r="AE87" s="18"/>
      <c r="AF87" s="18"/>
      <c r="AG87" s="18"/>
      <c r="AH87" s="18"/>
      <c r="AI87" s="18"/>
      <c r="AJ87" s="161"/>
      <c r="AK87" s="18"/>
      <c r="AL87" s="161"/>
      <c r="AM87" s="18"/>
      <c r="AT87" s="66">
        <v>25031510</v>
      </c>
      <c r="AU87" s="67" t="s">
        <v>223</v>
      </c>
      <c r="AV87" s="67"/>
      <c r="AW87" s="238"/>
      <c r="AX87" s="240">
        <f>+BA58</f>
        <v>323.8891662800001</v>
      </c>
    </row>
    <row r="88" spans="9:51">
      <c r="I88" s="1"/>
      <c r="J88" s="1"/>
      <c r="K88" s="1"/>
      <c r="L88" s="1"/>
      <c r="M88" s="319">
        <f>+K87-M87</f>
        <v>0</v>
      </c>
      <c r="N88" s="2"/>
      <c r="O88" s="2"/>
      <c r="P88" s="2"/>
      <c r="Q88" s="6"/>
      <c r="R88" s="6"/>
      <c r="S88" s="6"/>
      <c r="T88" s="6"/>
      <c r="U88" s="6"/>
      <c r="V88" s="6"/>
      <c r="W88" s="6"/>
      <c r="X88" s="6"/>
      <c r="Y88" s="2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61"/>
      <c r="AK88" s="18"/>
      <c r="AL88" s="161"/>
      <c r="AM88" s="18"/>
      <c r="AT88" s="66"/>
      <c r="AU88" s="67"/>
      <c r="AV88" s="67"/>
      <c r="AW88" s="238">
        <f>SUM(AW76:AW87)</f>
        <v>9621.4117454686693</v>
      </c>
      <c r="AX88" s="238">
        <f>SUM(AX76:AX87)</f>
        <v>9621.4117454686693</v>
      </c>
      <c r="AY88" s="242">
        <f>+AW88-AX88</f>
        <v>0</v>
      </c>
    </row>
    <row r="89" spans="9:51">
      <c r="I89" s="18"/>
      <c r="J89" s="18"/>
      <c r="K89" s="18"/>
      <c r="L89" s="18"/>
      <c r="N89" s="2"/>
      <c r="O89" s="2"/>
      <c r="P89" s="2"/>
      <c r="Q89" s="6"/>
      <c r="R89" s="6"/>
      <c r="S89" s="6"/>
      <c r="T89" s="6"/>
      <c r="U89" s="6"/>
      <c r="V89" s="6"/>
      <c r="W89" s="6"/>
      <c r="X89" s="6"/>
      <c r="Y89" s="2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61"/>
      <c r="AK89" s="18"/>
      <c r="AL89" s="161"/>
      <c r="AM89" s="18"/>
    </row>
    <row r="90" spans="9:51">
      <c r="I90" s="1"/>
      <c r="J90" s="1"/>
      <c r="K90" s="1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61"/>
      <c r="AK90" s="18"/>
      <c r="AL90" s="161"/>
      <c r="AM90" s="18"/>
    </row>
    <row r="91" spans="9:51">
      <c r="I91" s="809" t="s">
        <v>355</v>
      </c>
      <c r="J91" s="809"/>
      <c r="K91" s="809"/>
      <c r="L91" s="809"/>
      <c r="M91" s="809"/>
      <c r="N91" s="2"/>
      <c r="S91" s="587"/>
      <c r="T91" s="2"/>
      <c r="U91" s="2"/>
      <c r="V91" s="2"/>
      <c r="W91" s="2"/>
      <c r="X91" s="2"/>
      <c r="Y91" s="2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61"/>
      <c r="AK91" s="18"/>
      <c r="AL91" s="161"/>
      <c r="AM91" s="18"/>
    </row>
    <row r="92" spans="9:51">
      <c r="I92" s="585" t="s">
        <v>360</v>
      </c>
      <c r="J92" s="585" t="s">
        <v>213</v>
      </c>
      <c r="K92" s="585" t="s">
        <v>357</v>
      </c>
      <c r="L92" s="585"/>
      <c r="M92" s="585" t="s">
        <v>358</v>
      </c>
      <c r="N92" s="2"/>
      <c r="S92" s="587"/>
      <c r="T92" s="2"/>
      <c r="U92" s="2"/>
      <c r="V92" s="2"/>
      <c r="W92" s="2"/>
      <c r="X92" s="2"/>
      <c r="Y92" s="2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61"/>
      <c r="AK92" s="18"/>
      <c r="AL92" s="161"/>
      <c r="AM92" s="18"/>
    </row>
    <row r="93" spans="9:51">
      <c r="I93" s="585"/>
      <c r="J93" s="589"/>
      <c r="K93" s="590">
        <v>9.4500000000000001E-2</v>
      </c>
      <c r="L93" s="590"/>
      <c r="M93" s="590">
        <v>0.1115</v>
      </c>
      <c r="N93" s="1"/>
      <c r="S93" s="1"/>
      <c r="T93" s="1"/>
      <c r="U93" s="587"/>
      <c r="V93" s="1"/>
      <c r="W93" s="1"/>
      <c r="X93" s="1"/>
      <c r="Y93" s="1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61"/>
      <c r="AK93" s="18"/>
      <c r="AL93" s="161"/>
      <c r="AM93" s="18"/>
    </row>
    <row r="94" spans="9:51">
      <c r="I94" s="66" t="s">
        <v>361</v>
      </c>
      <c r="J94" s="593">
        <v>0</v>
      </c>
      <c r="K94" s="593">
        <f>+J94*K93</f>
        <v>0</v>
      </c>
      <c r="L94" s="593"/>
      <c r="M94" s="593">
        <f>+J94*M93</f>
        <v>0</v>
      </c>
      <c r="N94" s="1"/>
      <c r="S94" s="1"/>
      <c r="T94" s="1"/>
      <c r="U94" s="587"/>
      <c r="V94" s="1"/>
      <c r="W94" s="1"/>
      <c r="X94" s="1"/>
      <c r="Y94" s="1"/>
    </row>
    <row r="95" spans="9:51">
      <c r="I95" s="1"/>
      <c r="J95" s="1"/>
      <c r="K95" s="1"/>
      <c r="L95" s="1"/>
      <c r="M95" s="1"/>
      <c r="N95" s="1"/>
      <c r="S95" s="1"/>
      <c r="T95" s="1"/>
      <c r="U95" s="587"/>
      <c r="V95" s="1"/>
      <c r="W95" s="1"/>
      <c r="X95" s="1"/>
      <c r="Y95" s="1"/>
    </row>
    <row r="96" spans="9:51">
      <c r="I96" s="1"/>
      <c r="J96" s="1"/>
      <c r="K96" s="1"/>
      <c r="L96" s="1"/>
      <c r="M96" s="1"/>
      <c r="N96" s="1"/>
      <c r="S96" s="1"/>
      <c r="T96" s="1"/>
      <c r="U96" s="587"/>
      <c r="V96" s="1"/>
      <c r="W96" s="1"/>
      <c r="X96" s="1"/>
      <c r="Y96" s="1"/>
    </row>
    <row r="98" spans="9:13">
      <c r="I98" s="66">
        <v>45010505</v>
      </c>
      <c r="J98" s="67" t="s">
        <v>213</v>
      </c>
      <c r="K98" s="238">
        <f>+J58</f>
        <v>30990.649999999994</v>
      </c>
      <c r="L98" s="238"/>
      <c r="M98" s="240"/>
    </row>
    <row r="99" spans="9:13">
      <c r="I99" s="66">
        <v>45019005</v>
      </c>
      <c r="J99" s="67" t="s">
        <v>207</v>
      </c>
      <c r="K99" s="238">
        <f>SUM(K58:P58)</f>
        <v>3414.666627999999</v>
      </c>
      <c r="L99" s="238"/>
      <c r="M99" s="240"/>
    </row>
    <row r="100" spans="9:13">
      <c r="I100" s="66">
        <v>45019015</v>
      </c>
      <c r="J100" s="67" t="s">
        <v>208</v>
      </c>
      <c r="K100" s="238">
        <f>SUM(Q58:R58)</f>
        <v>0</v>
      </c>
      <c r="L100" s="238"/>
      <c r="M100" s="240"/>
    </row>
    <row r="101" spans="9:13">
      <c r="I101" s="66">
        <v>450135</v>
      </c>
      <c r="J101" s="67" t="s">
        <v>212</v>
      </c>
      <c r="K101" s="238">
        <f>+U58</f>
        <v>2259.8069345124009</v>
      </c>
      <c r="L101" s="238"/>
      <c r="M101" s="240"/>
    </row>
    <row r="102" spans="9:13">
      <c r="I102" s="66">
        <v>45011005</v>
      </c>
      <c r="J102" s="67" t="s">
        <v>211</v>
      </c>
      <c r="K102" s="238">
        <f>+W58</f>
        <v>225</v>
      </c>
      <c r="L102" s="238"/>
      <c r="M102" s="240"/>
    </row>
    <row r="103" spans="9:13">
      <c r="I103" s="66">
        <v>45011010</v>
      </c>
      <c r="J103" s="67" t="s">
        <v>210</v>
      </c>
      <c r="K103" s="238">
        <f>+X58</f>
        <v>39.166666666666664</v>
      </c>
      <c r="L103" s="238"/>
      <c r="M103" s="240"/>
    </row>
    <row r="104" spans="9:13">
      <c r="I104" s="66">
        <v>25031505</v>
      </c>
      <c r="J104" s="67" t="s">
        <v>220</v>
      </c>
      <c r="K104" s="238"/>
      <c r="L104" s="238"/>
      <c r="M104" s="240">
        <f>+Z58</f>
        <v>3251.3024213459994</v>
      </c>
    </row>
    <row r="105" spans="9:13">
      <c r="I105" s="66">
        <v>25040505</v>
      </c>
      <c r="J105" s="67" t="s">
        <v>425</v>
      </c>
      <c r="K105" s="238"/>
      <c r="L105" s="238"/>
      <c r="M105" s="240">
        <f>+AA58</f>
        <v>51.88</v>
      </c>
    </row>
    <row r="106" spans="9:13">
      <c r="I106" s="66">
        <v>25039001</v>
      </c>
      <c r="J106" s="67" t="s">
        <v>363</v>
      </c>
      <c r="K106" s="238"/>
      <c r="L106" s="238"/>
      <c r="M106" s="240">
        <f>+AC58</f>
        <v>760.63</v>
      </c>
    </row>
    <row r="107" spans="9:13">
      <c r="I107" s="66">
        <v>45010505</v>
      </c>
      <c r="J107" s="67" t="s">
        <v>214</v>
      </c>
      <c r="K107" s="238"/>
      <c r="L107" s="238"/>
      <c r="M107" s="240">
        <f>+AD58</f>
        <v>912.87954799999989</v>
      </c>
    </row>
    <row r="108" spans="9:13">
      <c r="I108" s="66">
        <v>25039002</v>
      </c>
      <c r="J108" s="67" t="s">
        <v>215</v>
      </c>
      <c r="K108" s="238"/>
      <c r="L108" s="238"/>
      <c r="M108" s="240">
        <f>+AE58</f>
        <v>87.739526014799992</v>
      </c>
    </row>
    <row r="109" spans="9:13">
      <c r="I109" s="66">
        <v>25039003</v>
      </c>
      <c r="J109" s="67" t="s">
        <v>216</v>
      </c>
      <c r="K109" s="238"/>
      <c r="L109" s="238"/>
      <c r="M109" s="240">
        <f>+AF58</f>
        <v>0</v>
      </c>
    </row>
    <row r="110" spans="9:13">
      <c r="I110" s="66">
        <v>16909005</v>
      </c>
      <c r="J110" s="67" t="s">
        <v>217</v>
      </c>
      <c r="K110" s="238"/>
      <c r="L110" s="238"/>
      <c r="M110" s="240">
        <f>+AG58</f>
        <v>0</v>
      </c>
    </row>
    <row r="111" spans="9:13">
      <c r="I111" s="66">
        <v>169005</v>
      </c>
      <c r="J111" s="67" t="s">
        <v>218</v>
      </c>
      <c r="K111" s="238"/>
      <c r="L111" s="238"/>
      <c r="M111" s="240">
        <f>+AH58</f>
        <v>13476.109999999999</v>
      </c>
    </row>
    <row r="112" spans="9:13">
      <c r="I112" s="66">
        <v>250305</v>
      </c>
      <c r="J112" s="67" t="s">
        <v>219</v>
      </c>
      <c r="K112" s="238"/>
      <c r="L112" s="238"/>
      <c r="M112" s="240">
        <f>+AJ58</f>
        <v>16707.198533818264</v>
      </c>
    </row>
    <row r="113" spans="9:14">
      <c r="I113" s="67"/>
      <c r="J113" s="67"/>
      <c r="K113" s="238">
        <f>SUM(K98:K103)</f>
        <v>36929.29022917906</v>
      </c>
      <c r="L113" s="238"/>
      <c r="M113" s="240">
        <f>SUM(M104:M112)</f>
        <v>35247.740029179062</v>
      </c>
      <c r="N113" s="80">
        <f>+K113-M113</f>
        <v>1681.5501999999979</v>
      </c>
    </row>
  </sheetData>
  <autoFilter ref="A6:BF57" xr:uid="{61407FA4-F656-4013-B4B7-BE63AC53DBFD}">
    <filterColumn colId="16" showButton="0"/>
    <filterColumn colId="51" showButton="0"/>
    <filterColumn colId="52" showButton="0"/>
  </autoFilter>
  <mergeCells count="54">
    <mergeCell ref="AN3:AT3"/>
    <mergeCell ref="B3:Q3"/>
    <mergeCell ref="AR6:AR7"/>
    <mergeCell ref="B2:AK2"/>
    <mergeCell ref="AN2:BB2"/>
    <mergeCell ref="AD6:AD7"/>
    <mergeCell ref="AE6:AE7"/>
    <mergeCell ref="AF6:AF7"/>
    <mergeCell ref="AG6:AG7"/>
    <mergeCell ref="AH6:AH7"/>
    <mergeCell ref="AI6:AI7"/>
    <mergeCell ref="G6:G7"/>
    <mergeCell ref="H6:H7"/>
    <mergeCell ref="I6:I7"/>
    <mergeCell ref="J6:J7"/>
    <mergeCell ref="L6:L7"/>
    <mergeCell ref="AS6:AS7"/>
    <mergeCell ref="AY6:AY7"/>
    <mergeCell ref="AZ6:BB6"/>
    <mergeCell ref="K60:P60"/>
    <mergeCell ref="Q60:R60"/>
    <mergeCell ref="AJ6:AJ7"/>
    <mergeCell ref="AK6:AK7"/>
    <mergeCell ref="AN6:AN7"/>
    <mergeCell ref="S6:S7"/>
    <mergeCell ref="AP6:AP7"/>
    <mergeCell ref="AO6:AO7"/>
    <mergeCell ref="AQ6:AQ7"/>
    <mergeCell ref="AA6:AA7"/>
    <mergeCell ref="K6:K7"/>
    <mergeCell ref="V6:V7"/>
    <mergeCell ref="B6:B7"/>
    <mergeCell ref="C6:C7"/>
    <mergeCell ref="D6:D7"/>
    <mergeCell ref="E6:E7"/>
    <mergeCell ref="F6:F7"/>
    <mergeCell ref="I91:M91"/>
    <mergeCell ref="M6:M7"/>
    <mergeCell ref="J5:Y5"/>
    <mergeCell ref="I70:P70"/>
    <mergeCell ref="T70:Y70"/>
    <mergeCell ref="I69:P69"/>
    <mergeCell ref="T69:Y69"/>
    <mergeCell ref="Z5:AI5"/>
    <mergeCell ref="AC6:AC7"/>
    <mergeCell ref="N6:N7"/>
    <mergeCell ref="O6:O7"/>
    <mergeCell ref="P6:P7"/>
    <mergeCell ref="Q6:R6"/>
    <mergeCell ref="T6:T7"/>
    <mergeCell ref="U6:U7"/>
    <mergeCell ref="W6:W7"/>
    <mergeCell ref="X6:X7"/>
    <mergeCell ref="Y6:Y7"/>
  </mergeCells>
  <conditionalFormatting sqref="K8:K57">
    <cfRule type="cellIs" dxfId="102" priority="2" operator="between">
      <formula>100</formula>
      <formula>300</formula>
    </cfRule>
  </conditionalFormatting>
  <conditionalFormatting sqref="U8:V57">
    <cfRule type="cellIs" dxfId="101" priority="3" operator="between">
      <formula>0</formula>
      <formula>0</formula>
    </cfRule>
  </conditionalFormatting>
  <dataValidations count="2">
    <dataValidation allowBlank="1" showInputMessage="1" showErrorMessage="1" promptTitle="COMISION META" prompt="APLICA PARA RECAUDACION" sqref="N6:N7" xr:uid="{2B97BAF9-EF77-41E4-8F1E-1ABA7D0947E0}"/>
    <dataValidation allowBlank="1" showInputMessage="1" showErrorMessage="1" promptTitle="IESS GRAVABLE" prompt="LA SUMA DE SUELDO + H.E + COMISIONES +BONIFICACIONES_x000a_" sqref="T6:T7" xr:uid="{2FF0F99C-6D6A-40CB-B7C8-3DF4935493CE}"/>
  </dataValidations>
  <pageMargins left="0.12" right="0.12" top="0.48" bottom="0.12" header="0.12" footer="0.3"/>
  <pageSetup scale="13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7200-A414-44D0-9490-413ACE61EB64}">
  <sheetPr codeName="Hoja2">
    <pageSetUpPr fitToPage="1"/>
  </sheetPr>
  <dimension ref="A2:O44"/>
  <sheetViews>
    <sheetView topLeftCell="B1" workbookViewId="0">
      <selection activeCell="J9" sqref="J9"/>
    </sheetView>
  </sheetViews>
  <sheetFormatPr baseColWidth="10" defaultRowHeight="14.4"/>
  <cols>
    <col min="1" max="1" width="2.33203125" customWidth="1"/>
    <col min="2" max="2" width="5.6640625" customWidth="1"/>
    <col min="3" max="3" width="10.33203125" customWidth="1"/>
    <col min="4" max="4" width="30.33203125" customWidth="1"/>
    <col min="5" max="5" width="18.5546875" hidden="1" customWidth="1"/>
    <col min="6" max="6" width="29.5546875" customWidth="1"/>
    <col min="7" max="7" width="12.5546875" style="17" customWidth="1"/>
    <col min="8" max="8" width="11.21875" customWidth="1"/>
    <col min="9" max="9" width="12.44140625" style="17" customWidth="1"/>
    <col min="10" max="10" width="10.88671875" customWidth="1"/>
    <col min="14" max="14" width="35.109375" customWidth="1"/>
  </cols>
  <sheetData>
    <row r="2" spans="1:15" ht="18">
      <c r="B2" s="856" t="s">
        <v>191</v>
      </c>
      <c r="C2" s="856"/>
      <c r="D2" s="856"/>
      <c r="E2" s="856"/>
      <c r="F2" s="856"/>
      <c r="G2" s="856"/>
      <c r="H2" s="856"/>
      <c r="I2" s="856"/>
      <c r="J2" s="856"/>
      <c r="K2" s="136"/>
      <c r="L2" s="136"/>
    </row>
    <row r="3" spans="1:15">
      <c r="B3" s="855" t="s">
        <v>468</v>
      </c>
      <c r="C3" s="855"/>
      <c r="D3" s="855"/>
      <c r="E3" s="855"/>
      <c r="F3" s="855"/>
      <c r="G3" s="855"/>
      <c r="H3" s="855"/>
      <c r="I3" s="855"/>
      <c r="J3" s="855"/>
      <c r="K3" s="137"/>
      <c r="L3" s="137"/>
    </row>
    <row r="4" spans="1:15">
      <c r="B4" s="857"/>
      <c r="C4" s="857"/>
      <c r="D4" s="857"/>
      <c r="E4" s="857"/>
      <c r="F4" s="857"/>
      <c r="G4" s="857"/>
      <c r="H4" s="857"/>
      <c r="I4" s="857"/>
      <c r="J4" s="857"/>
      <c r="K4" s="138"/>
      <c r="L4" s="138"/>
    </row>
    <row r="5" spans="1:15" ht="15" thickBot="1">
      <c r="A5" s="38"/>
    </row>
    <row r="6" spans="1:15" ht="28.5" customHeight="1" thickBot="1">
      <c r="B6" s="39" t="s">
        <v>1</v>
      </c>
      <c r="C6" s="39" t="s">
        <v>84</v>
      </c>
      <c r="D6" s="40" t="s">
        <v>2</v>
      </c>
      <c r="E6" s="39" t="s">
        <v>102</v>
      </c>
      <c r="F6" s="39" t="s">
        <v>103</v>
      </c>
      <c r="G6" s="228" t="s">
        <v>75</v>
      </c>
      <c r="H6" s="41" t="s">
        <v>12</v>
      </c>
      <c r="I6" s="41" t="s">
        <v>3</v>
      </c>
      <c r="J6" s="142" t="s">
        <v>4</v>
      </c>
      <c r="K6" s="192" t="s">
        <v>199</v>
      </c>
      <c r="N6" s="42" t="s">
        <v>124</v>
      </c>
      <c r="O6" s="43" t="s">
        <v>125</v>
      </c>
    </row>
    <row r="7" spans="1:15" ht="17.25" customHeight="1" thickBot="1">
      <c r="B7" s="44">
        <v>1</v>
      </c>
      <c r="C7" s="214">
        <v>955741970</v>
      </c>
      <c r="D7" s="725" t="str">
        <f>+VLOOKUP(Tabla15[[#This Row],[CEDULA]],'OCTUBRE 2025'!$C$8:$J$57,2,0)</f>
        <v>CHACAGUASAY CHACAGUASAY ROBERTH CRISTHIAN</v>
      </c>
      <c r="E7" s="215" t="s">
        <v>78</v>
      </c>
      <c r="F7" s="725" t="str">
        <f>+VLOOKUP(Tabla15[[#This Row],[CEDULA]],'OCTUBRE 2025'!$C$8:$J$57,4,0)</f>
        <v>OFICIAL DE RECAUDACIONES</v>
      </c>
      <c r="G7" s="217" t="s">
        <v>104</v>
      </c>
      <c r="H7" s="725">
        <f>+VLOOKUP(Tabla15[[#This Row],[CEDULA]],'OCTUBRE 2025'!$C$8:$J$57,7,0)</f>
        <v>30</v>
      </c>
      <c r="I7" s="218">
        <f>+VLOOKUP(Tabla15[[#This Row],[CEDULA]],'OCTUBRE 2025'!$C$8:$J$57,8,0)</f>
        <v>473.88</v>
      </c>
      <c r="J7" s="139">
        <f>100</f>
        <v>100</v>
      </c>
      <c r="N7" s="45" t="s">
        <v>108</v>
      </c>
      <c r="O7" s="34">
        <v>100</v>
      </c>
    </row>
    <row r="8" spans="1:15" ht="15.6" customHeight="1" thickBot="1">
      <c r="B8" s="46">
        <v>2</v>
      </c>
      <c r="C8" s="219">
        <v>944143148</v>
      </c>
      <c r="D8" s="725" t="str">
        <f>+VLOOKUP(Tabla15[[#This Row],[CEDULA]],'OCTUBRE 2025'!$C$8:$J$57,2,0)</f>
        <v>CHIMBOLEMA YUNGAN MARIO EFRAIN</v>
      </c>
      <c r="E8" s="172" t="s">
        <v>80</v>
      </c>
      <c r="F8" s="216" t="s">
        <v>198</v>
      </c>
      <c r="G8" s="220" t="s">
        <v>104</v>
      </c>
      <c r="H8" s="725">
        <f>+VLOOKUP(Tabla15[[#This Row],[CEDULA]],'OCTUBRE 2025'!$C$8:$J$57,7,0)</f>
        <v>9</v>
      </c>
      <c r="I8" s="218">
        <f>+VLOOKUP(Tabla15[[#This Row],[CEDULA]],'OCTUBRE 2025'!$C$8:$J$57,8,0)</f>
        <v>142.16</v>
      </c>
      <c r="J8" s="140">
        <f>+(3.33333333333333)*Tabla15[[#This Row],[DIAS TRABAJADOS]]</f>
        <v>29.999999999999968</v>
      </c>
      <c r="N8" s="45" t="s">
        <v>111</v>
      </c>
      <c r="O8" s="34">
        <v>200</v>
      </c>
    </row>
    <row r="9" spans="1:15" ht="17.25" customHeight="1" thickBot="1">
      <c r="B9" s="46">
        <v>3</v>
      </c>
      <c r="C9" s="219">
        <v>950929232</v>
      </c>
      <c r="D9" s="725" t="str">
        <f>+VLOOKUP(Tabla15[[#This Row],[CEDULA]],'OCTUBRE 2025'!$C$8:$J$57,2,0)</f>
        <v>GARCIA VERA HENRY  LUIS</v>
      </c>
      <c r="E9" s="172" t="s">
        <v>63</v>
      </c>
      <c r="F9" s="216" t="s">
        <v>198</v>
      </c>
      <c r="G9" s="220" t="s">
        <v>107</v>
      </c>
      <c r="H9" s="725">
        <f>+VLOOKUP(Tabla15[[#This Row],[CEDULA]],'OCTUBRE 2025'!$C$8:$J$57,7,0)</f>
        <v>30</v>
      </c>
      <c r="I9" s="218">
        <f>+VLOOKUP(Tabla15[[#This Row],[CEDULA]],'OCTUBRE 2025'!$C$8:$J$57,8,0)</f>
        <v>715.54</v>
      </c>
      <c r="J9" s="140">
        <v>0</v>
      </c>
      <c r="N9" s="45" t="s">
        <v>113</v>
      </c>
      <c r="O9" s="34">
        <v>200</v>
      </c>
    </row>
    <row r="10" spans="1:15" ht="17.25" customHeight="1" thickBot="1">
      <c r="B10" s="46">
        <v>4</v>
      </c>
      <c r="C10" s="219">
        <v>953819646</v>
      </c>
      <c r="D10" s="725" t="str">
        <f>+VLOOKUP(Tabla15[[#This Row],[CEDULA]],'OCTUBRE 2025'!$C$8:$J$57,2,0)</f>
        <v>GUALACEO ÑAMO JONATHAN IVÁN</v>
      </c>
      <c r="E10" s="172" t="s">
        <v>60</v>
      </c>
      <c r="F10" s="216" t="s">
        <v>198</v>
      </c>
      <c r="G10" s="220" t="s">
        <v>104</v>
      </c>
      <c r="H10" s="725">
        <f>+VLOOKUP(Tabla15[[#This Row],[CEDULA]],'OCTUBRE 2025'!$C$8:$J$57,7,0)</f>
        <v>30</v>
      </c>
      <c r="I10" s="218">
        <f>+VLOOKUP(Tabla15[[#This Row],[CEDULA]],'OCTUBRE 2025'!$C$8:$J$57,8,0)</f>
        <v>511.1</v>
      </c>
      <c r="J10" s="140">
        <f>100</f>
        <v>100</v>
      </c>
      <c r="N10" s="45" t="s">
        <v>115</v>
      </c>
      <c r="O10" s="34">
        <v>300</v>
      </c>
    </row>
    <row r="11" spans="1:15" ht="17.25" customHeight="1" thickBot="1">
      <c r="B11" s="46">
        <v>5</v>
      </c>
      <c r="C11" s="219">
        <v>956796767</v>
      </c>
      <c r="D11" s="725" t="str">
        <f>+VLOOKUP(Tabla15[[#This Row],[CEDULA]],'OCTUBRE 2025'!$C$8:$J$57,2,0)</f>
        <v>GUAYANLEMA RUIZ EDINSON DAVID</v>
      </c>
      <c r="E11" s="172" t="s">
        <v>70</v>
      </c>
      <c r="F11" s="216" t="s">
        <v>198</v>
      </c>
      <c r="G11" s="220" t="s">
        <v>107</v>
      </c>
      <c r="H11" s="725">
        <f>+VLOOKUP(Tabla15[[#This Row],[CEDULA]],'OCTUBRE 2025'!$C$8:$J$57,7,0)</f>
        <v>30</v>
      </c>
      <c r="I11" s="218">
        <f>+VLOOKUP(Tabla15[[#This Row],[CEDULA]],'OCTUBRE 2025'!$C$8:$J$57,8,0)</f>
        <v>473.88</v>
      </c>
      <c r="J11" s="140">
        <f>100</f>
        <v>100</v>
      </c>
      <c r="N11" s="45" t="s">
        <v>201</v>
      </c>
      <c r="O11" s="34">
        <v>200</v>
      </c>
    </row>
    <row r="12" spans="1:15" ht="17.25" customHeight="1">
      <c r="B12" s="46">
        <v>6</v>
      </c>
      <c r="C12" s="219">
        <v>957093800</v>
      </c>
      <c r="D12" s="725" t="str">
        <f>+VLOOKUP(Tabla15[[#This Row],[CEDULA]],'OCTUBRE 2025'!$C$8:$J$57,2,0)</f>
        <v>LEMA TADAY BRAYAN WIDINSON</v>
      </c>
      <c r="E12" s="172" t="s">
        <v>83</v>
      </c>
      <c r="F12" s="216" t="s">
        <v>198</v>
      </c>
      <c r="G12" s="220" t="s">
        <v>110</v>
      </c>
      <c r="H12" s="725">
        <f>+VLOOKUP(Tabla15[[#This Row],[CEDULA]],'OCTUBRE 2025'!$C$8:$J$57,7,0)</f>
        <v>30</v>
      </c>
      <c r="I12" s="218">
        <f>+VLOOKUP(Tabla15[[#This Row],[CEDULA]],'OCTUBRE 2025'!$C$8:$J$57,8,0)</f>
        <v>473.88</v>
      </c>
      <c r="J12" s="140">
        <f>+(3.33333333333333)*Tabla15[[#This Row],[DIAS TRABAJADOS]]-60</f>
        <v>39.999999999999901</v>
      </c>
    </row>
    <row r="13" spans="1:15" ht="17.25" customHeight="1">
      <c r="B13" s="44">
        <v>7</v>
      </c>
      <c r="C13" s="219">
        <v>603838657</v>
      </c>
      <c r="D13" s="725" t="str">
        <f>+VLOOKUP(Tabla15[[#This Row],[CEDULA]],'OCTUBRE 2025'!$C$8:$J$57,2,0)</f>
        <v>MALAN DELGADO JOSE ALBERTO</v>
      </c>
      <c r="E13" s="172" t="s">
        <v>71</v>
      </c>
      <c r="F13" s="216" t="s">
        <v>198</v>
      </c>
      <c r="G13" s="220" t="s">
        <v>110</v>
      </c>
      <c r="H13" s="725">
        <f>+VLOOKUP(Tabla15[[#This Row],[CEDULA]],'OCTUBRE 2025'!$C$8:$J$57,7,0)</f>
        <v>30</v>
      </c>
      <c r="I13" s="218">
        <f>+VLOOKUP(Tabla15[[#This Row],[CEDULA]],'OCTUBRE 2025'!$C$8:$J$57,8,0)</f>
        <v>473.88</v>
      </c>
      <c r="J13" s="140">
        <v>200</v>
      </c>
    </row>
    <row r="14" spans="1:15" ht="17.25" customHeight="1">
      <c r="B14" s="46">
        <v>8</v>
      </c>
      <c r="C14" s="219">
        <v>925240525</v>
      </c>
      <c r="D14" s="725" t="str">
        <f>+VLOOKUP(Tabla15[[#This Row],[CEDULA]],'OCTUBRE 2025'!$C$8:$J$57,2,0)</f>
        <v>MALAN YUQUILEMA RAUL ALBERTO</v>
      </c>
      <c r="E14" s="221" t="s">
        <v>24</v>
      </c>
      <c r="F14" s="174" t="s">
        <v>111</v>
      </c>
      <c r="G14" s="222" t="s">
        <v>104</v>
      </c>
      <c r="H14" s="725">
        <f>+VLOOKUP(Tabla15[[#This Row],[CEDULA]],'OCTUBRE 2025'!$C$8:$J$57,7,0)</f>
        <v>30</v>
      </c>
      <c r="I14" s="218">
        <f>+VLOOKUP(Tabla15[[#This Row],[CEDULA]],'OCTUBRE 2025'!$C$8:$J$57,8,0)</f>
        <v>2700</v>
      </c>
      <c r="J14" s="140">
        <f>200-200</f>
        <v>0</v>
      </c>
    </row>
    <row r="15" spans="1:15" ht="17.25" customHeight="1">
      <c r="B15" s="46"/>
      <c r="C15" s="219" t="s">
        <v>281</v>
      </c>
      <c r="D15" s="725" t="str">
        <f>+VLOOKUP(Tabla15[[#This Row],[CEDULA]],'OCTUBRE 2025'!$C$8:$J$57,2,0)</f>
        <v>MEZA RODRIGUEZ MICHAEL FERNANDO</v>
      </c>
      <c r="E15" s="221"/>
      <c r="F15" s="216" t="s">
        <v>198</v>
      </c>
      <c r="G15" s="222" t="s">
        <v>107</v>
      </c>
      <c r="H15" s="725">
        <v>30</v>
      </c>
      <c r="I15" s="218">
        <v>473.88</v>
      </c>
      <c r="J15" s="140">
        <f>100</f>
        <v>100</v>
      </c>
    </row>
    <row r="16" spans="1:15" ht="17.25" customHeight="1">
      <c r="B16" s="46">
        <v>9</v>
      </c>
      <c r="C16" s="219">
        <v>950703199</v>
      </c>
      <c r="D16" s="725" t="str">
        <f>+VLOOKUP(Tabla15[[#This Row],[CEDULA]],'OCTUBRE 2025'!$C$8:$J$57,2,0)</f>
        <v>ÑAMO GUALACEO BRYAN JAVIER</v>
      </c>
      <c r="E16" s="221" t="s">
        <v>72</v>
      </c>
      <c r="F16" s="216" t="s">
        <v>198</v>
      </c>
      <c r="G16" s="223" t="s">
        <v>104</v>
      </c>
      <c r="H16" s="725">
        <f>+VLOOKUP(Tabla15[[#This Row],[CEDULA]],'OCTUBRE 2025'!$C$8:$J$57,7,0)</f>
        <v>30</v>
      </c>
      <c r="I16" s="218">
        <f>+VLOOKUP(Tabla15[[#This Row],[CEDULA]],'OCTUBRE 2025'!$C$8:$J$57,8,0)</f>
        <v>473.88</v>
      </c>
      <c r="J16" s="140">
        <f>100</f>
        <v>100</v>
      </c>
    </row>
    <row r="17" spans="2:14" ht="17.25" customHeight="1">
      <c r="B17" s="46">
        <v>10</v>
      </c>
      <c r="C17" s="219">
        <v>925830689</v>
      </c>
      <c r="D17" s="725" t="str">
        <f>+VLOOKUP(Tabla15[[#This Row],[CEDULA]],'OCTUBRE 2025'!$C$8:$J$57,2,0)</f>
        <v>PERALTA MENDEZ LINA LISSETTE</v>
      </c>
      <c r="E17" s="221" t="s">
        <v>37</v>
      </c>
      <c r="F17" s="174" t="s">
        <v>113</v>
      </c>
      <c r="G17" s="220" t="s">
        <v>104</v>
      </c>
      <c r="H17" s="725">
        <f>+VLOOKUP(Tabla15[[#This Row],[CEDULA]],'OCTUBRE 2025'!$C$8:$J$57,7,0)</f>
        <v>30</v>
      </c>
      <c r="I17" s="218">
        <f>+VLOOKUP(Tabla15[[#This Row],[CEDULA]],'OCTUBRE 2025'!$C$8:$J$57,8,0)</f>
        <v>1022.2</v>
      </c>
      <c r="J17" s="140">
        <v>0</v>
      </c>
    </row>
    <row r="18" spans="2:14" ht="17.25" customHeight="1">
      <c r="B18" s="46">
        <v>12</v>
      </c>
      <c r="C18" s="219">
        <v>951340702</v>
      </c>
      <c r="D18" s="725" t="str">
        <f>+VLOOKUP(Tabla15[[#This Row],[CEDULA]],'OCTUBRE 2025'!$C$8:$J$57,2,0)</f>
        <v>QUITO CALDERON JONATHAN ENRIQUE</v>
      </c>
      <c r="E18" s="221" t="s">
        <v>56</v>
      </c>
      <c r="F18" s="174" t="s">
        <v>114</v>
      </c>
      <c r="G18" s="220" t="s">
        <v>104</v>
      </c>
      <c r="H18" s="725">
        <f>+VLOOKUP(Tabla15[[#This Row],[CEDULA]],'OCTUBRE 2025'!$C$8:$J$57,7,0)</f>
        <v>30</v>
      </c>
      <c r="I18" s="218">
        <f>+VLOOKUP(Tabla15[[#This Row],[CEDULA]],'OCTUBRE 2025'!$C$8:$J$57,8,0)</f>
        <v>817.76</v>
      </c>
      <c r="J18" s="140">
        <v>0</v>
      </c>
      <c r="N18" s="47"/>
    </row>
    <row r="19" spans="2:14" ht="17.25" customHeight="1">
      <c r="B19" s="44">
        <v>13</v>
      </c>
      <c r="C19" s="219">
        <v>927257576</v>
      </c>
      <c r="D19" s="725" t="str">
        <f>+VLOOKUP(Tabla15[[#This Row],[CEDULA]],'OCTUBRE 2025'!$C$8:$J$57,2,0)</f>
        <v>SANISACA MITE ISRAEL BENJAMIN</v>
      </c>
      <c r="E19" s="221" t="s">
        <v>40</v>
      </c>
      <c r="F19" s="174" t="s">
        <v>113</v>
      </c>
      <c r="G19" s="220" t="s">
        <v>107</v>
      </c>
      <c r="H19" s="725">
        <f>+VLOOKUP(Tabla15[[#This Row],[CEDULA]],'OCTUBRE 2025'!$C$8:$J$57,7,0)</f>
        <v>30</v>
      </c>
      <c r="I19" s="218">
        <f>+VLOOKUP(Tabla15[[#This Row],[CEDULA]],'OCTUBRE 2025'!$C$8:$J$57,8,0)</f>
        <v>1022.2</v>
      </c>
      <c r="J19" s="140">
        <f>200-200</f>
        <v>0</v>
      </c>
    </row>
    <row r="20" spans="2:14" ht="17.25" customHeight="1">
      <c r="B20" s="46">
        <v>14</v>
      </c>
      <c r="C20" s="219">
        <v>928901800</v>
      </c>
      <c r="D20" s="725" t="str">
        <f>+VLOOKUP(Tabla15[[#This Row],[CEDULA]],'OCTUBRE 2025'!$C$8:$J$57,2,0)</f>
        <v>TADAY GUAMAN NÉSTOR ALONSO</v>
      </c>
      <c r="E20" s="172" t="s">
        <v>22</v>
      </c>
      <c r="F20" s="173" t="s">
        <v>115</v>
      </c>
      <c r="G20" s="220" t="s">
        <v>104</v>
      </c>
      <c r="H20" s="725">
        <f>+VLOOKUP(Tabla15[[#This Row],[CEDULA]],'OCTUBRE 2025'!$C$8:$J$57,7,0)</f>
        <v>30</v>
      </c>
      <c r="I20" s="218">
        <f>+VLOOKUP(Tabla15[[#This Row],[CEDULA]],'OCTUBRE 2025'!$C$8:$J$57,8,0)</f>
        <v>511.1</v>
      </c>
      <c r="J20" s="140">
        <f>300-100-100</f>
        <v>100</v>
      </c>
    </row>
    <row r="21" spans="2:14" ht="17.25" customHeight="1">
      <c r="B21" s="46">
        <v>15</v>
      </c>
      <c r="C21" s="219">
        <v>954184321</v>
      </c>
      <c r="D21" s="725" t="str">
        <f>+VLOOKUP(Tabla15[[#This Row],[CEDULA]],'OCTUBRE 2025'!$C$8:$J$57,2,0)</f>
        <v>URQUIZO GUARANGA ALEX EFRAIN</v>
      </c>
      <c r="E21" s="172" t="s">
        <v>48</v>
      </c>
      <c r="F21" s="216" t="s">
        <v>198</v>
      </c>
      <c r="G21" s="220" t="s">
        <v>104</v>
      </c>
      <c r="H21" s="725">
        <f>+VLOOKUP(Tabla15[[#This Row],[CEDULA]],'OCTUBRE 2025'!$C$8:$J$57,7,0)</f>
        <v>30</v>
      </c>
      <c r="I21" s="218">
        <f>+VLOOKUP(Tabla15[[#This Row],[CEDULA]],'OCTUBRE 2025'!$C$8:$J$57,8,0)</f>
        <v>511.1</v>
      </c>
      <c r="J21" s="140">
        <f>100</f>
        <v>100</v>
      </c>
    </row>
    <row r="22" spans="2:14" ht="17.25" customHeight="1">
      <c r="B22" s="46">
        <v>16</v>
      </c>
      <c r="C22" s="219">
        <v>941508905</v>
      </c>
      <c r="D22" s="725" t="str">
        <f>+VLOOKUP(Tabla15[[#This Row],[CEDULA]],'OCTUBRE 2025'!$C$8:$J$57,2,0)</f>
        <v>YUQUILEMA CACUANGO ANGEL JOSE</v>
      </c>
      <c r="E22" s="172" t="s">
        <v>29</v>
      </c>
      <c r="F22" s="173" t="s">
        <v>198</v>
      </c>
      <c r="G22" s="219" t="s">
        <v>104</v>
      </c>
      <c r="H22" s="725">
        <f>+VLOOKUP(Tabla15[[#This Row],[CEDULA]],'OCTUBRE 2025'!$C$8:$J$57,7,0)</f>
        <v>30</v>
      </c>
      <c r="I22" s="218">
        <f>+VLOOKUP(Tabla15[[#This Row],[CEDULA]],'OCTUBRE 2025'!$C$8:$J$57,8,0)</f>
        <v>511.1</v>
      </c>
      <c r="J22" s="140">
        <f>(100/30)*Tabla15[[#This Row],[DIAS TRABAJADOS]]</f>
        <v>100</v>
      </c>
    </row>
    <row r="23" spans="2:14" ht="17.25" customHeight="1">
      <c r="B23" s="46">
        <v>18</v>
      </c>
      <c r="C23" s="224">
        <v>604154575</v>
      </c>
      <c r="D23" s="725" t="str">
        <f>+VLOOKUP(Tabla15[[#This Row],[CEDULA]],'OCTUBRE 2025'!$C$8:$J$57,2,0)</f>
        <v>YUQUILEMA DELGADO PEDRO ANTONIO</v>
      </c>
      <c r="E23" s="225" t="s">
        <v>31</v>
      </c>
      <c r="F23" s="226" t="s">
        <v>113</v>
      </c>
      <c r="G23" s="227" t="s">
        <v>110</v>
      </c>
      <c r="H23" s="725">
        <f>+VLOOKUP(Tabla15[[#This Row],[CEDULA]],'OCTUBRE 2025'!$C$8:$J$57,7,0)</f>
        <v>30</v>
      </c>
      <c r="I23" s="218">
        <f>+VLOOKUP(Tabla15[[#This Row],[CEDULA]],'OCTUBRE 2025'!$C$8:$J$57,8,0)</f>
        <v>1022.2</v>
      </c>
      <c r="J23" s="141">
        <f>200-200</f>
        <v>0</v>
      </c>
    </row>
    <row r="24" spans="2:14" ht="17.25" customHeight="1" thickBot="1">
      <c r="B24" s="206"/>
      <c r="C24" s="207"/>
      <c r="D24" s="208"/>
      <c r="E24" s="209"/>
      <c r="F24" s="210"/>
      <c r="G24" s="206"/>
      <c r="H24" s="211"/>
      <c r="I24" s="212"/>
      <c r="J24" s="213"/>
    </row>
    <row r="25" spans="2:14" ht="15" thickBot="1">
      <c r="B25" s="48"/>
      <c r="C25" s="49"/>
      <c r="D25" s="50" t="s">
        <v>32</v>
      </c>
      <c r="E25" s="179"/>
      <c r="F25" s="180"/>
      <c r="G25" s="48"/>
      <c r="H25" s="181"/>
      <c r="I25" s="182"/>
      <c r="J25" s="183">
        <f>SUM(Tabla15[BONO VEHICULAR])</f>
        <v>1070</v>
      </c>
      <c r="K25" s="193"/>
    </row>
    <row r="44" spans="2:2">
      <c r="B44">
        <v>4</v>
      </c>
    </row>
  </sheetData>
  <mergeCells count="3">
    <mergeCell ref="B3:J3"/>
    <mergeCell ref="B2:J2"/>
    <mergeCell ref="B4:J4"/>
  </mergeCells>
  <conditionalFormatting sqref="N18">
    <cfRule type="dataBar" priority="1">
      <dataBar>
        <cfvo type="num" val="0"/>
        <cfvo type="num" val="500"/>
        <color theme="9" tint="0.39997558519241921"/>
      </dataBar>
      <extLst>
        <ext xmlns:x14="http://schemas.microsoft.com/office/spreadsheetml/2009/9/main" uri="{B025F937-C7B1-47D3-B67F-A62EFF666E3E}">
          <x14:id>{03225CDF-C74B-4CF6-BB6A-2B64A4BAD9FF}</x14:id>
        </ext>
      </extLst>
    </cfRule>
  </conditionalFormatting>
  <dataValidations count="1">
    <dataValidation type="list" allowBlank="1" showInputMessage="1" showErrorMessage="1" sqref="N18" xr:uid="{6232510B-E09C-4A92-82A5-C3487FB79863}">
      <formula1>$BG$31:$BG$36</formula1>
    </dataValidation>
  </dataValidations>
  <pageMargins left="0.7" right="0.7" top="0.75" bottom="0.75" header="0.3" footer="0.3"/>
  <pageSetup paperSize="9" scale="48" fitToHeight="0" orientation="portrait" horizontalDpi="0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225CDF-C74B-4CF6-BB6A-2B64A4BAD9FF}">
            <x14:dataBar minLength="0" maxLength="100" border="1" negativeBarBorderColorSameAsPositive="0">
              <x14:cfvo type="num">
                <xm:f>0</xm:f>
              </x14:cfvo>
              <x14:cfvo type="num">
                <xm:f>500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iconSet" priority="2" id="{85C59FD2-5245-430F-B528-6FE83DCA8A5F}">
            <x14:iconSet iconSet="5ArrowsGray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5</xm:f>
              </x14:cfvo>
              <x14:cfvo type="num">
                <xm:f>6</xm:f>
              </x14:cfvo>
              <x14:cfIcon iconSet="NoIcons" iconId="0"/>
              <x14:cfIcon iconSet="4RedToBlack" iconId="1"/>
              <x14:cfIcon iconSet="3Flags" iconId="1"/>
              <x14:cfIcon iconSet="3Flags" iconId="2"/>
              <x14:cfIcon iconSet="3Symbols" iconId="2"/>
            </x14:iconSet>
          </x14:cfRule>
          <xm:sqref>N18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1468-79DA-49A7-9770-C448E45B74BE}">
  <sheetPr codeName="Hoja3">
    <pageSetUpPr fitToPage="1"/>
  </sheetPr>
  <dimension ref="B2:K56"/>
  <sheetViews>
    <sheetView zoomScale="85" zoomScaleNormal="85" workbookViewId="0">
      <selection activeCell="D8" sqref="D8:D52"/>
    </sheetView>
  </sheetViews>
  <sheetFormatPr baseColWidth="10" defaultRowHeight="14.4"/>
  <cols>
    <col min="1" max="1" width="2.6640625" customWidth="1"/>
    <col min="2" max="2" width="6.33203125" customWidth="1"/>
    <col min="4" max="4" width="46.44140625" customWidth="1"/>
    <col min="5" max="5" width="15.6640625" customWidth="1"/>
    <col min="6" max="6" width="10.44140625" customWidth="1"/>
    <col min="7" max="7" width="15.6640625" customWidth="1"/>
    <col min="8" max="8" width="16.44140625" customWidth="1"/>
  </cols>
  <sheetData>
    <row r="2" spans="2:9" ht="21">
      <c r="B2" s="858" t="s">
        <v>209</v>
      </c>
      <c r="C2" s="858"/>
      <c r="D2" s="858"/>
      <c r="E2" s="858"/>
      <c r="F2" s="858"/>
      <c r="G2" s="858"/>
      <c r="H2" s="858"/>
      <c r="I2" s="858"/>
    </row>
    <row r="3" spans="2:9">
      <c r="B3" s="855" t="s">
        <v>200</v>
      </c>
      <c r="C3" s="855"/>
      <c r="D3" s="855"/>
      <c r="E3" s="855"/>
      <c r="F3" s="855"/>
      <c r="G3" s="855"/>
      <c r="H3" s="855"/>
      <c r="I3" s="855"/>
    </row>
    <row r="4" spans="2:9">
      <c r="B4" s="857" t="s">
        <v>202</v>
      </c>
      <c r="C4" s="857"/>
      <c r="D4" s="857"/>
      <c r="E4" s="857"/>
      <c r="F4" s="857"/>
      <c r="G4" s="857"/>
      <c r="H4" s="857"/>
      <c r="I4" s="857"/>
    </row>
    <row r="5" spans="2:9" ht="15" thickBot="1"/>
    <row r="6" spans="2:9" ht="15" customHeight="1">
      <c r="B6" s="815" t="s">
        <v>1</v>
      </c>
      <c r="C6" s="817" t="s">
        <v>84</v>
      </c>
      <c r="D6" s="817" t="s">
        <v>2</v>
      </c>
      <c r="E6" s="859" t="s">
        <v>165</v>
      </c>
      <c r="F6" s="797" t="s">
        <v>58</v>
      </c>
      <c r="G6" s="795" t="s">
        <v>5</v>
      </c>
      <c r="H6" s="863" t="s">
        <v>67</v>
      </c>
      <c r="I6" s="861" t="s">
        <v>164</v>
      </c>
    </row>
    <row r="7" spans="2:9" ht="22.5" customHeight="1" thickBot="1">
      <c r="B7" s="816"/>
      <c r="C7" s="818"/>
      <c r="D7" s="818"/>
      <c r="E7" s="860"/>
      <c r="F7" s="798"/>
      <c r="G7" s="796"/>
      <c r="H7" s="864"/>
      <c r="I7" s="862"/>
    </row>
    <row r="8" spans="2:9" ht="15" customHeight="1">
      <c r="B8" s="23">
        <v>1</v>
      </c>
      <c r="C8" s="23">
        <f>+'OCTUBRE 2025'!C8</f>
        <v>925813685</v>
      </c>
      <c r="D8" s="25" t="str">
        <f>+VLOOKUP(C8,'OCTUBRE 2025'!$C$8:$F$57,2,0)</f>
        <v>ASITIMBAY CRIOLLO JOHN ANDERSON</v>
      </c>
      <c r="E8" s="28"/>
      <c r="F8" s="28"/>
      <c r="G8" s="28"/>
      <c r="H8" s="28"/>
      <c r="I8" s="28"/>
    </row>
    <row r="9" spans="2:9" ht="15" customHeight="1">
      <c r="B9" s="23">
        <v>2</v>
      </c>
      <c r="C9" s="23">
        <f>+'OCTUBRE 2025'!C9</f>
        <v>944405737</v>
      </c>
      <c r="D9" s="25" t="str">
        <f>+VLOOKUP(C9,'OCTUBRE 2025'!$C$8:$F$57,2,0)</f>
        <v>BARAHONA ZAMBRANO DAYANA NICOLE</v>
      </c>
      <c r="E9" s="28"/>
      <c r="F9" s="28"/>
      <c r="G9" s="28"/>
      <c r="H9" s="28"/>
      <c r="I9" s="28"/>
    </row>
    <row r="10" spans="2:9" ht="15" customHeight="1">
      <c r="B10" s="23">
        <v>3</v>
      </c>
      <c r="C10" s="23">
        <f>+'OCTUBRE 2025'!C10</f>
        <v>604394502</v>
      </c>
      <c r="D10" s="25" t="str">
        <f>+VLOOKUP(C10,'OCTUBRE 2025'!$C$8:$F$57,2,0)</f>
        <v>BETUN CHAFLA JULIO CESAR</v>
      </c>
      <c r="E10" s="28"/>
      <c r="F10" s="28"/>
      <c r="G10" s="28"/>
      <c r="H10" s="28"/>
      <c r="I10" s="28"/>
    </row>
    <row r="11" spans="2:9" ht="15" customHeight="1">
      <c r="B11" s="23">
        <v>4</v>
      </c>
      <c r="C11" s="23" t="e">
        <f>+'OCTUBRE 2025'!#REF!</f>
        <v>#REF!</v>
      </c>
      <c r="D11" s="25" t="e">
        <f>+VLOOKUP(C11,'OCTUBRE 2025'!$C$8:$F$57,2,0)</f>
        <v>#REF!</v>
      </c>
      <c r="E11" s="28">
        <v>100</v>
      </c>
      <c r="F11" s="28">
        <v>236.65</v>
      </c>
      <c r="G11" s="28"/>
      <c r="H11" s="28">
        <v>30</v>
      </c>
      <c r="I11" s="28"/>
    </row>
    <row r="12" spans="2:9" ht="15" customHeight="1">
      <c r="B12" s="23">
        <v>5</v>
      </c>
      <c r="C12" s="23">
        <f>+'OCTUBRE 2025'!C11</f>
        <v>955741970</v>
      </c>
      <c r="D12" s="25" t="str">
        <f>+VLOOKUP(C12,'OCTUBRE 2025'!$C$8:$F$57,2,0)</f>
        <v>CHACAGUASAY CHACAGUASAY ROBERTH CRISTHIAN</v>
      </c>
      <c r="E12" s="28">
        <v>100</v>
      </c>
      <c r="F12" s="28">
        <v>99.5</v>
      </c>
      <c r="G12" s="28"/>
      <c r="H12" s="28"/>
      <c r="I12" s="28"/>
    </row>
    <row r="13" spans="2:9" ht="15" customHeight="1">
      <c r="B13" s="23">
        <v>6</v>
      </c>
      <c r="C13" s="23">
        <f>+'OCTUBRE 2025'!C15</f>
        <v>914163654</v>
      </c>
      <c r="D13" s="25" t="str">
        <f>+VLOOKUP(C13,'OCTUBRE 2025'!$C$8:$F$57,2,0)</f>
        <v>COCA BENITEZ JORGE MANUEL</v>
      </c>
      <c r="E13" s="28"/>
      <c r="F13" s="28"/>
      <c r="G13" s="28"/>
      <c r="H13" s="194"/>
      <c r="I13" s="28"/>
    </row>
    <row r="14" spans="2:9" ht="15" customHeight="1">
      <c r="B14" s="23">
        <v>7</v>
      </c>
      <c r="C14" s="23">
        <f>+'OCTUBRE 2025'!C19</f>
        <v>1105483422</v>
      </c>
      <c r="D14" s="25" t="str">
        <f>+VLOOKUP(C14,'OCTUBRE 2025'!$C$8:$F$57,2,0)</f>
        <v>FLORES HERRERA WENDY DEL CISNE</v>
      </c>
      <c r="E14" s="28"/>
      <c r="F14" s="28"/>
      <c r="G14" s="28"/>
      <c r="H14" s="28"/>
      <c r="I14" s="28"/>
    </row>
    <row r="15" spans="2:9" ht="15" customHeight="1">
      <c r="B15" s="23">
        <v>8</v>
      </c>
      <c r="C15" s="23">
        <f>+'OCTUBRE 2025'!C20</f>
        <v>942614645</v>
      </c>
      <c r="D15" s="25" t="str">
        <f>+VLOOKUP(C15,'OCTUBRE 2025'!$C$8:$F$57,2,0)</f>
        <v>FUELA TOABANDA JOSUE CHRISTIAN</v>
      </c>
      <c r="E15" s="28"/>
      <c r="F15" s="28"/>
      <c r="G15" s="28"/>
      <c r="H15" s="28"/>
      <c r="I15" s="28"/>
    </row>
    <row r="16" spans="2:9" ht="15" customHeight="1">
      <c r="B16" s="23">
        <v>9</v>
      </c>
      <c r="C16" s="23">
        <f>+'OCTUBRE 2025'!C21</f>
        <v>951200062</v>
      </c>
      <c r="D16" s="25" t="str">
        <f>+VLOOKUP(C16,'OCTUBRE 2025'!$C$8:$F$57,2,0)</f>
        <v>GALAN LEMACHE INGRID GISELA</v>
      </c>
      <c r="E16" s="28"/>
      <c r="F16" s="28"/>
      <c r="G16" s="28"/>
      <c r="H16" s="28"/>
      <c r="I16" s="28"/>
    </row>
    <row r="17" spans="2:9" ht="15" customHeight="1">
      <c r="B17" s="23">
        <v>10</v>
      </c>
      <c r="C17" s="23">
        <f>+'OCTUBRE 2025'!C22</f>
        <v>950929232</v>
      </c>
      <c r="D17" s="25" t="str">
        <f>+VLOOKUP(C17,'OCTUBRE 2025'!$C$8:$F$57,2,0)</f>
        <v>GARCIA VERA HENRY  LUIS</v>
      </c>
      <c r="E17" s="28"/>
      <c r="F17" s="28"/>
      <c r="G17" s="28"/>
      <c r="H17" s="28"/>
      <c r="I17" s="28"/>
    </row>
    <row r="18" spans="2:9" ht="15" customHeight="1">
      <c r="B18" s="23">
        <v>11</v>
      </c>
      <c r="C18" s="23">
        <f>+'OCTUBRE 2025'!C23</f>
        <v>953819646</v>
      </c>
      <c r="D18" s="25" t="str">
        <f>+VLOOKUP(C18,'OCTUBRE 2025'!$C$8:$F$57,2,0)</f>
        <v>GUALACEO ÑAMO JONATHAN IVÁN</v>
      </c>
      <c r="E18" s="28"/>
      <c r="F18" s="28"/>
      <c r="G18" s="28"/>
      <c r="H18" s="28"/>
      <c r="I18" s="28"/>
    </row>
    <row r="19" spans="2:9" ht="15" customHeight="1">
      <c r="B19" s="23">
        <v>12</v>
      </c>
      <c r="C19" s="23" t="e">
        <f>+'OCTUBRE 2025'!#REF!</f>
        <v>#REF!</v>
      </c>
      <c r="D19" s="25" t="e">
        <f>+VLOOKUP(C19,'OCTUBRE 2025'!$C$8:$F$57,2,0)</f>
        <v>#REF!</v>
      </c>
      <c r="E19" s="28"/>
      <c r="F19" s="28"/>
      <c r="G19" s="28"/>
      <c r="H19" s="28"/>
      <c r="I19" s="28"/>
    </row>
    <row r="20" spans="2:9" ht="15" customHeight="1">
      <c r="B20" s="23">
        <v>13</v>
      </c>
      <c r="C20" s="23">
        <f>+'OCTUBRE 2025'!C24</f>
        <v>956953392</v>
      </c>
      <c r="D20" s="25" t="str">
        <f>+VLOOKUP(C20,'OCTUBRE 2025'!$C$8:$F$57,2,0)</f>
        <v>GUAPI YUMAGLLA OSCAR EDUARDO</v>
      </c>
      <c r="E20" s="28"/>
      <c r="F20" s="28"/>
      <c r="G20" s="28"/>
      <c r="H20" s="28"/>
      <c r="I20" s="28"/>
    </row>
    <row r="21" spans="2:9" ht="15" customHeight="1">
      <c r="B21" s="23">
        <v>14</v>
      </c>
      <c r="C21" s="23" t="e">
        <f>+'OCTUBRE 2025'!#REF!</f>
        <v>#REF!</v>
      </c>
      <c r="D21" s="25" t="e">
        <f>+VLOOKUP(C21,'OCTUBRE 2025'!$C$8:$F$57,2,0)</f>
        <v>#REF!</v>
      </c>
      <c r="E21" s="28"/>
      <c r="F21" s="28"/>
      <c r="G21" s="28"/>
      <c r="H21" s="28"/>
      <c r="I21" s="28"/>
    </row>
    <row r="22" spans="2:9" ht="15" customHeight="1">
      <c r="B22" s="23">
        <v>15</v>
      </c>
      <c r="C22" s="23">
        <f>+'OCTUBRE 2025'!C25</f>
        <v>956796767</v>
      </c>
      <c r="D22" s="25" t="str">
        <f>+VLOOKUP(C22,'OCTUBRE 2025'!$C$8:$F$57,2,0)</f>
        <v>GUAYANLEMA RUIZ EDINSON DAVID</v>
      </c>
      <c r="E22" s="28"/>
      <c r="F22" s="28">
        <v>7.31</v>
      </c>
      <c r="G22" s="28"/>
      <c r="H22" s="28"/>
      <c r="I22" s="28"/>
    </row>
    <row r="23" spans="2:9" ht="15" customHeight="1">
      <c r="B23" s="23">
        <v>16</v>
      </c>
      <c r="C23" s="23">
        <f>+'OCTUBRE 2025'!C27</f>
        <v>1724102940</v>
      </c>
      <c r="D23" s="25" t="str">
        <f>+VLOOKUP(C23,'OCTUBRE 2025'!$C$8:$F$57,2,0)</f>
        <v>HIDALGO CHERRES NESTOR VLADIMIR</v>
      </c>
      <c r="E23" s="28"/>
      <c r="F23" s="28"/>
      <c r="G23" s="28"/>
      <c r="H23" s="28"/>
      <c r="I23" s="28"/>
    </row>
    <row r="24" spans="2:9" ht="15" customHeight="1">
      <c r="B24" s="23">
        <v>17</v>
      </c>
      <c r="C24" s="23">
        <f>+'OCTUBRE 2025'!C28</f>
        <v>943322974</v>
      </c>
      <c r="D24" s="25" t="str">
        <f>+VLOOKUP(C24,'OCTUBRE 2025'!$C$8:$F$57,2,0)</f>
        <v>JANETA RUIZ ALEXANDRA DEL ROCIO</v>
      </c>
      <c r="E24" s="28"/>
      <c r="F24" s="28">
        <v>10.84</v>
      </c>
      <c r="G24" s="28"/>
      <c r="H24" s="28"/>
      <c r="I24" s="28"/>
    </row>
    <row r="25" spans="2:9" ht="15" customHeight="1">
      <c r="B25" s="23">
        <v>18</v>
      </c>
      <c r="C25" s="23">
        <f>+'OCTUBRE 2025'!C29</f>
        <v>941096851</v>
      </c>
      <c r="D25" s="25" t="str">
        <f>+VLOOKUP(C25,'OCTUBRE 2025'!$C$8:$F$57,2,0)</f>
        <v>LEMA CHIRAU RAMONA MARIA</v>
      </c>
      <c r="E25" s="28"/>
      <c r="F25" s="28"/>
      <c r="G25" s="28"/>
      <c r="H25" s="28"/>
      <c r="I25" s="28"/>
    </row>
    <row r="26" spans="2:9" ht="15" customHeight="1">
      <c r="B26" s="23">
        <v>19</v>
      </c>
      <c r="C26" s="23" t="e">
        <f>+'OCTUBRE 2025'!#REF!</f>
        <v>#REF!</v>
      </c>
      <c r="D26" s="25" t="e">
        <f>+VLOOKUP(C26,'OCTUBRE 2025'!$C$8:$F$57,2,0)</f>
        <v>#REF!</v>
      </c>
      <c r="E26" s="28"/>
      <c r="F26" s="28"/>
      <c r="G26" s="28"/>
      <c r="H26" s="28"/>
      <c r="I26" s="28"/>
    </row>
    <row r="27" spans="2:9" ht="15" customHeight="1">
      <c r="B27" s="23">
        <v>20</v>
      </c>
      <c r="C27" s="23">
        <f>+'OCTUBRE 2025'!C32</f>
        <v>603838657</v>
      </c>
      <c r="D27" s="25" t="str">
        <f>+VLOOKUP(C27,'OCTUBRE 2025'!$C$8:$F$57,2,0)</f>
        <v>MALAN DELGADO JOSE ALBERTO</v>
      </c>
      <c r="E27" s="28"/>
      <c r="F27" s="28"/>
      <c r="G27" s="28"/>
      <c r="H27" s="28"/>
      <c r="I27" s="28"/>
    </row>
    <row r="28" spans="2:9" ht="15" customHeight="1">
      <c r="B28" s="23">
        <v>21</v>
      </c>
      <c r="C28" s="23">
        <f>+'OCTUBRE 2025'!C33</f>
        <v>925240525</v>
      </c>
      <c r="D28" s="25" t="str">
        <f>+VLOOKUP(C28,'OCTUBRE 2025'!$C$8:$F$57,2,0)</f>
        <v>MALAN YUQUILEMA RAUL ALBERTO</v>
      </c>
      <c r="E28" s="28"/>
      <c r="F28" s="28"/>
      <c r="G28" s="28"/>
      <c r="H28" s="28"/>
      <c r="I28" s="28"/>
    </row>
    <row r="29" spans="2:9" ht="15" customHeight="1">
      <c r="B29" s="23">
        <v>22</v>
      </c>
      <c r="C29" s="23">
        <f>+'OCTUBRE 2025'!C34</f>
        <v>954520599</v>
      </c>
      <c r="D29" s="25" t="str">
        <f>+VLOOKUP(C29,'OCTUBRE 2025'!$C$8:$F$57,2,0)</f>
        <v>MARSHALL VEGA YULIANA LISSETT</v>
      </c>
      <c r="E29" s="28"/>
      <c r="F29" s="28"/>
      <c r="G29" s="28"/>
      <c r="H29" s="28"/>
      <c r="I29" s="28"/>
    </row>
    <row r="30" spans="2:9" ht="15" customHeight="1">
      <c r="B30" s="23">
        <v>23</v>
      </c>
      <c r="C30" s="23" t="e">
        <f>+'OCTUBRE 2025'!#REF!</f>
        <v>#REF!</v>
      </c>
      <c r="D30" s="25" t="e">
        <f>+VLOOKUP(C30,'OCTUBRE 2025'!$C$8:$F$57,2,0)</f>
        <v>#REF!</v>
      </c>
      <c r="E30" s="28">
        <v>100</v>
      </c>
      <c r="F30" s="28">
        <v>518.5</v>
      </c>
      <c r="G30" s="28"/>
      <c r="H30" s="28"/>
      <c r="I30" s="28"/>
    </row>
    <row r="31" spans="2:9" ht="15" customHeight="1">
      <c r="B31" s="23">
        <v>24</v>
      </c>
      <c r="C31" s="23" t="str">
        <f>+'OCTUBRE 2025'!C35</f>
        <v>0943906032</v>
      </c>
      <c r="D31" s="25" t="str">
        <f>+VLOOKUP(C31,'OCTUBRE 2025'!$C$8:$F$57,2,0)</f>
        <v>MEZA RODRIGUEZ MICHAEL FERNANDO</v>
      </c>
      <c r="E31" s="28"/>
      <c r="F31" s="28"/>
      <c r="G31" s="28"/>
      <c r="H31" s="28"/>
      <c r="I31" s="28"/>
    </row>
    <row r="32" spans="2:9" ht="15" customHeight="1">
      <c r="B32" s="23">
        <v>25</v>
      </c>
      <c r="C32" s="23" t="str">
        <f>+'OCTUBRE 2025'!C36</f>
        <v>0919306050</v>
      </c>
      <c r="D32" s="25" t="str">
        <f>+VLOOKUP(C32,'OCTUBRE 2025'!$C$8:$F$57,2,0)</f>
        <v>MORAN GARCIA DANNY FAVIAN</v>
      </c>
      <c r="E32" s="28"/>
      <c r="F32" s="28"/>
      <c r="G32" s="28"/>
      <c r="H32" s="28"/>
      <c r="I32" s="28"/>
    </row>
    <row r="33" spans="2:9" ht="15" customHeight="1">
      <c r="B33" s="23">
        <v>26</v>
      </c>
      <c r="C33" s="23" t="str">
        <f>+'OCTUBRE 2025'!C37</f>
        <v>0941235376</v>
      </c>
      <c r="D33" s="25" t="str">
        <f>+VLOOKUP(C33,'OCTUBRE 2025'!$C$8:$F$57,2,0)</f>
        <v>MOREIRA ESPINOZA LINDA ELIZABETH</v>
      </c>
      <c r="E33" s="28"/>
      <c r="F33" s="28"/>
      <c r="G33" s="28"/>
      <c r="H33" s="28"/>
      <c r="I33" s="28"/>
    </row>
    <row r="34" spans="2:9" ht="15" customHeight="1">
      <c r="B34" s="23">
        <v>27</v>
      </c>
      <c r="C34" s="23">
        <f>+'OCTUBRE 2025'!C38</f>
        <v>955395686</v>
      </c>
      <c r="D34" s="25" t="str">
        <f>+VLOOKUP(C34,'OCTUBRE 2025'!$C$8:$F$57,2,0)</f>
        <v>MOROCHO DUCHI SANDRA STEPHANIE</v>
      </c>
      <c r="E34" s="28"/>
      <c r="F34" s="28"/>
      <c r="G34" s="28"/>
      <c r="H34" s="28"/>
      <c r="I34" s="28"/>
    </row>
    <row r="35" spans="2:9" ht="15" customHeight="1">
      <c r="B35" s="23">
        <v>28</v>
      </c>
      <c r="C35" s="23">
        <f>+'OCTUBRE 2025'!C39</f>
        <v>940991987</v>
      </c>
      <c r="D35" s="25" t="str">
        <f>+VLOOKUP(C35,'OCTUBRE 2025'!$C$8:$F$57,2,0)</f>
        <v>MOROCHO YANTALEMA DINA MAGALY</v>
      </c>
      <c r="E35" s="28"/>
      <c r="F35" s="28"/>
      <c r="G35" s="28"/>
      <c r="H35" s="28"/>
      <c r="I35" s="28"/>
    </row>
    <row r="36" spans="2:9" ht="15" customHeight="1">
      <c r="B36" s="23">
        <v>29</v>
      </c>
      <c r="C36" s="23" t="e">
        <f>+'OCTUBRE 2025'!#REF!</f>
        <v>#REF!</v>
      </c>
      <c r="D36" s="25" t="e">
        <f>+VLOOKUP(C36,'OCTUBRE 2025'!$C$8:$F$57,2,0)</f>
        <v>#REF!</v>
      </c>
      <c r="E36" s="28"/>
      <c r="F36" s="28"/>
      <c r="G36" s="28"/>
      <c r="H36" s="28"/>
      <c r="I36" s="28"/>
    </row>
    <row r="37" spans="2:9" ht="15" customHeight="1">
      <c r="B37" s="23">
        <v>30</v>
      </c>
      <c r="C37" s="23">
        <f>+'OCTUBRE 2025'!C41</f>
        <v>951763994</v>
      </c>
      <c r="D37" s="25" t="str">
        <f>+VLOOKUP(C37,'OCTUBRE 2025'!$C$8:$F$57,2,0)</f>
        <v>NEVAREZ PEÑAFIEL EVELYN JULEXY</v>
      </c>
      <c r="E37" s="28"/>
      <c r="F37" s="28"/>
      <c r="G37" s="28"/>
      <c r="H37" s="28"/>
      <c r="I37" s="28"/>
    </row>
    <row r="38" spans="2:9" ht="15" customHeight="1">
      <c r="B38" s="23">
        <v>31</v>
      </c>
      <c r="C38" s="23">
        <f>+'OCTUBRE 2025'!C42</f>
        <v>950703199</v>
      </c>
      <c r="D38" s="25" t="str">
        <f>+VLOOKUP(C38,'OCTUBRE 2025'!$C$8:$F$57,2,0)</f>
        <v>ÑAMO GUALACEO BRYAN JAVIER</v>
      </c>
      <c r="E38" s="28"/>
      <c r="F38" s="28">
        <v>60.37</v>
      </c>
      <c r="G38" s="28"/>
      <c r="H38" s="28"/>
      <c r="I38" s="28"/>
    </row>
    <row r="39" spans="2:9" ht="15" customHeight="1">
      <c r="B39" s="23">
        <v>32</v>
      </c>
      <c r="C39" s="23">
        <f>+'OCTUBRE 2025'!C44</f>
        <v>925830689</v>
      </c>
      <c r="D39" s="25" t="str">
        <f>+VLOOKUP(C39,'OCTUBRE 2025'!$C$8:$F$57,2,0)</f>
        <v>PERALTA MENDEZ LINA LISSETTE</v>
      </c>
      <c r="E39" s="28"/>
      <c r="F39" s="28"/>
      <c r="G39" s="28"/>
      <c r="H39" s="28"/>
      <c r="I39" s="28"/>
    </row>
    <row r="40" spans="2:9" ht="15" customHeight="1">
      <c r="B40" s="23">
        <v>33</v>
      </c>
      <c r="C40" s="23">
        <f>+'OCTUBRE 2025'!C46</f>
        <v>951340702</v>
      </c>
      <c r="D40" s="25" t="str">
        <f>+VLOOKUP(C40,'OCTUBRE 2025'!$C$8:$F$57,2,0)</f>
        <v>QUITO CALDERON JONATHAN ENRIQUE</v>
      </c>
      <c r="E40" s="28">
        <v>100</v>
      </c>
      <c r="F40" s="28">
        <v>75</v>
      </c>
      <c r="G40" s="28"/>
      <c r="H40" s="28"/>
      <c r="I40" s="28"/>
    </row>
    <row r="41" spans="2:9" ht="15" customHeight="1">
      <c r="B41" s="23">
        <v>34</v>
      </c>
      <c r="C41" s="23">
        <f>+'OCTUBRE 2025'!C47</f>
        <v>650112949</v>
      </c>
      <c r="D41" s="25" t="str">
        <f>+VLOOKUP(C41,'OCTUBRE 2025'!$C$8:$F$57,2,0)</f>
        <v>QUITO UCHUBANDA JANETH ALEXANDRA</v>
      </c>
      <c r="E41" s="28"/>
      <c r="F41" s="28"/>
      <c r="G41" s="28"/>
      <c r="H41" s="28"/>
      <c r="I41" s="28"/>
    </row>
    <row r="42" spans="2:9" ht="15" customHeight="1">
      <c r="B42" s="23">
        <v>35</v>
      </c>
      <c r="C42" s="23">
        <f>+'OCTUBRE 2025'!C48</f>
        <v>924232804</v>
      </c>
      <c r="D42" s="25" t="str">
        <f>+VLOOKUP(C42,'OCTUBRE 2025'!$C$8:$F$57,2,0)</f>
        <v>RECALDE NARANJO ANGEL ALEXIS</v>
      </c>
      <c r="E42" s="28"/>
      <c r="F42" s="28"/>
      <c r="G42" s="28"/>
      <c r="H42" s="28"/>
      <c r="I42" s="28"/>
    </row>
    <row r="43" spans="2:9" ht="15" customHeight="1">
      <c r="B43" s="23">
        <v>36</v>
      </c>
      <c r="C43" s="23">
        <f>+'OCTUBRE 2025'!C49</f>
        <v>605031145</v>
      </c>
      <c r="D43" s="25" t="str">
        <f>+VLOOKUP(C43,'OCTUBRE 2025'!$C$8:$F$57,2,0)</f>
        <v>SALAO PEREZ GERMAN FABRICIO</v>
      </c>
      <c r="E43" s="28"/>
      <c r="F43" s="28"/>
      <c r="G43" s="28"/>
      <c r="H43" s="28"/>
      <c r="I43" s="28"/>
    </row>
    <row r="44" spans="2:9" ht="15" customHeight="1">
      <c r="B44" s="23">
        <v>37</v>
      </c>
      <c r="C44" s="23">
        <f>+'OCTUBRE 2025'!C50</f>
        <v>927257576</v>
      </c>
      <c r="D44" s="25" t="str">
        <f>+VLOOKUP(C44,'OCTUBRE 2025'!$C$8:$F$57,2,0)</f>
        <v>SANISACA MITE ISRAEL BENJAMIN</v>
      </c>
      <c r="E44" s="28"/>
      <c r="F44" s="28"/>
      <c r="G44" s="28"/>
      <c r="H44" s="28"/>
      <c r="I44" s="28"/>
    </row>
    <row r="45" spans="2:9" ht="15" customHeight="1">
      <c r="B45" s="23">
        <v>38</v>
      </c>
      <c r="C45" s="23" t="e">
        <f>+'OCTUBRE 2025'!#REF!</f>
        <v>#REF!</v>
      </c>
      <c r="D45" s="25" t="e">
        <f>+VLOOKUP(C45,'OCTUBRE 2025'!$C$8:$F$57,2,0)</f>
        <v>#REF!</v>
      </c>
      <c r="E45" s="28">
        <v>100</v>
      </c>
      <c r="F45" s="28">
        <v>222.5</v>
      </c>
      <c r="G45" s="28"/>
      <c r="H45" s="28"/>
      <c r="I45" s="28"/>
    </row>
    <row r="46" spans="2:9" ht="15" customHeight="1">
      <c r="B46" s="23">
        <v>39</v>
      </c>
      <c r="C46" s="23">
        <f>+'OCTUBRE 2025'!C51</f>
        <v>928901800</v>
      </c>
      <c r="D46" s="25" t="str">
        <f>+VLOOKUP(C46,'OCTUBRE 2025'!$C$8:$F$57,2,0)</f>
        <v>TADAY GUAMAN NÉSTOR ALONSO</v>
      </c>
      <c r="E46" s="28"/>
      <c r="F46" s="28">
        <v>203.97</v>
      </c>
      <c r="G46" s="28"/>
      <c r="H46" s="28"/>
      <c r="I46" s="28"/>
    </row>
    <row r="47" spans="2:9" ht="15" customHeight="1">
      <c r="B47" s="23">
        <v>40</v>
      </c>
      <c r="C47" s="23">
        <f>+'OCTUBRE 2025'!C52</f>
        <v>951315746</v>
      </c>
      <c r="D47" s="25" t="str">
        <f>+VLOOKUP(C47,'OCTUBRE 2025'!$C$8:$F$57,2,0)</f>
        <v>TIGUA MONTERO KAREN LISBETH</v>
      </c>
      <c r="E47" s="28"/>
      <c r="F47" s="28"/>
      <c r="G47" s="28"/>
      <c r="H47" s="28"/>
      <c r="I47" s="28"/>
    </row>
    <row r="48" spans="2:9" ht="15" customHeight="1">
      <c r="B48" s="23">
        <v>41</v>
      </c>
      <c r="C48" s="23">
        <f>+'OCTUBRE 2025'!C53</f>
        <v>954184321</v>
      </c>
      <c r="D48" s="25" t="str">
        <f>+VLOOKUP(C48,'OCTUBRE 2025'!$C$8:$F$57,2,0)</f>
        <v>URQUIZO GUARANGA ALEX EFRAIN</v>
      </c>
      <c r="E48" s="28"/>
      <c r="F48" s="28"/>
      <c r="G48" s="28"/>
      <c r="H48" s="28"/>
      <c r="I48" s="28"/>
    </row>
    <row r="49" spans="2:11" ht="15" customHeight="1">
      <c r="B49" s="23">
        <v>42</v>
      </c>
      <c r="C49" s="23">
        <f>+'OCTUBRE 2025'!C54</f>
        <v>922034772</v>
      </c>
      <c r="D49" s="25" t="str">
        <f>+VLOOKUP(C49,'OCTUBRE 2025'!$C$8:$F$57,2,0)</f>
        <v>VERA GUEVARA PAOLA KARINA</v>
      </c>
      <c r="E49" s="28"/>
      <c r="F49" s="28"/>
      <c r="G49" s="28"/>
      <c r="H49" s="28"/>
      <c r="I49" s="28"/>
    </row>
    <row r="50" spans="2:11" ht="15" customHeight="1">
      <c r="B50" s="23">
        <v>43</v>
      </c>
      <c r="C50" s="23" t="e">
        <f>+'OCTUBRE 2025'!#REF!</f>
        <v>#REF!</v>
      </c>
      <c r="D50" s="25" t="e">
        <f>+VLOOKUP(C50,'OCTUBRE 2025'!$C$8:$F$57,2,0)</f>
        <v>#REF!</v>
      </c>
      <c r="E50" s="28"/>
      <c r="F50" s="28">
        <v>50.03</v>
      </c>
      <c r="G50" s="28"/>
      <c r="H50" s="28"/>
      <c r="I50" s="28"/>
    </row>
    <row r="51" spans="2:11" ht="15" customHeight="1">
      <c r="B51" s="23">
        <v>44</v>
      </c>
      <c r="C51" s="23" t="e">
        <f>+'OCTUBRE 2025'!#REF!</f>
        <v>#REF!</v>
      </c>
      <c r="D51" s="25" t="e">
        <f>+VLOOKUP(C51,'OCTUBRE 2025'!$C$8:$F$57,2,0)</f>
        <v>#REF!</v>
      </c>
      <c r="E51" s="28"/>
      <c r="F51" s="28"/>
      <c r="G51" s="28"/>
      <c r="H51" s="28"/>
      <c r="I51" s="28"/>
    </row>
    <row r="52" spans="2:11" ht="15" customHeight="1">
      <c r="B52" s="23">
        <v>45</v>
      </c>
      <c r="C52" s="23">
        <f>+'OCTUBRE 2025'!C55</f>
        <v>923837991</v>
      </c>
      <c r="D52" s="25" t="str">
        <f>+VLOOKUP(C52,'OCTUBRE 2025'!$C$8:$F$57,2,0)</f>
        <v>YUNDA CUJILEMA MARIA TERESA</v>
      </c>
      <c r="E52" s="28"/>
      <c r="F52" s="28"/>
      <c r="G52" s="28"/>
      <c r="H52" s="28"/>
      <c r="I52" s="28"/>
    </row>
    <row r="53" spans="2:11" ht="15" customHeight="1">
      <c r="B53" s="52"/>
      <c r="C53" s="24"/>
      <c r="D53" s="177"/>
      <c r="E53" s="178"/>
      <c r="F53" s="178"/>
      <c r="G53" s="178"/>
      <c r="H53" s="178"/>
      <c r="I53" s="178"/>
    </row>
    <row r="54" spans="2:11">
      <c r="C54" s="67"/>
      <c r="D54" s="135" t="s">
        <v>32</v>
      </c>
      <c r="E54" s="68">
        <f>SUM(E8:E52)</f>
        <v>500</v>
      </c>
      <c r="F54" s="68">
        <f>SUM(F8:F50)</f>
        <v>1484.67</v>
      </c>
      <c r="G54" s="68">
        <f>SUM(G8:G50)</f>
        <v>0</v>
      </c>
      <c r="H54" s="68">
        <f>SUM(H8:H52)</f>
        <v>30</v>
      </c>
      <c r="I54" s="68">
        <f>SUM(I8:I52)</f>
        <v>0</v>
      </c>
      <c r="J54" s="34"/>
      <c r="K54" s="34"/>
    </row>
    <row r="56" spans="2:11">
      <c r="F56" s="80"/>
      <c r="H56" s="80"/>
    </row>
  </sheetData>
  <mergeCells count="11">
    <mergeCell ref="B2:I2"/>
    <mergeCell ref="B3:I3"/>
    <mergeCell ref="B4:I4"/>
    <mergeCell ref="B6:B7"/>
    <mergeCell ref="C6:C7"/>
    <mergeCell ref="D6:D7"/>
    <mergeCell ref="E6:E7"/>
    <mergeCell ref="G6:G7"/>
    <mergeCell ref="I6:I7"/>
    <mergeCell ref="F6:F7"/>
    <mergeCell ref="H6:H7"/>
  </mergeCells>
  <dataValidations disablePrompts="1" xWindow="601" yWindow="550" count="1">
    <dataValidation allowBlank="1" showInputMessage="1" showErrorMessage="1" promptTitle="IESS GRAVABLE" prompt="LA SUMA DE SUELDO + H.E + COMISIONES +BONIFICACIONES_x000a_" sqref="E6:F7" xr:uid="{38AA77B0-58F0-4E8E-A92D-F2EA63EC0E8E}"/>
  </dataValidations>
  <pageMargins left="0.7" right="0.7" top="0.75" bottom="0.75" header="0.3" footer="0.3"/>
  <pageSetup scale="70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32AC-0D28-4B10-9843-6DA3753A1E72}">
  <sheetPr codeName="Hoja4">
    <tabColor rgb="FFD363BB"/>
    <pageSetUpPr fitToPage="1"/>
  </sheetPr>
  <dimension ref="B3:J33"/>
  <sheetViews>
    <sheetView showGridLines="0" showWhiteSpace="0" view="pageLayout" topLeftCell="A3" zoomScaleNormal="70" workbookViewId="0">
      <selection activeCell="E12" sqref="E12"/>
    </sheetView>
  </sheetViews>
  <sheetFormatPr baseColWidth="10" defaultColWidth="11.44140625" defaultRowHeight="12"/>
  <cols>
    <col min="1" max="1" width="1.6640625" style="10" customWidth="1"/>
    <col min="2" max="2" width="4.33203125" style="10" customWidth="1"/>
    <col min="3" max="3" width="13.5546875" style="10" customWidth="1"/>
    <col min="4" max="4" width="17.44140625" style="10" customWidth="1"/>
    <col min="5" max="5" width="10.33203125" style="10" customWidth="1"/>
    <col min="6" max="6" width="7.5546875" style="10" customWidth="1"/>
    <col min="7" max="7" width="15" style="10" customWidth="1"/>
    <col min="8" max="8" width="10.88671875" style="10" customWidth="1"/>
    <col min="9" max="9" width="12.33203125" style="10" customWidth="1"/>
    <col min="10" max="16384" width="11.44140625" style="10"/>
  </cols>
  <sheetData>
    <row r="3" spans="2:10">
      <c r="B3" s="273"/>
      <c r="C3" s="274"/>
      <c r="D3" s="274"/>
      <c r="E3" s="274"/>
      <c r="F3" s="274"/>
      <c r="G3" s="274"/>
      <c r="H3" s="274"/>
      <c r="I3" s="275"/>
    </row>
    <row r="4" spans="2:10">
      <c r="B4" s="270"/>
      <c r="I4" s="276"/>
    </row>
    <row r="5" spans="2:10" ht="16.8">
      <c r="B5" s="270"/>
      <c r="F5" s="868" t="s">
        <v>85</v>
      </c>
      <c r="G5" s="868"/>
      <c r="H5" s="727">
        <v>45931</v>
      </c>
      <c r="I5" s="276"/>
    </row>
    <row r="6" spans="2:10">
      <c r="B6" s="270"/>
      <c r="I6" s="276"/>
    </row>
    <row r="7" spans="2:10" ht="15">
      <c r="B7" s="270"/>
      <c r="C7" s="637" t="s">
        <v>97</v>
      </c>
      <c r="D7" s="649">
        <v>955325238</v>
      </c>
      <c r="E7" s="643"/>
      <c r="F7" s="639" t="s">
        <v>101</v>
      </c>
      <c r="G7" s="635" t="str">
        <f>VLOOKUP($D$7,'OCTUBRE 2025'!$C$8:$AJ$57,6,0)</f>
        <v>Matriz</v>
      </c>
      <c r="H7" s="633"/>
      <c r="I7" s="276"/>
    </row>
    <row r="8" spans="2:10" ht="15">
      <c r="B8" s="270"/>
      <c r="C8" s="637" t="s">
        <v>98</v>
      </c>
      <c r="D8" s="973" t="str">
        <f>'OCTUBRE 2025'!F12</f>
        <v>ASESOR DE NEGOCIOS</v>
      </c>
      <c r="E8" s="642"/>
      <c r="F8" s="639" t="s">
        <v>378</v>
      </c>
      <c r="G8" s="636">
        <f>VLOOKUP($D$7,'OCTUBRE 2025'!$C$8:$AJ$57,7,0)</f>
        <v>16</v>
      </c>
      <c r="H8" s="633"/>
      <c r="I8" s="276"/>
    </row>
    <row r="9" spans="2:10" ht="15">
      <c r="B9" s="270"/>
      <c r="C9" s="637" t="s">
        <v>99</v>
      </c>
      <c r="D9" s="867" t="str">
        <f>VLOOKUP($D$7,'OCTUBRE 2025'!$C$8:$AJ$57,4,0)</f>
        <v>CAJERA FINANCIERA</v>
      </c>
      <c r="E9" s="867"/>
      <c r="F9" s="633"/>
      <c r="G9" s="633"/>
      <c r="H9" s="633"/>
      <c r="I9" s="276"/>
    </row>
    <row r="10" spans="2:10" ht="8.4" customHeight="1">
      <c r="B10" s="270"/>
      <c r="C10" s="14"/>
      <c r="D10" s="14"/>
      <c r="E10" s="14"/>
      <c r="F10" s="14"/>
      <c r="G10" s="14"/>
      <c r="I10" s="276"/>
    </row>
    <row r="11" spans="2:10" s="13" customFormat="1" ht="13.8">
      <c r="B11" s="271"/>
      <c r="C11" s="268" t="s">
        <v>86</v>
      </c>
      <c r="D11" s="268"/>
      <c r="E11" s="269" t="s">
        <v>87</v>
      </c>
      <c r="F11" s="865" t="s">
        <v>117</v>
      </c>
      <c r="G11" s="866"/>
      <c r="H11" s="269" t="s">
        <v>87</v>
      </c>
      <c r="I11" s="277"/>
      <c r="J11" s="10"/>
    </row>
    <row r="12" spans="2:10" ht="13.8" customHeight="1">
      <c r="B12" s="270"/>
      <c r="C12" s="872" t="s">
        <v>388</v>
      </c>
      <c r="D12" s="873"/>
      <c r="E12" s="627">
        <f>VLOOKUP($D$7,'OCTUBRE 2025'!$C$8:$AJ$57,8,0)</f>
        <v>256.52999999999997</v>
      </c>
      <c r="F12" s="874" t="s">
        <v>397</v>
      </c>
      <c r="G12" s="875"/>
      <c r="H12" s="627">
        <f>VLOOKUP($D$7,'OCTUBRE 2025'!$C$8:$AJ$57,24,0)</f>
        <v>24.242084999999992</v>
      </c>
      <c r="I12" s="278"/>
    </row>
    <row r="13" spans="2:10" ht="13.8" customHeight="1">
      <c r="B13" s="270"/>
      <c r="C13" s="872" t="s">
        <v>381</v>
      </c>
      <c r="D13" s="873"/>
      <c r="E13" s="627">
        <f>VLOOKUP($D$7,'OCTUBRE 2025'!$C$8:$AJ$57,9,0)</f>
        <v>0</v>
      </c>
      <c r="F13" s="870" t="s">
        <v>398</v>
      </c>
      <c r="G13" s="871"/>
      <c r="H13" s="627">
        <f>VLOOKUP($D$7,'OCTUBRE 2025'!$C$8:$AJ$57,27,0)</f>
        <v>0</v>
      </c>
      <c r="I13" s="278"/>
    </row>
    <row r="14" spans="2:10" ht="13.8" customHeight="1">
      <c r="B14" s="270"/>
      <c r="C14" s="872" t="s">
        <v>407</v>
      </c>
      <c r="D14" s="873"/>
      <c r="E14" s="627">
        <f>VLOOKUP($D$7,'OCTUBRE 2025'!$C$8:$AJ$57,10,0)</f>
        <v>0</v>
      </c>
      <c r="F14" s="874" t="s">
        <v>399</v>
      </c>
      <c r="G14" s="875"/>
      <c r="H14" s="627">
        <f>VLOOKUP($D$7,'OCTUBRE 2025'!$C$8:$AJ$57,28,0)</f>
        <v>0</v>
      </c>
      <c r="I14" s="278"/>
    </row>
    <row r="15" spans="2:10" ht="13.8" customHeight="1">
      <c r="B15" s="270"/>
      <c r="C15" s="869" t="s">
        <v>380</v>
      </c>
      <c r="D15" s="869"/>
      <c r="E15" s="627">
        <f>VLOOKUP($D$7,'OCTUBRE 2025'!$C$8:$AJ$57,11,0)</f>
        <v>0</v>
      </c>
      <c r="F15" s="874" t="s">
        <v>400</v>
      </c>
      <c r="G15" s="875"/>
      <c r="H15" s="627">
        <f>VLOOKUP($D$7,'OCTUBRE 2025'!$C$8:$AJ$57,29,0)</f>
        <v>0</v>
      </c>
      <c r="I15" s="278"/>
    </row>
    <row r="16" spans="2:10" ht="13.8" customHeight="1">
      <c r="B16" s="270"/>
      <c r="C16" s="872" t="s">
        <v>431</v>
      </c>
      <c r="D16" s="873"/>
      <c r="E16" s="627">
        <f>VLOOKUP($D$7,'OCTUBRE 2025'!$C$8:$AJ$57,12,0)</f>
        <v>0</v>
      </c>
      <c r="F16" s="874" t="s">
        <v>401</v>
      </c>
      <c r="G16" s="875"/>
      <c r="H16" s="627">
        <f>VLOOKUP($D$7,'OCTUBRE 2025'!$C$8:$AJ$57,30,0)</f>
        <v>0</v>
      </c>
      <c r="I16" s="278"/>
    </row>
    <row r="17" spans="2:9" ht="13.8" customHeight="1">
      <c r="B17" s="270"/>
      <c r="C17" s="625" t="s">
        <v>390</v>
      </c>
      <c r="D17" s="626"/>
      <c r="E17" s="627">
        <f>VLOOKUP($D$7,'OCTUBRE 2025'!$C$8:$AJ$57,13,0)</f>
        <v>0</v>
      </c>
      <c r="F17" s="874" t="s">
        <v>402</v>
      </c>
      <c r="G17" s="875"/>
      <c r="H17" s="627">
        <f>VLOOKUP($D$7,'OCTUBRE 2025'!$C$8:$AJ$57,31,0)</f>
        <v>0</v>
      </c>
      <c r="I17" s="278"/>
    </row>
    <row r="18" spans="2:9" ht="13.8" customHeight="1">
      <c r="B18" s="270"/>
      <c r="C18" s="625" t="s">
        <v>391</v>
      </c>
      <c r="D18" s="626"/>
      <c r="E18" s="627">
        <f>VLOOKUP($D$7,'OCTUBRE 2025'!$C$8:$AJ$57,14,0)</f>
        <v>0</v>
      </c>
      <c r="F18" s="869" t="s">
        <v>403</v>
      </c>
      <c r="G18" s="869"/>
      <c r="H18" s="627">
        <f>VLOOKUP($D$7,'OCTUBRE 2025'!$C$8:$AJ$57,32,0)</f>
        <v>0</v>
      </c>
      <c r="I18" s="278"/>
    </row>
    <row r="19" spans="2:9" ht="13.8" customHeight="1">
      <c r="B19" s="270"/>
      <c r="C19" s="625" t="s">
        <v>392</v>
      </c>
      <c r="D19" s="626"/>
      <c r="E19" s="627">
        <f>VLOOKUP($D$7,'OCTUBRE 2025'!$C$8:$AJ$57,15,0)</f>
        <v>0</v>
      </c>
      <c r="F19" s="874" t="s">
        <v>412</v>
      </c>
      <c r="G19" s="875"/>
      <c r="H19" s="627">
        <f>VLOOKUP($D$7,'OCTUBRE 2025'!$C$8:$AJ$57,25,0)</f>
        <v>0</v>
      </c>
      <c r="I19" s="278"/>
    </row>
    <row r="20" spans="2:9" ht="13.8" customHeight="1">
      <c r="B20" s="270"/>
      <c r="C20" s="625" t="s">
        <v>393</v>
      </c>
      <c r="D20" s="626"/>
      <c r="E20" s="627">
        <f>VLOOKUP($D$7,'OCTUBRE 2025'!$C$8:$AJ$57,16,0)</f>
        <v>0</v>
      </c>
      <c r="F20" s="869" t="s">
        <v>413</v>
      </c>
      <c r="G20" s="869"/>
      <c r="H20" s="627">
        <f>VLOOKUP($D$7,'OCTUBRE 2025'!$C$8:$AJ$57,26,0)</f>
        <v>0</v>
      </c>
      <c r="I20" s="278"/>
    </row>
    <row r="21" spans="2:9" ht="13.8" customHeight="1">
      <c r="B21" s="270"/>
      <c r="C21" s="625" t="s">
        <v>394</v>
      </c>
      <c r="D21" s="626"/>
      <c r="E21" s="627">
        <f>VLOOKUP($D$7,'OCTUBRE 2025'!$C$8:$AJ$57,19,0)</f>
        <v>0</v>
      </c>
      <c r="F21" s="882"/>
      <c r="G21" s="882"/>
      <c r="H21" s="627"/>
      <c r="I21" s="278"/>
    </row>
    <row r="22" spans="2:9" ht="13.8" customHeight="1">
      <c r="B22" s="270"/>
      <c r="C22" s="872" t="s">
        <v>420</v>
      </c>
      <c r="D22" s="873"/>
      <c r="E22" s="627">
        <f>VLOOKUP($D$7,'OCTUBRE 2025'!$C$8:$AJ$57,20,0)</f>
        <v>0</v>
      </c>
      <c r="F22" s="876"/>
      <c r="G22" s="877"/>
      <c r="H22" s="627"/>
      <c r="I22" s="278"/>
    </row>
    <row r="23" spans="2:9" ht="13.8" customHeight="1">
      <c r="B23" s="270"/>
      <c r="C23" s="625" t="s">
        <v>395</v>
      </c>
      <c r="D23" s="626"/>
      <c r="E23" s="627">
        <f>VLOOKUP($D$7,'OCTUBRE 2025'!$C$8:$AJ$57,21,0)</f>
        <v>0</v>
      </c>
      <c r="F23" s="882"/>
      <c r="G23" s="882"/>
      <c r="H23" s="627"/>
      <c r="I23" s="278"/>
    </row>
    <row r="24" spans="2:9" ht="13.8" customHeight="1">
      <c r="B24" s="270"/>
      <c r="C24" s="625" t="s">
        <v>396</v>
      </c>
      <c r="D24" s="626"/>
      <c r="E24" s="627">
        <f>VLOOKUP($D$7,'OCTUBRE 2025'!$C$8:$AJ$57,22,0)</f>
        <v>0</v>
      </c>
      <c r="F24" s="628"/>
      <c r="G24" s="629"/>
      <c r="H24" s="627"/>
      <c r="I24" s="278"/>
    </row>
    <row r="25" spans="2:9" ht="14.4" customHeight="1">
      <c r="B25" s="270"/>
      <c r="C25" s="634" t="s">
        <v>100</v>
      </c>
      <c r="D25" s="631"/>
      <c r="E25" s="632">
        <f>SUM(E12:E24)</f>
        <v>256.52999999999997</v>
      </c>
      <c r="F25" s="878" t="s">
        <v>95</v>
      </c>
      <c r="G25" s="879"/>
      <c r="H25" s="632">
        <f>SUM(H12:H23)</f>
        <v>24.242084999999992</v>
      </c>
      <c r="I25" s="279"/>
    </row>
    <row r="26" spans="2:9" ht="17.25" customHeight="1">
      <c r="B26" s="270"/>
      <c r="C26" s="633"/>
      <c r="D26" s="633"/>
      <c r="E26" s="633"/>
      <c r="F26" s="880" t="s">
        <v>96</v>
      </c>
      <c r="G26" s="881"/>
      <c r="H26" s="632">
        <f>+E25-H25</f>
        <v>232.28791499999997</v>
      </c>
      <c r="I26" s="279"/>
    </row>
    <row r="27" spans="2:9">
      <c r="B27" s="270"/>
      <c r="I27" s="276"/>
    </row>
    <row r="28" spans="2:9" ht="13.2">
      <c r="B28" s="270"/>
      <c r="C28" s="630" t="s">
        <v>232</v>
      </c>
      <c r="D28" s="640"/>
      <c r="E28" s="630"/>
      <c r="F28" s="630"/>
      <c r="G28" s="630" t="s">
        <v>233</v>
      </c>
      <c r="I28" s="320"/>
    </row>
    <row r="29" spans="2:9" ht="25.2" customHeight="1">
      <c r="B29" s="270"/>
      <c r="C29" s="113"/>
      <c r="D29" s="113"/>
      <c r="E29" s="113"/>
      <c r="F29" s="113"/>
      <c r="G29" s="113"/>
      <c r="H29" s="113"/>
      <c r="I29" s="320"/>
    </row>
    <row r="30" spans="2:9">
      <c r="B30" s="270"/>
      <c r="C30" s="113"/>
      <c r="D30" s="113"/>
      <c r="E30" s="113"/>
      <c r="F30" s="113"/>
      <c r="G30" s="113"/>
      <c r="H30" s="113"/>
      <c r="I30" s="320"/>
    </row>
    <row r="31" spans="2:9" ht="10.8" customHeight="1">
      <c r="B31" s="270"/>
      <c r="C31" s="630" t="s">
        <v>234</v>
      </c>
      <c r="D31" s="641"/>
      <c r="G31" s="683" t="str">
        <f>+$D$8</f>
        <v>ASESOR DE NEGOCIOS</v>
      </c>
      <c r="I31" s="320"/>
    </row>
    <row r="32" spans="2:9" ht="11.4" customHeight="1">
      <c r="B32" s="270"/>
      <c r="C32" s="630" t="s">
        <v>235</v>
      </c>
      <c r="D32" s="641"/>
      <c r="G32" s="630" t="s">
        <v>236</v>
      </c>
      <c r="I32" s="320"/>
    </row>
    <row r="33" spans="2:9">
      <c r="B33" s="272"/>
      <c r="C33" s="14"/>
      <c r="D33" s="14"/>
      <c r="E33" s="14"/>
      <c r="F33" s="14"/>
      <c r="G33" s="14"/>
      <c r="H33" s="14"/>
      <c r="I33" s="280"/>
    </row>
  </sheetData>
  <mergeCells count="23">
    <mergeCell ref="C22:D22"/>
    <mergeCell ref="F22:G22"/>
    <mergeCell ref="F25:G25"/>
    <mergeCell ref="F26:G26"/>
    <mergeCell ref="F18:G18"/>
    <mergeCell ref="F19:G19"/>
    <mergeCell ref="F20:G20"/>
    <mergeCell ref="F21:G21"/>
    <mergeCell ref="F23:G23"/>
    <mergeCell ref="F16:G16"/>
    <mergeCell ref="F17:G17"/>
    <mergeCell ref="C13:D13"/>
    <mergeCell ref="C14:D14"/>
    <mergeCell ref="C16:D16"/>
    <mergeCell ref="F11:G11"/>
    <mergeCell ref="D9:E9"/>
    <mergeCell ref="F5:G5"/>
    <mergeCell ref="C15:D15"/>
    <mergeCell ref="F13:G13"/>
    <mergeCell ref="C12:D12"/>
    <mergeCell ref="F12:G12"/>
    <mergeCell ref="F14:G14"/>
    <mergeCell ref="F15:G15"/>
  </mergeCells>
  <pageMargins left="0.27" right="0.34" top="0.87" bottom="0.12" header="0.49" footer="0.3"/>
  <pageSetup paperSize="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F7B7-316C-4F4A-9DEC-2B1057C0CB6E}">
  <sheetPr codeName="Hoja14">
    <tabColor rgb="FFD363BB"/>
    <pageSetUpPr fitToPage="1"/>
  </sheetPr>
  <dimension ref="B3:J33"/>
  <sheetViews>
    <sheetView showGridLines="0" showWhiteSpace="0" view="pageLayout" topLeftCell="A7" zoomScaleNormal="70" workbookViewId="0">
      <selection activeCell="H26" sqref="H26"/>
    </sheetView>
  </sheetViews>
  <sheetFormatPr baseColWidth="10" defaultColWidth="11.44140625" defaultRowHeight="12"/>
  <cols>
    <col min="1" max="1" width="1.6640625" style="10" customWidth="1"/>
    <col min="2" max="2" width="4.33203125" style="10" customWidth="1"/>
    <col min="3" max="3" width="13.5546875" style="10" customWidth="1"/>
    <col min="4" max="4" width="17.44140625" style="10" customWidth="1"/>
    <col min="5" max="5" width="10.33203125" style="10" customWidth="1"/>
    <col min="6" max="6" width="7.5546875" style="10" customWidth="1"/>
    <col min="7" max="7" width="15" style="10" customWidth="1"/>
    <col min="8" max="8" width="10.88671875" style="10" customWidth="1"/>
    <col min="9" max="9" width="12.33203125" style="10" customWidth="1"/>
    <col min="10" max="16384" width="11.44140625" style="10"/>
  </cols>
  <sheetData>
    <row r="3" spans="2:10">
      <c r="B3" s="273"/>
      <c r="C3" s="274"/>
      <c r="D3" s="274"/>
      <c r="E3" s="274"/>
      <c r="F3" s="274"/>
      <c r="G3" s="274"/>
      <c r="H3" s="274"/>
      <c r="I3" s="275"/>
    </row>
    <row r="4" spans="2:10">
      <c r="B4" s="270"/>
      <c r="I4" s="276"/>
    </row>
    <row r="5" spans="2:10" ht="16.8">
      <c r="B5" s="270"/>
      <c r="F5" s="868" t="s">
        <v>85</v>
      </c>
      <c r="G5" s="868"/>
      <c r="H5" s="638">
        <v>45839</v>
      </c>
      <c r="I5" s="276"/>
    </row>
    <row r="6" spans="2:10">
      <c r="B6" s="270"/>
      <c r="I6" s="276"/>
    </row>
    <row r="7" spans="2:10" ht="15">
      <c r="B7" s="270"/>
      <c r="C7" s="637" t="s">
        <v>97</v>
      </c>
      <c r="D7" s="649" t="s">
        <v>281</v>
      </c>
      <c r="E7" s="643"/>
      <c r="F7" s="639" t="s">
        <v>101</v>
      </c>
      <c r="G7" s="635" t="str">
        <f>VLOOKUP($D$7,'OCTUBRE 2025'!$C$8:$AJ$57,6,0)</f>
        <v>Norte</v>
      </c>
      <c r="H7" s="633"/>
      <c r="I7" s="276"/>
    </row>
    <row r="8" spans="2:10" ht="15">
      <c r="B8" s="270"/>
      <c r="C8" s="637" t="s">
        <v>98</v>
      </c>
      <c r="D8" s="647" t="str">
        <f>VLOOKUP($D$7,'OCTUBRE 2025'!$C$8:$AJ$57,2,0)</f>
        <v>MEZA RODRIGUEZ MICHAEL FERNANDO</v>
      </c>
      <c r="E8" s="642"/>
      <c r="F8" s="639" t="s">
        <v>378</v>
      </c>
      <c r="G8" s="636">
        <f>VLOOKUP($D$7,'OCTUBRE 2025'!$C$8:$AJ$57,7,0)</f>
        <v>30</v>
      </c>
      <c r="H8" s="633"/>
      <c r="I8" s="276"/>
    </row>
    <row r="9" spans="2:10" ht="15">
      <c r="B9" s="270"/>
      <c r="C9" s="637" t="s">
        <v>99</v>
      </c>
      <c r="D9" s="867" t="str">
        <f>VLOOKUP($D$7,'OCTUBRE 2025'!$C$8:$AJ$57,4,0)</f>
        <v>OFICIAL DE RECAUDACIONES</v>
      </c>
      <c r="E9" s="867"/>
      <c r="F9" s="633"/>
      <c r="G9" s="633"/>
      <c r="H9" s="633"/>
      <c r="I9" s="276"/>
    </row>
    <row r="10" spans="2:10" ht="8.4" customHeight="1">
      <c r="B10" s="270"/>
      <c r="C10" s="14"/>
      <c r="D10" s="14"/>
      <c r="E10" s="14"/>
      <c r="F10" s="14"/>
      <c r="G10" s="14"/>
      <c r="I10" s="276"/>
    </row>
    <row r="11" spans="2:10" s="13" customFormat="1" ht="13.8">
      <c r="B11" s="271"/>
      <c r="C11" s="268" t="s">
        <v>86</v>
      </c>
      <c r="D11" s="268"/>
      <c r="E11" s="269" t="s">
        <v>87</v>
      </c>
      <c r="F11" s="865" t="s">
        <v>117</v>
      </c>
      <c r="G11" s="866"/>
      <c r="H11" s="269" t="s">
        <v>87</v>
      </c>
      <c r="I11" s="277"/>
      <c r="J11" s="10"/>
    </row>
    <row r="12" spans="2:10" ht="13.8" customHeight="1">
      <c r="B12" s="270"/>
      <c r="C12" s="872" t="s">
        <v>388</v>
      </c>
      <c r="D12" s="873"/>
      <c r="E12" s="627">
        <f>VLOOKUP($D$7,'OCTUBRE 2025'!$C$8:$AJ$57,8,0)</f>
        <v>473.88</v>
      </c>
      <c r="F12" s="874" t="s">
        <v>397</v>
      </c>
      <c r="G12" s="875"/>
      <c r="H12" s="627">
        <f>VLOOKUP($D$7,'OCTUBRE 2025'!$C$8:$AJ$57,24,0)</f>
        <v>55.205009999999987</v>
      </c>
      <c r="I12" s="278"/>
    </row>
    <row r="13" spans="2:10" ht="13.8" customHeight="1">
      <c r="B13" s="270"/>
      <c r="C13" s="872" t="s">
        <v>381</v>
      </c>
      <c r="D13" s="873"/>
      <c r="E13" s="627">
        <f>VLOOKUP($D$7,'OCTUBRE 2025'!$C$8:$AJ$57,9,0)</f>
        <v>100</v>
      </c>
      <c r="F13" s="870" t="s">
        <v>398</v>
      </c>
      <c r="G13" s="871"/>
      <c r="H13" s="627">
        <f>VLOOKUP($D$7,'OCTUBRE 2025'!$C$8:$AJ$57,27,0)</f>
        <v>0</v>
      </c>
      <c r="I13" s="278"/>
    </row>
    <row r="14" spans="2:10" ht="13.8" customHeight="1">
      <c r="B14" s="270"/>
      <c r="C14" s="872" t="s">
        <v>407</v>
      </c>
      <c r="D14" s="873"/>
      <c r="E14" s="627">
        <f>VLOOKUP($D$7,'OCTUBRE 2025'!$C$8:$AJ$57,10,0)</f>
        <v>10.3</v>
      </c>
      <c r="F14" s="874" t="s">
        <v>399</v>
      </c>
      <c r="G14" s="875"/>
      <c r="H14" s="627">
        <f>VLOOKUP($D$7,'OCTUBRE 2025'!$C$8:$AJ$57,28,0)</f>
        <v>0</v>
      </c>
      <c r="I14" s="278"/>
    </row>
    <row r="15" spans="2:10" ht="13.8" customHeight="1">
      <c r="B15" s="270"/>
      <c r="C15" s="869" t="s">
        <v>380</v>
      </c>
      <c r="D15" s="869"/>
      <c r="E15" s="627">
        <f>VLOOKUP($D$7,'OCTUBRE 2025'!$C$8:$AJ$57,11,0)</f>
        <v>0</v>
      </c>
      <c r="F15" s="874" t="s">
        <v>400</v>
      </c>
      <c r="G15" s="875"/>
      <c r="H15" s="627">
        <f>VLOOKUP($D$7,'OCTUBRE 2025'!$C$8:$AJ$57,29,0)</f>
        <v>0</v>
      </c>
      <c r="I15" s="278"/>
    </row>
    <row r="16" spans="2:10" ht="13.8" customHeight="1">
      <c r="B16" s="270"/>
      <c r="C16" s="872" t="s">
        <v>389</v>
      </c>
      <c r="D16" s="873"/>
      <c r="E16" s="627">
        <f>VLOOKUP($D$7,'OCTUBRE 2025'!$C$8:$AJ$57,12,0)</f>
        <v>0</v>
      </c>
      <c r="F16" s="874" t="s">
        <v>401</v>
      </c>
      <c r="G16" s="875"/>
      <c r="H16" s="627">
        <f>VLOOKUP($D$7,'OCTUBRE 2025'!$C$8:$AJ$57,30,0)</f>
        <v>0</v>
      </c>
      <c r="I16" s="278"/>
    </row>
    <row r="17" spans="2:9" ht="13.8" customHeight="1">
      <c r="B17" s="270"/>
      <c r="C17" s="625" t="s">
        <v>390</v>
      </c>
      <c r="D17" s="626"/>
      <c r="E17" s="627">
        <f>VLOOKUP($D$7,'OCTUBRE 2025'!$C$8:$AJ$57,13,0)</f>
        <v>0</v>
      </c>
      <c r="F17" s="874" t="s">
        <v>402</v>
      </c>
      <c r="G17" s="875"/>
      <c r="H17" s="627">
        <f>VLOOKUP($D$7,'OCTUBRE 2025'!$C$8:$AJ$57,31,0)</f>
        <v>0</v>
      </c>
      <c r="I17" s="278"/>
    </row>
    <row r="18" spans="2:9" ht="13.8" customHeight="1">
      <c r="B18" s="270"/>
      <c r="C18" s="625" t="s">
        <v>391</v>
      </c>
      <c r="D18" s="626"/>
      <c r="E18" s="627">
        <f>VLOOKUP($D$7,'OCTUBRE 2025'!$C$8:$AJ$57,14,0)</f>
        <v>0</v>
      </c>
      <c r="F18" s="869" t="s">
        <v>403</v>
      </c>
      <c r="G18" s="869"/>
      <c r="H18" s="627">
        <v>0</v>
      </c>
      <c r="I18" s="278"/>
    </row>
    <row r="19" spans="2:9" ht="13.8" customHeight="1">
      <c r="B19" s="270"/>
      <c r="C19" s="625" t="s">
        <v>392</v>
      </c>
      <c r="D19" s="626"/>
      <c r="E19" s="627">
        <f>VLOOKUP($D$7,'OCTUBRE 2025'!$C$8:$AJ$57,15,0)</f>
        <v>0</v>
      </c>
      <c r="F19" s="874" t="s">
        <v>412</v>
      </c>
      <c r="G19" s="875"/>
      <c r="H19" s="627">
        <f>VLOOKUP($D$7,'OCTUBRE 2025'!$C$8:$AJ$57,25,0)</f>
        <v>0</v>
      </c>
      <c r="I19" s="278"/>
    </row>
    <row r="20" spans="2:9" ht="13.8" customHeight="1">
      <c r="B20" s="270"/>
      <c r="C20" s="625" t="s">
        <v>393</v>
      </c>
      <c r="D20" s="626"/>
      <c r="E20" s="627">
        <f>VLOOKUP($D$7,'OCTUBRE 2025'!$C$8:$AJ$57,16,0)</f>
        <v>0</v>
      </c>
      <c r="F20" s="869" t="s">
        <v>413</v>
      </c>
      <c r="G20" s="869"/>
      <c r="H20" s="627">
        <f>VLOOKUP($D$7,'OCTUBRE 2025'!$C$8:$AJ$57,26,0)</f>
        <v>0</v>
      </c>
      <c r="I20" s="278"/>
    </row>
    <row r="21" spans="2:9" ht="13.8" customHeight="1">
      <c r="B21" s="270"/>
      <c r="C21" s="625" t="s">
        <v>394</v>
      </c>
      <c r="D21" s="626"/>
      <c r="E21" s="627">
        <f>VLOOKUP($D$7,'OCTUBRE 2025'!$C$8:$AJ$57,19,0)</f>
        <v>48.662193999999992</v>
      </c>
      <c r="F21" s="882"/>
      <c r="G21" s="882"/>
      <c r="H21" s="627"/>
      <c r="I21" s="278"/>
    </row>
    <row r="22" spans="2:9" ht="13.8" customHeight="1">
      <c r="B22" s="270"/>
      <c r="C22" s="872" t="s">
        <v>420</v>
      </c>
      <c r="D22" s="873"/>
      <c r="E22" s="627">
        <f>VLOOKUP($D$7,'OCTUBRE 2025'!$C$8:$AJ$57,20,0)</f>
        <v>0</v>
      </c>
      <c r="F22" s="876"/>
      <c r="G22" s="877"/>
      <c r="H22" s="627"/>
      <c r="I22" s="278"/>
    </row>
    <row r="23" spans="2:9" ht="13.8" customHeight="1">
      <c r="B23" s="270"/>
      <c r="C23" s="625" t="s">
        <v>395</v>
      </c>
      <c r="D23" s="626"/>
      <c r="E23" s="627">
        <f>VLOOKUP($D$7,'OCTUBRE 2025'!$C$8:$AJ$57,21,0)</f>
        <v>0</v>
      </c>
      <c r="F23" s="882"/>
      <c r="G23" s="882"/>
      <c r="H23" s="627"/>
      <c r="I23" s="278"/>
    </row>
    <row r="24" spans="2:9" ht="13.8" customHeight="1">
      <c r="B24" s="270"/>
      <c r="C24" s="625" t="s">
        <v>396</v>
      </c>
      <c r="D24" s="626"/>
      <c r="E24" s="627">
        <f>VLOOKUP($D$7,'OCTUBRE 2025'!$C$8:$AJ$57,22,0)</f>
        <v>0</v>
      </c>
      <c r="F24" s="628"/>
      <c r="G24" s="629"/>
      <c r="H24" s="627"/>
      <c r="I24" s="278"/>
    </row>
    <row r="25" spans="2:9" ht="14.4" customHeight="1">
      <c r="B25" s="270"/>
      <c r="C25" s="634" t="s">
        <v>100</v>
      </c>
      <c r="D25" s="631"/>
      <c r="E25" s="632">
        <f>SUM(E12:E24)</f>
        <v>632.84219399999995</v>
      </c>
      <c r="F25" s="878" t="s">
        <v>95</v>
      </c>
      <c r="G25" s="879"/>
      <c r="H25" s="632">
        <f>SUM(H12:H23)</f>
        <v>55.205009999999987</v>
      </c>
      <c r="I25" s="279"/>
    </row>
    <row r="26" spans="2:9" ht="17.25" customHeight="1">
      <c r="B26" s="270"/>
      <c r="C26" s="633"/>
      <c r="D26" s="633"/>
      <c r="E26" s="633"/>
      <c r="F26" s="880" t="s">
        <v>96</v>
      </c>
      <c r="G26" s="881"/>
      <c r="H26" s="632">
        <f>+E25-H25</f>
        <v>577.63718399999993</v>
      </c>
      <c r="I26" s="279"/>
    </row>
    <row r="27" spans="2:9">
      <c r="B27" s="270"/>
      <c r="I27" s="276"/>
    </row>
    <row r="28" spans="2:9" ht="13.2">
      <c r="B28" s="270"/>
      <c r="C28" s="630" t="s">
        <v>232</v>
      </c>
      <c r="D28" s="640"/>
      <c r="E28" s="630"/>
      <c r="F28" s="630"/>
      <c r="G28" s="630" t="s">
        <v>233</v>
      </c>
      <c r="I28" s="320"/>
    </row>
    <row r="29" spans="2:9" ht="25.2" customHeight="1">
      <c r="B29" s="270"/>
      <c r="C29" s="113"/>
      <c r="D29" s="113"/>
      <c r="E29" s="113"/>
      <c r="F29" s="113"/>
      <c r="G29" s="113"/>
      <c r="H29" s="113"/>
      <c r="I29" s="320"/>
    </row>
    <row r="30" spans="2:9">
      <c r="B30" s="270"/>
      <c r="C30" s="113"/>
      <c r="D30" s="113"/>
      <c r="E30" s="113"/>
      <c r="F30" s="113"/>
      <c r="G30" s="113"/>
      <c r="H30" s="113"/>
      <c r="I30" s="320"/>
    </row>
    <row r="31" spans="2:9" ht="10.8" customHeight="1">
      <c r="B31" s="270"/>
      <c r="C31" s="630" t="s">
        <v>234</v>
      </c>
      <c r="D31" s="641"/>
      <c r="G31" s="683" t="str">
        <f>+$D$8</f>
        <v>MEZA RODRIGUEZ MICHAEL FERNANDO</v>
      </c>
      <c r="I31" s="320"/>
    </row>
    <row r="32" spans="2:9" ht="11.4" customHeight="1">
      <c r="B32" s="270"/>
      <c r="C32" s="630" t="s">
        <v>235</v>
      </c>
      <c r="D32" s="641"/>
      <c r="G32" s="630" t="s">
        <v>236</v>
      </c>
      <c r="I32" s="320"/>
    </row>
    <row r="33" spans="2:9">
      <c r="B33" s="272"/>
      <c r="C33" s="14"/>
      <c r="D33" s="14"/>
      <c r="E33" s="14"/>
      <c r="F33" s="14"/>
      <c r="G33" s="14"/>
      <c r="H33" s="14"/>
      <c r="I33" s="280"/>
    </row>
  </sheetData>
  <mergeCells count="23">
    <mergeCell ref="F23:G23"/>
    <mergeCell ref="F25:G25"/>
    <mergeCell ref="F26:G26"/>
    <mergeCell ref="F17:G17"/>
    <mergeCell ref="F18:G18"/>
    <mergeCell ref="F19:G19"/>
    <mergeCell ref="F20:G20"/>
    <mergeCell ref="F21:G21"/>
    <mergeCell ref="C22:D22"/>
    <mergeCell ref="F22:G22"/>
    <mergeCell ref="C14:D14"/>
    <mergeCell ref="F14:G14"/>
    <mergeCell ref="C15:D15"/>
    <mergeCell ref="F15:G15"/>
    <mergeCell ref="C16:D16"/>
    <mergeCell ref="F16:G16"/>
    <mergeCell ref="C13:D13"/>
    <mergeCell ref="F13:G13"/>
    <mergeCell ref="F5:G5"/>
    <mergeCell ref="D9:E9"/>
    <mergeCell ref="F11:G11"/>
    <mergeCell ref="C12:D12"/>
    <mergeCell ref="F12:G12"/>
  </mergeCells>
  <pageMargins left="0.27" right="0.34" top="0.87" bottom="0.12" header="0.49" footer="0.3"/>
  <pageSetup paperSize="9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492F-59C9-4101-AE66-30557A879E25}">
  <sheetPr>
    <tabColor rgb="FFD363BB"/>
    <pageSetUpPr fitToPage="1"/>
  </sheetPr>
  <dimension ref="B3:J33"/>
  <sheetViews>
    <sheetView showGridLines="0" showWhiteSpace="0" view="pageLayout" zoomScaleNormal="70" workbookViewId="0">
      <selection activeCell="O13" sqref="O13"/>
    </sheetView>
  </sheetViews>
  <sheetFormatPr baseColWidth="10" defaultColWidth="11.44140625" defaultRowHeight="12"/>
  <cols>
    <col min="1" max="1" width="1.6640625" style="10" customWidth="1"/>
    <col min="2" max="2" width="4.33203125" style="10" customWidth="1"/>
    <col min="3" max="3" width="13.5546875" style="10" customWidth="1"/>
    <col min="4" max="4" width="17.44140625" style="10" customWidth="1"/>
    <col min="5" max="5" width="10.33203125" style="10" customWidth="1"/>
    <col min="6" max="6" width="7.5546875" style="10" customWidth="1"/>
    <col min="7" max="7" width="15" style="10" customWidth="1"/>
    <col min="8" max="8" width="10.88671875" style="10" customWidth="1"/>
    <col min="9" max="9" width="12.33203125" style="10" customWidth="1"/>
    <col min="10" max="16384" width="11.44140625" style="10"/>
  </cols>
  <sheetData>
    <row r="3" spans="2:10">
      <c r="B3" s="273"/>
      <c r="C3" s="274"/>
      <c r="D3" s="274"/>
      <c r="E3" s="274"/>
      <c r="F3" s="274"/>
      <c r="G3" s="274"/>
      <c r="H3" s="274"/>
      <c r="I3" s="275"/>
    </row>
    <row r="4" spans="2:10">
      <c r="B4" s="270"/>
      <c r="I4" s="276"/>
    </row>
    <row r="5" spans="2:10" ht="15">
      <c r="B5" s="270"/>
      <c r="F5" s="868" t="s">
        <v>85</v>
      </c>
      <c r="G5" s="868"/>
      <c r="H5" s="635"/>
      <c r="I5" s="276"/>
    </row>
    <row r="6" spans="2:10">
      <c r="B6" s="270"/>
      <c r="I6" s="276"/>
    </row>
    <row r="7" spans="2:10" ht="15">
      <c r="B7" s="270"/>
      <c r="C7" s="637" t="s">
        <v>97</v>
      </c>
      <c r="D7" s="970"/>
      <c r="E7" s="643"/>
      <c r="F7" s="639" t="s">
        <v>101</v>
      </c>
      <c r="G7" s="635"/>
      <c r="H7" s="633"/>
      <c r="I7" s="276"/>
    </row>
    <row r="8" spans="2:10" ht="15">
      <c r="B8" s="270"/>
      <c r="C8" s="637" t="s">
        <v>98</v>
      </c>
      <c r="D8" s="971"/>
      <c r="E8" s="972"/>
      <c r="F8" s="639" t="s">
        <v>378</v>
      </c>
      <c r="G8" s="759"/>
      <c r="H8" s="633"/>
      <c r="I8" s="276"/>
    </row>
    <row r="9" spans="2:10" ht="15.6" customHeight="1">
      <c r="B9" s="270"/>
      <c r="C9" s="637" t="s">
        <v>99</v>
      </c>
      <c r="D9" s="971"/>
      <c r="E9" s="972"/>
      <c r="F9" s="633"/>
      <c r="G9" s="633"/>
      <c r="H9" s="633"/>
      <c r="I9" s="276"/>
    </row>
    <row r="10" spans="2:10" ht="8.4" customHeight="1">
      <c r="B10" s="270"/>
      <c r="C10" s="14"/>
      <c r="D10" s="14"/>
      <c r="E10" s="14"/>
      <c r="F10" s="14"/>
      <c r="G10" s="14"/>
      <c r="I10" s="276"/>
    </row>
    <row r="11" spans="2:10" s="13" customFormat="1" ht="13.8">
      <c r="B11" s="271"/>
      <c r="C11" s="268" t="s">
        <v>86</v>
      </c>
      <c r="D11" s="268"/>
      <c r="E11" s="269" t="s">
        <v>87</v>
      </c>
      <c r="F11" s="865" t="s">
        <v>117</v>
      </c>
      <c r="G11" s="866"/>
      <c r="H11" s="269" t="s">
        <v>87</v>
      </c>
      <c r="I11" s="277"/>
      <c r="J11" s="10"/>
    </row>
    <row r="12" spans="2:10" ht="13.8" customHeight="1">
      <c r="B12" s="270"/>
      <c r="C12" s="872" t="s">
        <v>388</v>
      </c>
      <c r="D12" s="873"/>
      <c r="E12" s="627" t="s">
        <v>493</v>
      </c>
      <c r="F12" s="874" t="s">
        <v>397</v>
      </c>
      <c r="G12" s="875"/>
      <c r="H12" s="627" t="s">
        <v>493</v>
      </c>
      <c r="I12" s="278"/>
    </row>
    <row r="13" spans="2:10" ht="13.8" customHeight="1">
      <c r="B13" s="270"/>
      <c r="C13" s="872" t="s">
        <v>381</v>
      </c>
      <c r="D13" s="873"/>
      <c r="E13" s="627" t="s">
        <v>493</v>
      </c>
      <c r="F13" s="870" t="s">
        <v>398</v>
      </c>
      <c r="G13" s="871"/>
      <c r="H13" s="627" t="s">
        <v>493</v>
      </c>
      <c r="I13" s="278"/>
    </row>
    <row r="14" spans="2:10" ht="13.8" customHeight="1">
      <c r="B14" s="270"/>
      <c r="C14" s="872" t="s">
        <v>407</v>
      </c>
      <c r="D14" s="873"/>
      <c r="E14" s="627" t="s">
        <v>493</v>
      </c>
      <c r="F14" s="874" t="s">
        <v>399</v>
      </c>
      <c r="G14" s="875"/>
      <c r="H14" s="627" t="s">
        <v>493</v>
      </c>
      <c r="I14" s="278"/>
    </row>
    <row r="15" spans="2:10" ht="13.8" customHeight="1">
      <c r="B15" s="270"/>
      <c r="C15" s="869" t="s">
        <v>380</v>
      </c>
      <c r="D15" s="869"/>
      <c r="E15" s="627" t="s">
        <v>493</v>
      </c>
      <c r="F15" s="874" t="s">
        <v>400</v>
      </c>
      <c r="G15" s="875"/>
      <c r="H15" s="627" t="s">
        <v>493</v>
      </c>
      <c r="I15" s="278"/>
    </row>
    <row r="16" spans="2:10" ht="13.8" customHeight="1">
      <c r="B16" s="270"/>
      <c r="C16" s="872" t="s">
        <v>431</v>
      </c>
      <c r="D16" s="873"/>
      <c r="E16" s="627" t="s">
        <v>493</v>
      </c>
      <c r="F16" s="874" t="s">
        <v>401</v>
      </c>
      <c r="G16" s="875"/>
      <c r="H16" s="627" t="s">
        <v>493</v>
      </c>
      <c r="I16" s="278"/>
    </row>
    <row r="17" spans="2:9" ht="13.8" customHeight="1">
      <c r="B17" s="270"/>
      <c r="C17" s="755" t="s">
        <v>390</v>
      </c>
      <c r="D17" s="756"/>
      <c r="E17" s="627" t="s">
        <v>493</v>
      </c>
      <c r="F17" s="874" t="s">
        <v>402</v>
      </c>
      <c r="G17" s="875"/>
      <c r="H17" s="627" t="s">
        <v>493</v>
      </c>
      <c r="I17" s="278"/>
    </row>
    <row r="18" spans="2:9" ht="13.8" customHeight="1">
      <c r="B18" s="270"/>
      <c r="C18" s="755" t="s">
        <v>391</v>
      </c>
      <c r="D18" s="756"/>
      <c r="E18" s="627" t="s">
        <v>493</v>
      </c>
      <c r="F18" s="869" t="s">
        <v>403</v>
      </c>
      <c r="G18" s="869"/>
      <c r="H18" s="627" t="s">
        <v>493</v>
      </c>
      <c r="I18" s="278"/>
    </row>
    <row r="19" spans="2:9" ht="13.8" customHeight="1">
      <c r="B19" s="270"/>
      <c r="C19" s="755" t="s">
        <v>392</v>
      </c>
      <c r="D19" s="756"/>
      <c r="E19" s="627" t="s">
        <v>493</v>
      </c>
      <c r="F19" s="874" t="s">
        <v>412</v>
      </c>
      <c r="G19" s="875"/>
      <c r="H19" s="627" t="s">
        <v>493</v>
      </c>
      <c r="I19" s="278"/>
    </row>
    <row r="20" spans="2:9" ht="13.8" customHeight="1">
      <c r="B20" s="270"/>
      <c r="C20" s="755" t="s">
        <v>393</v>
      </c>
      <c r="D20" s="756"/>
      <c r="E20" s="627" t="s">
        <v>493</v>
      </c>
      <c r="F20" s="869" t="s">
        <v>413</v>
      </c>
      <c r="G20" s="869"/>
      <c r="H20" s="627" t="s">
        <v>493</v>
      </c>
      <c r="I20" s="278"/>
    </row>
    <row r="21" spans="2:9" ht="13.8" customHeight="1">
      <c r="B21" s="270"/>
      <c r="C21" s="755" t="s">
        <v>394</v>
      </c>
      <c r="D21" s="756"/>
      <c r="E21" s="627" t="s">
        <v>493</v>
      </c>
      <c r="F21" s="882"/>
      <c r="G21" s="882"/>
      <c r="H21" s="627"/>
      <c r="I21" s="278"/>
    </row>
    <row r="22" spans="2:9" ht="13.8" customHeight="1">
      <c r="B22" s="270"/>
      <c r="C22" s="872" t="s">
        <v>420</v>
      </c>
      <c r="D22" s="873"/>
      <c r="E22" s="627" t="s">
        <v>493</v>
      </c>
      <c r="F22" s="876"/>
      <c r="G22" s="877"/>
      <c r="H22" s="627"/>
      <c r="I22" s="278"/>
    </row>
    <row r="23" spans="2:9" ht="13.8" customHeight="1">
      <c r="B23" s="270"/>
      <c r="C23" s="755" t="s">
        <v>395</v>
      </c>
      <c r="D23" s="756"/>
      <c r="E23" s="627" t="s">
        <v>493</v>
      </c>
      <c r="F23" s="882"/>
      <c r="G23" s="882"/>
      <c r="H23" s="627"/>
      <c r="I23" s="278"/>
    </row>
    <row r="24" spans="2:9" ht="13.8" customHeight="1">
      <c r="B24" s="270"/>
      <c r="C24" s="755" t="s">
        <v>396</v>
      </c>
      <c r="D24" s="756"/>
      <c r="E24" s="627" t="s">
        <v>493</v>
      </c>
      <c r="F24" s="757"/>
      <c r="G24" s="758"/>
      <c r="H24" s="627"/>
      <c r="I24" s="278"/>
    </row>
    <row r="25" spans="2:9" ht="14.4" customHeight="1">
      <c r="B25" s="270"/>
      <c r="C25" s="634" t="s">
        <v>100</v>
      </c>
      <c r="D25" s="631"/>
      <c r="E25" s="632" t="s">
        <v>493</v>
      </c>
      <c r="F25" s="878" t="s">
        <v>95</v>
      </c>
      <c r="G25" s="879"/>
      <c r="H25" s="632" t="s">
        <v>493</v>
      </c>
      <c r="I25" s="279"/>
    </row>
    <row r="26" spans="2:9" ht="17.25" customHeight="1">
      <c r="B26" s="270"/>
      <c r="C26" s="633"/>
      <c r="D26" s="633"/>
      <c r="E26" s="633"/>
      <c r="F26" s="880" t="s">
        <v>96</v>
      </c>
      <c r="G26" s="881"/>
      <c r="H26" s="632" t="s">
        <v>493</v>
      </c>
      <c r="I26" s="279"/>
    </row>
    <row r="27" spans="2:9">
      <c r="B27" s="270"/>
      <c r="I27" s="276"/>
    </row>
    <row r="28" spans="2:9" ht="13.8">
      <c r="B28" s="270"/>
      <c r="C28" s="630" t="s">
        <v>232</v>
      </c>
      <c r="D28" s="640"/>
      <c r="E28" s="630"/>
      <c r="F28" s="630"/>
      <c r="G28" s="630" t="s">
        <v>233</v>
      </c>
      <c r="I28" s="320"/>
    </row>
    <row r="29" spans="2:9" ht="25.2" customHeight="1">
      <c r="B29" s="270"/>
      <c r="C29" s="113"/>
      <c r="D29" s="113"/>
      <c r="E29" s="113"/>
      <c r="F29" s="113"/>
      <c r="G29" s="113"/>
      <c r="H29" s="113"/>
      <c r="I29" s="320"/>
    </row>
    <row r="30" spans="2:9">
      <c r="B30" s="270"/>
      <c r="C30" s="113"/>
      <c r="D30" s="113"/>
      <c r="E30" s="113"/>
      <c r="F30" s="113"/>
      <c r="G30" s="113"/>
      <c r="H30" s="113"/>
      <c r="I30" s="320"/>
    </row>
    <row r="31" spans="2:9" ht="10.8" customHeight="1">
      <c r="B31" s="270"/>
      <c r="C31" s="630" t="s">
        <v>234</v>
      </c>
      <c r="D31" s="641"/>
      <c r="G31" s="683">
        <f>+$D$8</f>
        <v>0</v>
      </c>
      <c r="I31" s="320"/>
    </row>
    <row r="32" spans="2:9" ht="11.4" customHeight="1">
      <c r="B32" s="270"/>
      <c r="C32" s="630" t="s">
        <v>235</v>
      </c>
      <c r="D32" s="641"/>
      <c r="G32" s="630" t="s">
        <v>236</v>
      </c>
      <c r="I32" s="320"/>
    </row>
    <row r="33" spans="2:9">
      <c r="B33" s="272"/>
      <c r="C33" s="14"/>
      <c r="D33" s="14"/>
      <c r="E33" s="14"/>
      <c r="F33" s="14"/>
      <c r="G33" s="14"/>
      <c r="H33" s="14"/>
      <c r="I33" s="280"/>
    </row>
  </sheetData>
  <mergeCells count="24">
    <mergeCell ref="F23:G23"/>
    <mergeCell ref="F25:G25"/>
    <mergeCell ref="F26:G26"/>
    <mergeCell ref="D8:E8"/>
    <mergeCell ref="F17:G17"/>
    <mergeCell ref="F18:G18"/>
    <mergeCell ref="F19:G19"/>
    <mergeCell ref="F20:G20"/>
    <mergeCell ref="F21:G21"/>
    <mergeCell ref="C22:D22"/>
    <mergeCell ref="F22:G22"/>
    <mergeCell ref="C14:D14"/>
    <mergeCell ref="F14:G14"/>
    <mergeCell ref="C15:D15"/>
    <mergeCell ref="F15:G15"/>
    <mergeCell ref="C16:D16"/>
    <mergeCell ref="F16:G16"/>
    <mergeCell ref="F5:G5"/>
    <mergeCell ref="D9:E9"/>
    <mergeCell ref="F11:G11"/>
    <mergeCell ref="C12:D12"/>
    <mergeCell ref="F12:G12"/>
    <mergeCell ref="C13:D13"/>
    <mergeCell ref="F13:G13"/>
  </mergeCells>
  <pageMargins left="0.27" right="0.34" top="0.87" bottom="0.12" header="0.49" footer="0.3"/>
  <pageSetup paperSize="9" fitToHeight="0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68DF-63EC-4A3F-AC4F-C43885BFE788}">
  <sheetPr codeName="Hoja10"/>
  <dimension ref="B2:R48"/>
  <sheetViews>
    <sheetView topLeftCell="A13" workbookViewId="0">
      <selection activeCell="F15" sqref="F15"/>
    </sheetView>
  </sheetViews>
  <sheetFormatPr baseColWidth="10" defaultRowHeight="14.4"/>
  <cols>
    <col min="1" max="1" width="3.88671875" customWidth="1"/>
    <col min="2" max="2" width="24.33203125" bestFit="1" customWidth="1"/>
    <col min="3" max="3" width="9.5546875" bestFit="1" customWidth="1"/>
    <col min="4" max="4" width="20.109375" customWidth="1"/>
    <col min="5" max="5" width="10.33203125" bestFit="1" customWidth="1"/>
    <col min="6" max="6" width="9.5546875" bestFit="1" customWidth="1"/>
    <col min="7" max="7" width="11" customWidth="1"/>
    <col min="8" max="8" width="9.6640625" bestFit="1" customWidth="1"/>
    <col min="10" max="10" width="9.5546875" bestFit="1" customWidth="1"/>
    <col min="11" max="11" width="10" bestFit="1" customWidth="1"/>
    <col min="12" max="12" width="9.33203125" customWidth="1"/>
  </cols>
  <sheetData>
    <row r="2" spans="2:9" ht="6" customHeight="1"/>
    <row r="5" spans="2:9" ht="3.75" customHeight="1"/>
    <row r="6" spans="2:9" ht="9" customHeight="1"/>
    <row r="7" spans="2:9" ht="9" customHeight="1"/>
    <row r="8" spans="2:9" ht="19.95" customHeight="1">
      <c r="B8" s="409" t="s">
        <v>167</v>
      </c>
      <c r="C8" s="884" t="s">
        <v>433</v>
      </c>
      <c r="D8" s="884"/>
      <c r="F8" s="440" t="s">
        <v>168</v>
      </c>
      <c r="G8" s="117">
        <v>45884</v>
      </c>
    </row>
    <row r="9" spans="2:9">
      <c r="B9" s="409" t="s">
        <v>169</v>
      </c>
      <c r="C9" s="885">
        <v>45884</v>
      </c>
      <c r="D9" s="885"/>
      <c r="F9" s="440" t="s">
        <v>170</v>
      </c>
      <c r="G9" s="118">
        <v>45681</v>
      </c>
    </row>
    <row r="10" spans="2:9">
      <c r="B10" s="409" t="s">
        <v>171</v>
      </c>
      <c r="C10" s="886">
        <v>473.88</v>
      </c>
      <c r="D10" s="886"/>
      <c r="F10" s="440" t="s">
        <v>172</v>
      </c>
      <c r="G10" s="119">
        <f>+_xlfn.DAYS(G9,G8)</f>
        <v>-203</v>
      </c>
      <c r="I10" s="120"/>
    </row>
    <row r="11" spans="2:9">
      <c r="B11" s="409" t="s">
        <v>173</v>
      </c>
      <c r="C11" s="827" t="s">
        <v>354</v>
      </c>
      <c r="D11" s="827"/>
    </row>
    <row r="12" spans="2:9" ht="5.25" customHeight="1"/>
    <row r="13" spans="2:9">
      <c r="B13" s="51" t="s">
        <v>175</v>
      </c>
    </row>
    <row r="14" spans="2:9">
      <c r="B14" s="883" t="s">
        <v>176</v>
      </c>
      <c r="C14" s="883"/>
      <c r="D14" s="34">
        <f>+C10/30</f>
        <v>15.795999999999999</v>
      </c>
      <c r="E14" s="17" t="s">
        <v>177</v>
      </c>
      <c r="F14" s="120">
        <f>+C10/30</f>
        <v>15.795999999999999</v>
      </c>
      <c r="I14" s="34"/>
    </row>
    <row r="15" spans="2:9">
      <c r="B15" s="883" t="s">
        <v>178</v>
      </c>
      <c r="C15" s="883"/>
      <c r="D15" s="34">
        <f>+D14*25%</f>
        <v>3.9489999999999998</v>
      </c>
      <c r="E15" s="17" t="s">
        <v>179</v>
      </c>
      <c r="F15" s="120">
        <f>+F14*25%</f>
        <v>3.9489999999999998</v>
      </c>
    </row>
    <row r="16" spans="2:9" ht="8.25" customHeight="1" thickBot="1"/>
    <row r="17" spans="2:18" ht="16.2" thickBot="1">
      <c r="B17" s="890" t="s">
        <v>180</v>
      </c>
      <c r="C17" s="892" t="s">
        <v>181</v>
      </c>
      <c r="D17" s="887"/>
      <c r="E17" s="890" t="s">
        <v>259</v>
      </c>
      <c r="F17" s="890" t="s">
        <v>183</v>
      </c>
      <c r="G17" s="887" t="s">
        <v>184</v>
      </c>
      <c r="M17" s="890" t="s">
        <v>180</v>
      </c>
      <c r="N17" s="892" t="s">
        <v>181</v>
      </c>
      <c r="O17" s="887"/>
      <c r="P17" s="890" t="s">
        <v>259</v>
      </c>
      <c r="Q17" s="890" t="s">
        <v>183</v>
      </c>
      <c r="R17" s="887" t="s">
        <v>184</v>
      </c>
    </row>
    <row r="18" spans="2:18" ht="16.2" thickBot="1">
      <c r="B18" s="891"/>
      <c r="C18" s="428" t="s">
        <v>185</v>
      </c>
      <c r="D18" s="428" t="s">
        <v>186</v>
      </c>
      <c r="E18" s="891"/>
      <c r="F18" s="891"/>
      <c r="G18" s="888"/>
      <c r="M18" s="891"/>
      <c r="N18" s="428" t="s">
        <v>185</v>
      </c>
      <c r="O18" s="428" t="s">
        <v>186</v>
      </c>
      <c r="P18" s="891"/>
      <c r="Q18" s="891"/>
      <c r="R18" s="888"/>
    </row>
    <row r="19" spans="2:18">
      <c r="B19" s="413">
        <v>1</v>
      </c>
      <c r="C19" s="419">
        <v>45931</v>
      </c>
      <c r="D19" s="414">
        <v>45939</v>
      </c>
      <c r="E19" s="422">
        <v>100</v>
      </c>
      <c r="F19" s="425">
        <f>+D19-C19+1</f>
        <v>9</v>
      </c>
      <c r="G19" s="410">
        <f>+F14*F19</f>
        <v>142.16399999999999</v>
      </c>
      <c r="M19" s="413">
        <v>1</v>
      </c>
      <c r="N19" s="419">
        <v>45593</v>
      </c>
      <c r="O19" s="414">
        <v>45596</v>
      </c>
      <c r="P19" s="422">
        <v>25</v>
      </c>
      <c r="Q19" s="425">
        <v>4</v>
      </c>
      <c r="R19" s="410">
        <f>+Q15*Q19</f>
        <v>0</v>
      </c>
    </row>
    <row r="20" spans="2:18">
      <c r="B20" s="413">
        <v>2</v>
      </c>
      <c r="C20" s="419"/>
      <c r="D20" s="414"/>
      <c r="E20" s="422"/>
      <c r="F20" s="425"/>
      <c r="G20" s="410"/>
      <c r="K20" s="80"/>
      <c r="L20" s="80"/>
      <c r="M20" s="413">
        <v>2</v>
      </c>
      <c r="N20" s="419">
        <v>45597</v>
      </c>
      <c r="O20" s="414">
        <v>45626</v>
      </c>
      <c r="P20" s="422">
        <v>25</v>
      </c>
      <c r="Q20" s="425">
        <v>30</v>
      </c>
      <c r="R20" s="410">
        <f>+Q15*Q20</f>
        <v>0</v>
      </c>
    </row>
    <row r="21" spans="2:18">
      <c r="B21" s="479">
        <v>3</v>
      </c>
      <c r="C21" s="480"/>
      <c r="D21" s="481"/>
      <c r="E21" s="482"/>
      <c r="F21" s="483"/>
      <c r="G21" s="484"/>
      <c r="I21" s="34"/>
      <c r="L21" s="80"/>
      <c r="M21" s="479">
        <v>3</v>
      </c>
      <c r="N21" s="480">
        <v>45992</v>
      </c>
      <c r="O21" s="481">
        <v>45657</v>
      </c>
      <c r="P21" s="482">
        <v>25</v>
      </c>
      <c r="Q21" s="483">
        <v>31</v>
      </c>
      <c r="R21" s="484">
        <f>+Q21*Q15</f>
        <v>0</v>
      </c>
    </row>
    <row r="22" spans="2:18">
      <c r="B22" s="479">
        <v>4</v>
      </c>
      <c r="C22" s="485"/>
      <c r="D22" s="486"/>
      <c r="E22" s="487"/>
      <c r="F22" s="488"/>
      <c r="G22" s="489"/>
      <c r="H22" s="34"/>
      <c r="M22" s="479">
        <v>4</v>
      </c>
      <c r="N22" s="485">
        <v>45658</v>
      </c>
      <c r="O22" s="486">
        <v>45676</v>
      </c>
      <c r="P22" s="487">
        <v>25</v>
      </c>
      <c r="Q22" s="488">
        <v>19</v>
      </c>
      <c r="R22" s="489">
        <f>+Q22*Q14</f>
        <v>0</v>
      </c>
    </row>
    <row r="23" spans="2:18">
      <c r="B23" s="412"/>
      <c r="C23" s="420"/>
      <c r="D23" s="415"/>
      <c r="E23" s="423"/>
      <c r="F23" s="426"/>
      <c r="G23" s="411"/>
      <c r="M23" s="412"/>
      <c r="N23" s="420"/>
      <c r="O23" s="415"/>
      <c r="P23" s="423"/>
      <c r="Q23" s="426"/>
      <c r="R23" s="411"/>
    </row>
    <row r="24" spans="2:18">
      <c r="B24" s="412"/>
      <c r="C24" s="420"/>
      <c r="D24" s="415"/>
      <c r="E24" s="423"/>
      <c r="F24" s="426"/>
      <c r="G24" s="411"/>
      <c r="H24" s="80"/>
      <c r="M24" s="412"/>
      <c r="N24" s="420"/>
      <c r="O24" s="415"/>
      <c r="P24" s="423"/>
      <c r="Q24" s="426"/>
      <c r="R24" s="411"/>
    </row>
    <row r="25" spans="2:18">
      <c r="B25" s="412"/>
      <c r="C25" s="420"/>
      <c r="D25" s="415"/>
      <c r="E25" s="423"/>
      <c r="F25" s="426"/>
      <c r="G25" s="411"/>
      <c r="M25" s="412"/>
      <c r="N25" s="420"/>
      <c r="O25" s="415"/>
      <c r="P25" s="423"/>
      <c r="Q25" s="426"/>
      <c r="R25" s="411"/>
    </row>
    <row r="26" spans="2:18" ht="15" thickBot="1">
      <c r="B26" s="416"/>
      <c r="C26" s="421"/>
      <c r="D26" s="417"/>
      <c r="E26" s="424"/>
      <c r="F26" s="427"/>
      <c r="G26" s="418"/>
      <c r="M26" s="416"/>
      <c r="N26" s="421"/>
      <c r="O26" s="417"/>
      <c r="P26" s="424"/>
      <c r="Q26" s="427"/>
      <c r="R26" s="418"/>
    </row>
    <row r="27" spans="2:18" ht="15" thickBot="1">
      <c r="B27" s="893" t="s">
        <v>21</v>
      </c>
      <c r="C27" s="894"/>
      <c r="D27" s="894"/>
      <c r="E27" s="894"/>
      <c r="F27" s="430">
        <f>SUM(F19:F22)</f>
        <v>9</v>
      </c>
      <c r="G27" s="429">
        <f>SUM(G19:G26)</f>
        <v>142.16399999999999</v>
      </c>
      <c r="L27" s="80"/>
      <c r="M27" s="893" t="s">
        <v>21</v>
      </c>
      <c r="N27" s="894"/>
      <c r="O27" s="894"/>
      <c r="P27" s="894"/>
      <c r="Q27" s="430">
        <f>SUM(Q19:Q24)</f>
        <v>84</v>
      </c>
      <c r="R27" s="429">
        <f>SUM(R19:R26)</f>
        <v>0</v>
      </c>
    </row>
    <row r="28" spans="2:18">
      <c r="B28" s="110"/>
      <c r="C28" s="110"/>
      <c r="D28" s="110"/>
      <c r="E28" s="110"/>
      <c r="F28" s="126"/>
      <c r="G28" s="127"/>
      <c r="L28" s="80"/>
    </row>
    <row r="29" spans="2:18" ht="15.6">
      <c r="B29" s="889" t="s">
        <v>473</v>
      </c>
      <c r="C29" s="889"/>
      <c r="D29" s="889"/>
      <c r="E29" s="889"/>
      <c r="F29" s="10"/>
    </row>
    <row r="30" spans="2:18" ht="7.5" customHeight="1">
      <c r="B30" s="10"/>
      <c r="C30" s="10"/>
      <c r="D30" s="10"/>
      <c r="E30" s="10"/>
      <c r="F30" s="10"/>
    </row>
    <row r="31" spans="2:18">
      <c r="B31" s="431" t="s">
        <v>86</v>
      </c>
      <c r="C31" s="431" t="s">
        <v>87</v>
      </c>
      <c r="D31" s="431" t="s">
        <v>117</v>
      </c>
      <c r="E31" s="431" t="s">
        <v>87</v>
      </c>
      <c r="F31" s="10"/>
    </row>
    <row r="32" spans="2:18">
      <c r="B32" s="11" t="s">
        <v>88</v>
      </c>
      <c r="C32" s="12">
        <f>+G19</f>
        <v>142.16399999999999</v>
      </c>
      <c r="D32" s="441" t="s">
        <v>188</v>
      </c>
      <c r="E32" s="12">
        <f>+((C32+C33+C34+C39)*9.45%)</f>
        <v>16.269497999999995</v>
      </c>
      <c r="F32" s="10"/>
    </row>
    <row r="33" spans="2:15">
      <c r="B33" s="11" t="s">
        <v>89</v>
      </c>
      <c r="C33" s="12">
        <f>+(3.33333333333333)*9</f>
        <v>30</v>
      </c>
      <c r="D33" s="10" t="s">
        <v>90</v>
      </c>
      <c r="E33" s="12">
        <v>0</v>
      </c>
      <c r="F33" s="10"/>
    </row>
    <row r="34" spans="2:15">
      <c r="B34" s="11" t="s">
        <v>57</v>
      </c>
      <c r="C34" s="12">
        <v>0</v>
      </c>
      <c r="D34" s="11"/>
      <c r="E34" s="12"/>
      <c r="F34" s="10"/>
    </row>
    <row r="35" spans="2:15">
      <c r="B35" s="11" t="s">
        <v>91</v>
      </c>
      <c r="C35" s="12">
        <v>0</v>
      </c>
      <c r="D35" s="11"/>
      <c r="E35" s="12"/>
      <c r="F35" s="10"/>
    </row>
    <row r="36" spans="2:15">
      <c r="B36" s="11" t="s">
        <v>5</v>
      </c>
      <c r="C36" s="12">
        <v>0</v>
      </c>
      <c r="D36" s="11" t="s">
        <v>414</v>
      </c>
      <c r="E36" s="12">
        <v>0</v>
      </c>
      <c r="F36" s="10"/>
    </row>
    <row r="37" spans="2:15">
      <c r="B37" s="11" t="s">
        <v>189</v>
      </c>
      <c r="C37" s="12">
        <v>0</v>
      </c>
      <c r="D37" s="11"/>
      <c r="E37" s="12"/>
      <c r="F37" s="10"/>
    </row>
    <row r="38" spans="2:15">
      <c r="B38" s="11" t="s">
        <v>92</v>
      </c>
      <c r="C38" s="12">
        <v>0</v>
      </c>
      <c r="D38" s="11"/>
      <c r="E38" s="12"/>
      <c r="F38" s="10"/>
    </row>
    <row r="39" spans="2:15">
      <c r="B39" s="11" t="s">
        <v>93</v>
      </c>
      <c r="C39" s="12">
        <v>0</v>
      </c>
      <c r="D39" s="11"/>
      <c r="E39" s="12"/>
      <c r="F39" s="10"/>
    </row>
    <row r="40" spans="2:15">
      <c r="B40" s="11" t="s">
        <v>14</v>
      </c>
      <c r="C40" s="12">
        <v>0</v>
      </c>
      <c r="D40" s="11"/>
      <c r="E40" s="12"/>
      <c r="F40" s="10"/>
    </row>
    <row r="41" spans="2:15">
      <c r="B41" s="11" t="s">
        <v>44</v>
      </c>
      <c r="C41" s="12">
        <v>0</v>
      </c>
      <c r="D41" s="11"/>
      <c r="E41" s="12"/>
      <c r="F41" s="10"/>
    </row>
    <row r="42" spans="2:15" ht="15" thickBot="1">
      <c r="B42" s="432" t="s">
        <v>94</v>
      </c>
      <c r="C42" s="433">
        <v>0</v>
      </c>
      <c r="D42" s="432"/>
      <c r="E42" s="433"/>
      <c r="F42" s="10"/>
    </row>
    <row r="43" spans="2:15" ht="15" thickBot="1">
      <c r="B43" s="434" t="s">
        <v>190</v>
      </c>
      <c r="C43" s="435">
        <f>SUM(C32:C42)</f>
        <v>172.16399999999999</v>
      </c>
      <c r="D43" s="436" t="s">
        <v>95</v>
      </c>
      <c r="E43" s="438">
        <f>SUM(E32:E42)</f>
        <v>16.269497999999995</v>
      </c>
      <c r="F43" s="364"/>
      <c r="G43" s="34"/>
      <c r="L43" s="400"/>
    </row>
    <row r="44" spans="2:15">
      <c r="B44" s="113"/>
      <c r="C44" s="113"/>
      <c r="D44" s="437" t="s">
        <v>96</v>
      </c>
      <c r="E44" s="439">
        <f>+C43-E43</f>
        <v>155.89450199999999</v>
      </c>
      <c r="F44" s="263"/>
      <c r="G44" s="80"/>
      <c r="O44" s="80"/>
    </row>
    <row r="47" spans="2:15">
      <c r="L47" s="80"/>
    </row>
    <row r="48" spans="2:15">
      <c r="E48" s="648">
        <v>645.95748800000001</v>
      </c>
    </row>
  </sheetData>
  <mergeCells count="19">
    <mergeCell ref="R17:R18"/>
    <mergeCell ref="B29:E29"/>
    <mergeCell ref="B17:B18"/>
    <mergeCell ref="C17:D17"/>
    <mergeCell ref="E17:E18"/>
    <mergeCell ref="F17:F18"/>
    <mergeCell ref="G17:G18"/>
    <mergeCell ref="B27:E27"/>
    <mergeCell ref="M27:P27"/>
    <mergeCell ref="M17:M18"/>
    <mergeCell ref="N17:O17"/>
    <mergeCell ref="P17:P18"/>
    <mergeCell ref="Q17:Q18"/>
    <mergeCell ref="B15:C15"/>
    <mergeCell ref="C8:D8"/>
    <mergeCell ref="C9:D9"/>
    <mergeCell ref="C10:D10"/>
    <mergeCell ref="C11:D11"/>
    <mergeCell ref="B14:C14"/>
  </mergeCells>
  <pageMargins left="0.31" right="0.12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1ABF-A963-4F6B-BCE2-F516FEC62F75}">
  <sheetPr codeName="Hoja21"/>
  <dimension ref="B2:R65"/>
  <sheetViews>
    <sheetView topLeftCell="A28" workbookViewId="0">
      <selection activeCell="G8" sqref="G8:G9"/>
    </sheetView>
  </sheetViews>
  <sheetFormatPr baseColWidth="10" defaultRowHeight="14.4"/>
  <cols>
    <col min="1" max="1" width="3.88671875" customWidth="1"/>
    <col min="2" max="2" width="24.33203125" bestFit="1" customWidth="1"/>
    <col min="3" max="3" width="9.5546875" bestFit="1" customWidth="1"/>
    <col min="4" max="4" width="20.109375" customWidth="1"/>
    <col min="5" max="5" width="10.33203125" bestFit="1" customWidth="1"/>
    <col min="6" max="6" width="9.5546875" bestFit="1" customWidth="1"/>
    <col min="7" max="7" width="11" customWidth="1"/>
    <col min="8" max="8" width="9.6640625" bestFit="1" customWidth="1"/>
    <col min="10" max="10" width="9.5546875" bestFit="1" customWidth="1"/>
    <col min="11" max="11" width="10" bestFit="1" customWidth="1"/>
    <col min="12" max="12" width="9.33203125" customWidth="1"/>
  </cols>
  <sheetData>
    <row r="2" spans="2:9" ht="6" customHeight="1"/>
    <row r="5" spans="2:9" ht="3.75" customHeight="1"/>
    <row r="6" spans="2:9" ht="9" customHeight="1"/>
    <row r="7" spans="2:9" ht="9" customHeight="1"/>
    <row r="8" spans="2:9" ht="19.95" customHeight="1">
      <c r="B8" s="409" t="s">
        <v>167</v>
      </c>
      <c r="C8" s="884" t="s">
        <v>416</v>
      </c>
      <c r="D8" s="884"/>
      <c r="F8" s="440" t="s">
        <v>168</v>
      </c>
      <c r="G8" s="117"/>
    </row>
    <row r="9" spans="2:9">
      <c r="B9" s="409" t="s">
        <v>169</v>
      </c>
      <c r="C9" s="885">
        <v>45762</v>
      </c>
      <c r="D9" s="885"/>
      <c r="F9" s="440" t="s">
        <v>170</v>
      </c>
      <c r="G9" s="118"/>
    </row>
    <row r="10" spans="2:9">
      <c r="B10" s="409" t="s">
        <v>171</v>
      </c>
      <c r="C10" s="886">
        <v>715.54</v>
      </c>
      <c r="D10" s="886"/>
      <c r="F10" s="440" t="s">
        <v>172</v>
      </c>
      <c r="G10" s="119">
        <f>+_xlfn.DAYS(G9,G8)+1</f>
        <v>1</v>
      </c>
      <c r="I10" s="120"/>
    </row>
    <row r="11" spans="2:9">
      <c r="B11" s="409" t="s">
        <v>173</v>
      </c>
      <c r="C11" s="827" t="s">
        <v>354</v>
      </c>
      <c r="D11" s="827"/>
    </row>
    <row r="12" spans="2:9" ht="14.4" customHeight="1"/>
    <row r="13" spans="2:9">
      <c r="B13" s="51" t="s">
        <v>175</v>
      </c>
      <c r="H13">
        <f>+C10/30</f>
        <v>23.851333333333333</v>
      </c>
    </row>
    <row r="14" spans="2:9">
      <c r="B14" s="883" t="s">
        <v>176</v>
      </c>
      <c r="C14" s="883"/>
      <c r="D14" s="34">
        <f>+C10/30</f>
        <v>23.851333333333333</v>
      </c>
      <c r="E14" s="17" t="s">
        <v>177</v>
      </c>
      <c r="F14" s="120">
        <f>+C10/30</f>
        <v>23.851333333333333</v>
      </c>
      <c r="I14" s="34"/>
    </row>
    <row r="15" spans="2:9">
      <c r="B15" s="883" t="s">
        <v>178</v>
      </c>
      <c r="C15" s="883"/>
      <c r="D15" s="34">
        <f>+D14*25%</f>
        <v>5.9628333333333332</v>
      </c>
      <c r="E15" s="17" t="s">
        <v>179</v>
      </c>
      <c r="F15" s="120">
        <f>+F14*25%</f>
        <v>5.9628333333333332</v>
      </c>
    </row>
    <row r="16" spans="2:9" ht="8.25" customHeight="1" thickBot="1"/>
    <row r="17" spans="2:18" ht="16.2" thickBot="1">
      <c r="B17" s="890" t="s">
        <v>180</v>
      </c>
      <c r="C17" s="892" t="s">
        <v>181</v>
      </c>
      <c r="D17" s="887"/>
      <c r="E17" s="890" t="s">
        <v>259</v>
      </c>
      <c r="F17" s="890" t="s">
        <v>183</v>
      </c>
      <c r="G17" s="887" t="s">
        <v>184</v>
      </c>
      <c r="M17" s="890" t="s">
        <v>180</v>
      </c>
      <c r="N17" s="892" t="s">
        <v>181</v>
      </c>
      <c r="O17" s="887"/>
      <c r="P17" s="890" t="s">
        <v>259</v>
      </c>
      <c r="Q17" s="890" t="s">
        <v>183</v>
      </c>
      <c r="R17" s="887" t="s">
        <v>184</v>
      </c>
    </row>
    <row r="18" spans="2:18" ht="16.2" thickBot="1">
      <c r="B18" s="891"/>
      <c r="C18" s="428" t="s">
        <v>185</v>
      </c>
      <c r="D18" s="428" t="s">
        <v>186</v>
      </c>
      <c r="E18" s="891"/>
      <c r="F18" s="891"/>
      <c r="G18" s="888"/>
      <c r="M18" s="891"/>
      <c r="N18" s="428" t="s">
        <v>185</v>
      </c>
      <c r="O18" s="428" t="s">
        <v>186</v>
      </c>
      <c r="P18" s="891"/>
      <c r="Q18" s="891"/>
      <c r="R18" s="888"/>
    </row>
    <row r="19" spans="2:18">
      <c r="B19" s="413">
        <v>1</v>
      </c>
      <c r="C19" s="419">
        <v>45658</v>
      </c>
      <c r="D19" s="414">
        <v>45674</v>
      </c>
      <c r="E19" s="422">
        <v>100</v>
      </c>
      <c r="F19" s="425">
        <v>17</v>
      </c>
      <c r="G19" s="410">
        <f>+F14*F19</f>
        <v>405.47266666666667</v>
      </c>
      <c r="M19" s="413">
        <v>1</v>
      </c>
      <c r="N19" s="419">
        <v>45593</v>
      </c>
      <c r="O19" s="414">
        <v>45596</v>
      </c>
      <c r="P19" s="422">
        <v>25</v>
      </c>
      <c r="Q19" s="425">
        <v>4</v>
      </c>
      <c r="R19" s="410">
        <f>+Q15*Q19</f>
        <v>0</v>
      </c>
    </row>
    <row r="20" spans="2:18">
      <c r="B20" s="413">
        <v>2</v>
      </c>
      <c r="C20" s="419">
        <v>45675</v>
      </c>
      <c r="D20" s="414">
        <v>45688</v>
      </c>
      <c r="E20" s="422">
        <v>25</v>
      </c>
      <c r="F20" s="425">
        <v>14</v>
      </c>
      <c r="G20" s="410">
        <f>+F15*F20</f>
        <v>83.47966666666666</v>
      </c>
      <c r="K20" s="80"/>
      <c r="L20" s="80"/>
      <c r="M20" s="413">
        <v>2</v>
      </c>
      <c r="N20" s="419">
        <v>45597</v>
      </c>
      <c r="O20" s="414">
        <v>45626</v>
      </c>
      <c r="P20" s="422">
        <v>25</v>
      </c>
      <c r="Q20" s="425">
        <v>30</v>
      </c>
      <c r="R20" s="410">
        <f>+Q15*Q20</f>
        <v>0</v>
      </c>
    </row>
    <row r="21" spans="2:18">
      <c r="B21" s="479">
        <v>3</v>
      </c>
      <c r="C21" s="480"/>
      <c r="D21" s="481"/>
      <c r="E21" s="482"/>
      <c r="F21" s="483"/>
      <c r="G21" s="484">
        <f>+F21*F15</f>
        <v>0</v>
      </c>
      <c r="I21" s="34"/>
      <c r="L21" s="80"/>
      <c r="M21" s="479">
        <v>3</v>
      </c>
      <c r="N21" s="480">
        <v>45992</v>
      </c>
      <c r="O21" s="481">
        <v>45657</v>
      </c>
      <c r="P21" s="482">
        <v>25</v>
      </c>
      <c r="Q21" s="483">
        <v>31</v>
      </c>
      <c r="R21" s="484">
        <f>+Q21*Q15</f>
        <v>0</v>
      </c>
    </row>
    <row r="22" spans="2:18">
      <c r="B22" s="479">
        <v>4</v>
      </c>
      <c r="C22" s="485"/>
      <c r="D22" s="486"/>
      <c r="E22" s="487"/>
      <c r="F22" s="488"/>
      <c r="G22" s="489">
        <f>+F22*F14</f>
        <v>0</v>
      </c>
      <c r="H22" s="34"/>
      <c r="I22" s="80"/>
      <c r="M22" s="479">
        <v>4</v>
      </c>
      <c r="N22" s="485">
        <v>45658</v>
      </c>
      <c r="O22" s="486">
        <v>45676</v>
      </c>
      <c r="P22" s="487">
        <v>25</v>
      </c>
      <c r="Q22" s="488">
        <v>19</v>
      </c>
      <c r="R22" s="489">
        <f>+Q22*Q14</f>
        <v>0</v>
      </c>
    </row>
    <row r="23" spans="2:18">
      <c r="B23" s="412"/>
      <c r="C23" s="420"/>
      <c r="D23" s="415"/>
      <c r="E23" s="423"/>
      <c r="F23" s="426"/>
      <c r="G23" s="411"/>
      <c r="M23" s="412"/>
      <c r="N23" s="420"/>
      <c r="O23" s="415"/>
      <c r="P23" s="423"/>
      <c r="Q23" s="426"/>
      <c r="R23" s="411"/>
    </row>
    <row r="24" spans="2:18">
      <c r="B24" s="412"/>
      <c r="C24" s="420"/>
      <c r="D24" s="415"/>
      <c r="E24" s="423"/>
      <c r="F24" s="426"/>
      <c r="G24" s="411"/>
      <c r="H24" s="80"/>
      <c r="M24" s="412"/>
      <c r="N24" s="420"/>
      <c r="O24" s="415"/>
      <c r="P24" s="423"/>
      <c r="Q24" s="426"/>
      <c r="R24" s="411"/>
    </row>
    <row r="25" spans="2:18">
      <c r="B25" s="412"/>
      <c r="C25" s="420"/>
      <c r="D25" s="415"/>
      <c r="E25" s="423"/>
      <c r="F25" s="426"/>
      <c r="G25" s="411"/>
      <c r="M25" s="412"/>
      <c r="N25" s="420"/>
      <c r="O25" s="415"/>
      <c r="P25" s="423"/>
      <c r="Q25" s="426"/>
      <c r="R25" s="411"/>
    </row>
    <row r="26" spans="2:18" ht="15" thickBot="1">
      <c r="B26" s="416"/>
      <c r="C26" s="421"/>
      <c r="D26" s="417"/>
      <c r="E26" s="424"/>
      <c r="F26" s="427"/>
      <c r="G26" s="418"/>
      <c r="I26" s="80"/>
      <c r="M26" s="416"/>
      <c r="N26" s="421"/>
      <c r="O26" s="417"/>
      <c r="P26" s="424"/>
      <c r="Q26" s="427"/>
      <c r="R26" s="418"/>
    </row>
    <row r="27" spans="2:18" ht="15" thickBot="1">
      <c r="B27" s="893" t="s">
        <v>21</v>
      </c>
      <c r="C27" s="894"/>
      <c r="D27" s="894"/>
      <c r="E27" s="894"/>
      <c r="F27" s="430">
        <f>SUM(F19:F22)</f>
        <v>31</v>
      </c>
      <c r="G27" s="429">
        <f>SUM(G19:G26)</f>
        <v>488.95233333333334</v>
      </c>
      <c r="L27" s="80"/>
      <c r="M27" s="893" t="s">
        <v>21</v>
      </c>
      <c r="N27" s="894"/>
      <c r="O27" s="894"/>
      <c r="P27" s="894"/>
      <c r="Q27" s="430">
        <f>SUM(Q19:Q24)</f>
        <v>84</v>
      </c>
      <c r="R27" s="429">
        <f>SUM(R19:R26)</f>
        <v>0</v>
      </c>
    </row>
    <row r="28" spans="2:18">
      <c r="B28" s="110"/>
      <c r="C28" s="110"/>
      <c r="D28" s="110"/>
      <c r="E28" s="110"/>
      <c r="F28" s="126"/>
      <c r="G28" s="127"/>
      <c r="L28" s="80"/>
    </row>
    <row r="29" spans="2:18" ht="15.6">
      <c r="B29" s="889" t="s">
        <v>277</v>
      </c>
      <c r="C29" s="889"/>
      <c r="D29" s="889"/>
      <c r="E29" s="889"/>
      <c r="F29" s="10"/>
    </row>
    <row r="30" spans="2:18" ht="7.5" customHeight="1">
      <c r="B30" s="10"/>
      <c r="C30" s="10"/>
      <c r="D30" s="10"/>
      <c r="E30" s="10"/>
      <c r="F30" s="10"/>
    </row>
    <row r="31" spans="2:18">
      <c r="B31" s="431" t="s">
        <v>86</v>
      </c>
      <c r="C31" s="431" t="s">
        <v>87</v>
      </c>
      <c r="D31" s="431" t="s">
        <v>117</v>
      </c>
      <c r="E31" s="431" t="s">
        <v>87</v>
      </c>
      <c r="F31" s="10"/>
    </row>
    <row r="32" spans="2:18">
      <c r="B32" s="11" t="s">
        <v>88</v>
      </c>
      <c r="C32" s="12">
        <v>715.54</v>
      </c>
      <c r="D32" s="441" t="s">
        <v>188</v>
      </c>
      <c r="E32" s="12">
        <f>+((C10*9.45%))</f>
        <v>67.618529999999993</v>
      </c>
      <c r="F32" s="10"/>
    </row>
    <row r="33" spans="2:15">
      <c r="B33" s="11" t="s">
        <v>89</v>
      </c>
      <c r="C33" s="12">
        <v>0</v>
      </c>
      <c r="D33" s="10" t="s">
        <v>415</v>
      </c>
      <c r="E33" s="12">
        <v>0</v>
      </c>
      <c r="F33" s="10"/>
      <c r="H33" s="34">
        <f>1200-C32</f>
        <v>484.46000000000004</v>
      </c>
    </row>
    <row r="34" spans="2:15">
      <c r="B34" s="11" t="s">
        <v>57</v>
      </c>
      <c r="C34" s="12">
        <v>0</v>
      </c>
      <c r="D34" s="11"/>
      <c r="E34" s="12">
        <v>145</v>
      </c>
      <c r="F34" s="10"/>
      <c r="H34">
        <f>+ROUND(H33*9.45%,2)</f>
        <v>45.78</v>
      </c>
      <c r="L34" s="80"/>
    </row>
    <row r="35" spans="2:15">
      <c r="B35" s="11" t="s">
        <v>91</v>
      </c>
      <c r="C35" s="12">
        <v>0</v>
      </c>
      <c r="D35" s="11"/>
      <c r="E35" s="12"/>
      <c r="F35" s="10"/>
      <c r="H35">
        <f>+ROUND(H33*12.15%,2)</f>
        <v>58.86</v>
      </c>
    </row>
    <row r="36" spans="2:15">
      <c r="B36" s="11" t="s">
        <v>5</v>
      </c>
      <c r="C36" s="12">
        <v>0</v>
      </c>
      <c r="D36" s="11"/>
      <c r="E36" s="12"/>
      <c r="F36" s="10"/>
      <c r="H36" s="34">
        <f>+H33*8.33%</f>
        <v>40.355518000000004</v>
      </c>
      <c r="L36" s="80"/>
    </row>
    <row r="37" spans="2:15">
      <c r="B37" s="11" t="s">
        <v>189</v>
      </c>
      <c r="C37" s="12">
        <v>0</v>
      </c>
      <c r="D37" s="11"/>
      <c r="E37" s="12"/>
      <c r="F37" s="10"/>
    </row>
    <row r="38" spans="2:15">
      <c r="B38" s="11" t="s">
        <v>92</v>
      </c>
      <c r="C38" s="12">
        <v>0</v>
      </c>
      <c r="D38" s="11"/>
      <c r="E38" s="12"/>
      <c r="F38" s="10"/>
      <c r="H38" s="80">
        <f>+SUM(H34:H36)</f>
        <v>144.995518</v>
      </c>
    </row>
    <row r="39" spans="2:15">
      <c r="B39" s="11" t="s">
        <v>93</v>
      </c>
      <c r="C39" s="12">
        <v>0</v>
      </c>
      <c r="D39" s="11"/>
      <c r="E39" s="12"/>
      <c r="F39" s="10"/>
      <c r="I39" s="80"/>
    </row>
    <row r="40" spans="2:15">
      <c r="B40" s="11" t="s">
        <v>14</v>
      </c>
      <c r="C40" s="12">
        <f>+(C32*8.33%)</f>
        <v>59.604481999999997</v>
      </c>
      <c r="D40" s="11"/>
      <c r="E40" s="12"/>
      <c r="F40" s="10"/>
      <c r="L40" s="34"/>
    </row>
    <row r="41" spans="2:15">
      <c r="B41" s="11" t="s">
        <v>44</v>
      </c>
      <c r="C41" s="12">
        <v>0</v>
      </c>
      <c r="D41" s="11"/>
      <c r="E41" s="12"/>
      <c r="F41" s="10"/>
    </row>
    <row r="42" spans="2:15" ht="15" thickBot="1">
      <c r="B42" s="432" t="s">
        <v>94</v>
      </c>
      <c r="C42" s="433">
        <v>0</v>
      </c>
      <c r="D42" s="432"/>
      <c r="E42" s="433"/>
      <c r="F42" s="10"/>
    </row>
    <row r="43" spans="2:15" ht="15" thickBot="1">
      <c r="B43" s="434" t="s">
        <v>190</v>
      </c>
      <c r="C43" s="435">
        <f>SUM(C32:C42)</f>
        <v>775.14448199999993</v>
      </c>
      <c r="D43" s="436" t="s">
        <v>95</v>
      </c>
      <c r="E43" s="438">
        <f>SUM(E32:E42)</f>
        <v>212.61852999999999</v>
      </c>
      <c r="F43" s="364"/>
      <c r="G43" s="34">
        <v>1186.55</v>
      </c>
      <c r="K43" s="80"/>
      <c r="L43" s="400"/>
    </row>
    <row r="44" spans="2:15">
      <c r="B44" s="113"/>
      <c r="C44" s="113"/>
      <c r="D44" s="437" t="s">
        <v>96</v>
      </c>
      <c r="E44" s="439">
        <f>+C43-E43</f>
        <v>562.52595199999996</v>
      </c>
      <c r="F44" s="263"/>
      <c r="G44" s="80">
        <f>+G43-E44</f>
        <v>624.02404799999999</v>
      </c>
      <c r="O44" s="80"/>
    </row>
    <row r="46" spans="2:15">
      <c r="E46" s="80"/>
    </row>
    <row r="47" spans="2:15">
      <c r="K47">
        <v>602.89</v>
      </c>
      <c r="L47" s="80"/>
    </row>
    <row r="49" spans="2:9" hidden="1"/>
    <row r="50" spans="2:9" hidden="1">
      <c r="B50" s="431" t="s">
        <v>86</v>
      </c>
      <c r="C50" s="431" t="s">
        <v>87</v>
      </c>
      <c r="D50" s="431" t="s">
        <v>117</v>
      </c>
      <c r="E50" s="431" t="s">
        <v>87</v>
      </c>
    </row>
    <row r="51" spans="2:9" hidden="1">
      <c r="B51" s="11" t="s">
        <v>88</v>
      </c>
      <c r="C51" s="12">
        <v>1200</v>
      </c>
      <c r="D51" s="441" t="s">
        <v>188</v>
      </c>
      <c r="E51" s="12">
        <f>+((C51*9.45%))</f>
        <v>113.39999999999998</v>
      </c>
    </row>
    <row r="52" spans="2:9" hidden="1">
      <c r="B52" s="11" t="s">
        <v>89</v>
      </c>
      <c r="C52" s="12">
        <v>0</v>
      </c>
      <c r="D52" s="10" t="s">
        <v>415</v>
      </c>
      <c r="E52" s="12">
        <v>36</v>
      </c>
    </row>
    <row r="53" spans="2:9" hidden="1">
      <c r="B53" s="11" t="s">
        <v>57</v>
      </c>
      <c r="C53" s="12">
        <v>0</v>
      </c>
      <c r="D53" s="11"/>
      <c r="E53" s="12">
        <v>0</v>
      </c>
    </row>
    <row r="54" spans="2:9" hidden="1">
      <c r="B54" s="11" t="s">
        <v>91</v>
      </c>
      <c r="C54" s="12">
        <v>0</v>
      </c>
      <c r="D54" s="11"/>
      <c r="E54" s="12"/>
    </row>
    <row r="55" spans="2:9" hidden="1">
      <c r="B55" s="11" t="s">
        <v>5</v>
      </c>
      <c r="C55" s="12">
        <v>0</v>
      </c>
      <c r="D55" s="11"/>
      <c r="E55" s="12"/>
    </row>
    <row r="56" spans="2:9" hidden="1">
      <c r="B56" s="11" t="s">
        <v>189</v>
      </c>
      <c r="C56" s="12">
        <v>0</v>
      </c>
      <c r="D56" s="11"/>
      <c r="E56" s="12"/>
    </row>
    <row r="57" spans="2:9" hidden="1">
      <c r="B57" s="11" t="s">
        <v>92</v>
      </c>
      <c r="C57" s="12">
        <v>0</v>
      </c>
      <c r="D57" s="11"/>
      <c r="E57" s="12"/>
    </row>
    <row r="58" spans="2:9" hidden="1">
      <c r="B58" s="11" t="s">
        <v>93</v>
      </c>
      <c r="C58" s="12">
        <v>0</v>
      </c>
      <c r="D58" s="11"/>
      <c r="E58" s="12"/>
    </row>
    <row r="59" spans="2:9" hidden="1">
      <c r="B59" s="11" t="s">
        <v>14</v>
      </c>
      <c r="C59" s="12">
        <f>+(C51*8.33%)</f>
        <v>99.96</v>
      </c>
      <c r="D59" s="11"/>
      <c r="E59" s="12"/>
    </row>
    <row r="60" spans="2:9" hidden="1">
      <c r="B60" s="11" t="s">
        <v>44</v>
      </c>
      <c r="C60" s="12">
        <v>0</v>
      </c>
      <c r="D60" s="11"/>
      <c r="E60" s="12"/>
    </row>
    <row r="61" spans="2:9" ht="15" hidden="1" thickBot="1">
      <c r="B61" s="432" t="s">
        <v>94</v>
      </c>
      <c r="C61" s="433">
        <v>0</v>
      </c>
      <c r="D61" s="432"/>
      <c r="E61" s="433"/>
    </row>
    <row r="62" spans="2:9" ht="15" hidden="1" thickBot="1">
      <c r="B62" s="434" t="s">
        <v>190</v>
      </c>
      <c r="C62" s="435">
        <f>SUM(C51:C61)</f>
        <v>1299.96</v>
      </c>
      <c r="D62" s="436" t="s">
        <v>95</v>
      </c>
      <c r="E62" s="438">
        <f>SUM(E51:E61)</f>
        <v>149.39999999999998</v>
      </c>
    </row>
    <row r="63" spans="2:9" hidden="1">
      <c r="B63" s="113"/>
      <c r="C63" s="113"/>
      <c r="D63" s="437" t="s">
        <v>96</v>
      </c>
      <c r="E63" s="439">
        <f>+C62-E62</f>
        <v>1150.56</v>
      </c>
      <c r="I63" s="80">
        <f>+E63-E44</f>
        <v>588.03404799999998</v>
      </c>
    </row>
    <row r="64" spans="2:9" hidden="1"/>
    <row r="65" hidden="1"/>
  </sheetData>
  <mergeCells count="19">
    <mergeCell ref="B29:E29"/>
    <mergeCell ref="N17:O17"/>
    <mergeCell ref="P17:P18"/>
    <mergeCell ref="Q17:Q18"/>
    <mergeCell ref="R17:R18"/>
    <mergeCell ref="B27:E27"/>
    <mergeCell ref="M27:P27"/>
    <mergeCell ref="B17:B18"/>
    <mergeCell ref="C17:D17"/>
    <mergeCell ref="E17:E18"/>
    <mergeCell ref="F17:F18"/>
    <mergeCell ref="G17:G18"/>
    <mergeCell ref="M17:M18"/>
    <mergeCell ref="B15:C15"/>
    <mergeCell ref="C8:D8"/>
    <mergeCell ref="C9:D9"/>
    <mergeCell ref="C10:D10"/>
    <mergeCell ref="C11:D11"/>
    <mergeCell ref="B14:C14"/>
  </mergeCells>
  <pageMargins left="0.31" right="0.12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74B9-22E7-454A-93B9-CFD56F5ADD23}">
  <sheetPr codeName="Hoja22"/>
  <dimension ref="B2:R65"/>
  <sheetViews>
    <sheetView topLeftCell="A28" workbookViewId="0">
      <selection activeCell="C41" sqref="C41"/>
    </sheetView>
  </sheetViews>
  <sheetFormatPr baseColWidth="10" defaultRowHeight="14.4"/>
  <cols>
    <col min="1" max="1" width="3.88671875" customWidth="1"/>
    <col min="2" max="2" width="24.33203125" bestFit="1" customWidth="1"/>
    <col min="3" max="3" width="9.5546875" bestFit="1" customWidth="1"/>
    <col min="4" max="4" width="20.109375" customWidth="1"/>
    <col min="5" max="5" width="10.33203125" bestFit="1" customWidth="1"/>
    <col min="6" max="6" width="9.5546875" bestFit="1" customWidth="1"/>
    <col min="7" max="7" width="11" customWidth="1"/>
    <col min="8" max="8" width="9.6640625" bestFit="1" customWidth="1"/>
    <col min="10" max="10" width="9.88671875" bestFit="1" customWidth="1"/>
    <col min="11" max="11" width="10" bestFit="1" customWidth="1"/>
    <col min="12" max="12" width="9.33203125" customWidth="1"/>
  </cols>
  <sheetData>
    <row r="2" spans="2:9" ht="6" customHeight="1"/>
    <row r="5" spans="2:9" ht="3.75" customHeight="1"/>
    <row r="6" spans="2:9" ht="9" customHeight="1"/>
    <row r="7" spans="2:9" ht="9" customHeight="1"/>
    <row r="8" spans="2:9" ht="19.95" customHeight="1">
      <c r="B8" s="409" t="s">
        <v>167</v>
      </c>
      <c r="C8" s="884" t="s">
        <v>416</v>
      </c>
      <c r="D8" s="884"/>
      <c r="F8" s="440" t="s">
        <v>168</v>
      </c>
      <c r="G8" s="117"/>
    </row>
    <row r="9" spans="2:9">
      <c r="B9" s="409" t="s">
        <v>169</v>
      </c>
      <c r="C9" s="885">
        <v>45762</v>
      </c>
      <c r="D9" s="885"/>
      <c r="F9" s="440" t="s">
        <v>170</v>
      </c>
      <c r="G9" s="118"/>
    </row>
    <row r="10" spans="2:9">
      <c r="B10" s="409" t="s">
        <v>171</v>
      </c>
      <c r="C10" s="886">
        <v>715.54</v>
      </c>
      <c r="D10" s="886"/>
      <c r="F10" s="440" t="s">
        <v>172</v>
      </c>
      <c r="G10" s="119">
        <f>+_xlfn.DAYS(G9,G8)+1</f>
        <v>1</v>
      </c>
      <c r="I10" s="120"/>
    </row>
    <row r="11" spans="2:9">
      <c r="B11" s="409" t="s">
        <v>173</v>
      </c>
      <c r="C11" s="827" t="s">
        <v>354</v>
      </c>
      <c r="D11" s="827"/>
    </row>
    <row r="12" spans="2:9" ht="14.4" customHeight="1"/>
    <row r="13" spans="2:9">
      <c r="B13" s="51" t="s">
        <v>175</v>
      </c>
      <c r="H13">
        <f>+C10/30</f>
        <v>23.851333333333333</v>
      </c>
    </row>
    <row r="14" spans="2:9">
      <c r="B14" s="883" t="s">
        <v>176</v>
      </c>
      <c r="C14" s="883"/>
      <c r="D14" s="34">
        <f>+C10/30</f>
        <v>23.851333333333333</v>
      </c>
      <c r="E14" s="17" t="s">
        <v>177</v>
      </c>
      <c r="F14" s="120">
        <f>+C10/30</f>
        <v>23.851333333333333</v>
      </c>
      <c r="I14" s="34"/>
    </row>
    <row r="15" spans="2:9">
      <c r="B15" s="883" t="s">
        <v>178</v>
      </c>
      <c r="C15" s="883"/>
      <c r="D15" s="34">
        <f>+D14*25%</f>
        <v>5.9628333333333332</v>
      </c>
      <c r="E15" s="17" t="s">
        <v>179</v>
      </c>
      <c r="F15" s="120">
        <f>+F14*25%</f>
        <v>5.9628333333333332</v>
      </c>
    </row>
    <row r="16" spans="2:9" ht="8.25" customHeight="1" thickBot="1"/>
    <row r="17" spans="2:18" ht="16.2" thickBot="1">
      <c r="B17" s="890" t="s">
        <v>180</v>
      </c>
      <c r="C17" s="892" t="s">
        <v>181</v>
      </c>
      <c r="D17" s="887"/>
      <c r="E17" s="890" t="s">
        <v>259</v>
      </c>
      <c r="F17" s="890" t="s">
        <v>183</v>
      </c>
      <c r="G17" s="887" t="s">
        <v>184</v>
      </c>
      <c r="M17" s="890" t="s">
        <v>180</v>
      </c>
      <c r="N17" s="892" t="s">
        <v>181</v>
      </c>
      <c r="O17" s="887"/>
      <c r="P17" s="890" t="s">
        <v>259</v>
      </c>
      <c r="Q17" s="890" t="s">
        <v>183</v>
      </c>
      <c r="R17" s="887" t="s">
        <v>184</v>
      </c>
    </row>
    <row r="18" spans="2:18" ht="16.2" thickBot="1">
      <c r="B18" s="891"/>
      <c r="C18" s="428" t="s">
        <v>185</v>
      </c>
      <c r="D18" s="428" t="s">
        <v>186</v>
      </c>
      <c r="E18" s="891"/>
      <c r="F18" s="891"/>
      <c r="G18" s="888"/>
      <c r="M18" s="891"/>
      <c r="N18" s="428" t="s">
        <v>185</v>
      </c>
      <c r="O18" s="428" t="s">
        <v>186</v>
      </c>
      <c r="P18" s="891"/>
      <c r="Q18" s="891"/>
      <c r="R18" s="888"/>
    </row>
    <row r="19" spans="2:18">
      <c r="B19" s="413">
        <v>1</v>
      </c>
      <c r="C19" s="419">
        <v>45658</v>
      </c>
      <c r="D19" s="414">
        <v>45674</v>
      </c>
      <c r="E19" s="422">
        <v>100</v>
      </c>
      <c r="F19" s="425">
        <v>17</v>
      </c>
      <c r="G19" s="410">
        <f>+F14*F19</f>
        <v>405.47266666666667</v>
      </c>
      <c r="M19" s="413">
        <v>1</v>
      </c>
      <c r="N19" s="419">
        <v>45593</v>
      </c>
      <c r="O19" s="414">
        <v>45596</v>
      </c>
      <c r="P19" s="422">
        <v>25</v>
      </c>
      <c r="Q19" s="425">
        <v>4</v>
      </c>
      <c r="R19" s="410">
        <f>+Q15*Q19</f>
        <v>0</v>
      </c>
    </row>
    <row r="20" spans="2:18">
      <c r="B20" s="413">
        <v>2</v>
      </c>
      <c r="C20" s="419">
        <v>45675</v>
      </c>
      <c r="D20" s="414">
        <v>45688</v>
      </c>
      <c r="E20" s="422">
        <v>25</v>
      </c>
      <c r="F20" s="425">
        <v>14</v>
      </c>
      <c r="G20" s="410">
        <f>+F15*F20</f>
        <v>83.47966666666666</v>
      </c>
      <c r="K20" s="80"/>
      <c r="L20" s="80"/>
      <c r="M20" s="413">
        <v>2</v>
      </c>
      <c r="N20" s="419">
        <v>45597</v>
      </c>
      <c r="O20" s="414">
        <v>45626</v>
      </c>
      <c r="P20" s="422">
        <v>25</v>
      </c>
      <c r="Q20" s="425">
        <v>30</v>
      </c>
      <c r="R20" s="410">
        <f>+Q15*Q20</f>
        <v>0</v>
      </c>
    </row>
    <row r="21" spans="2:18">
      <c r="B21" s="479">
        <v>3</v>
      </c>
      <c r="C21" s="480"/>
      <c r="D21" s="481"/>
      <c r="E21" s="482"/>
      <c r="F21" s="483"/>
      <c r="G21" s="484">
        <f>+F21*F15</f>
        <v>0</v>
      </c>
      <c r="I21" s="34"/>
      <c r="L21" s="80"/>
      <c r="M21" s="479">
        <v>3</v>
      </c>
      <c r="N21" s="480">
        <v>45992</v>
      </c>
      <c r="O21" s="481">
        <v>45657</v>
      </c>
      <c r="P21" s="482">
        <v>25</v>
      </c>
      <c r="Q21" s="483">
        <v>31</v>
      </c>
      <c r="R21" s="484">
        <f>+Q21*Q15</f>
        <v>0</v>
      </c>
    </row>
    <row r="22" spans="2:18">
      <c r="B22" s="479">
        <v>4</v>
      </c>
      <c r="C22" s="485"/>
      <c r="D22" s="486"/>
      <c r="E22" s="487"/>
      <c r="F22" s="488"/>
      <c r="G22" s="489">
        <f>+F22*F14</f>
        <v>0</v>
      </c>
      <c r="H22" s="34"/>
      <c r="I22" s="80"/>
      <c r="M22" s="479">
        <v>4</v>
      </c>
      <c r="N22" s="485">
        <v>45658</v>
      </c>
      <c r="O22" s="486">
        <v>45676</v>
      </c>
      <c r="P22" s="487">
        <v>25</v>
      </c>
      <c r="Q22" s="488">
        <v>19</v>
      </c>
      <c r="R22" s="489">
        <f>+Q22*Q14</f>
        <v>0</v>
      </c>
    </row>
    <row r="23" spans="2:18">
      <c r="B23" s="412"/>
      <c r="C23" s="420"/>
      <c r="D23" s="415"/>
      <c r="E23" s="423"/>
      <c r="F23" s="426"/>
      <c r="G23" s="411"/>
      <c r="M23" s="412"/>
      <c r="N23" s="420"/>
      <c r="O23" s="415"/>
      <c r="P23" s="423"/>
      <c r="Q23" s="426"/>
      <c r="R23" s="411"/>
    </row>
    <row r="24" spans="2:18">
      <c r="B24" s="412"/>
      <c r="C24" s="420"/>
      <c r="D24" s="415"/>
      <c r="E24" s="423"/>
      <c r="F24" s="426"/>
      <c r="G24" s="411"/>
      <c r="H24" s="80"/>
      <c r="M24" s="412"/>
      <c r="N24" s="420"/>
      <c r="O24" s="415"/>
      <c r="P24" s="423"/>
      <c r="Q24" s="426"/>
      <c r="R24" s="411"/>
    </row>
    <row r="25" spans="2:18">
      <c r="B25" s="412"/>
      <c r="C25" s="420"/>
      <c r="D25" s="415"/>
      <c r="E25" s="423"/>
      <c r="F25" s="426"/>
      <c r="G25" s="411"/>
      <c r="M25" s="412"/>
      <c r="N25" s="420"/>
      <c r="O25" s="415"/>
      <c r="P25" s="423"/>
      <c r="Q25" s="426"/>
      <c r="R25" s="411"/>
    </row>
    <row r="26" spans="2:18" ht="15" thickBot="1">
      <c r="B26" s="416"/>
      <c r="C26" s="421"/>
      <c r="D26" s="417"/>
      <c r="E26" s="424"/>
      <c r="F26" s="427"/>
      <c r="G26" s="418"/>
      <c r="I26" s="80"/>
      <c r="M26" s="416"/>
      <c r="N26" s="421"/>
      <c r="O26" s="417"/>
      <c r="P26" s="424"/>
      <c r="Q26" s="427"/>
      <c r="R26" s="418"/>
    </row>
    <row r="27" spans="2:18" ht="15" thickBot="1">
      <c r="B27" s="893" t="s">
        <v>21</v>
      </c>
      <c r="C27" s="894"/>
      <c r="D27" s="894"/>
      <c r="E27" s="894"/>
      <c r="F27" s="430">
        <f>SUM(F19:F22)</f>
        <v>31</v>
      </c>
      <c r="G27" s="429">
        <f>SUM(G19:G26)</f>
        <v>488.95233333333334</v>
      </c>
      <c r="L27" s="80"/>
      <c r="M27" s="893" t="s">
        <v>21</v>
      </c>
      <c r="N27" s="894"/>
      <c r="O27" s="894"/>
      <c r="P27" s="894"/>
      <c r="Q27" s="430">
        <f>SUM(Q19:Q24)</f>
        <v>84</v>
      </c>
      <c r="R27" s="429">
        <f>SUM(R19:R26)</f>
        <v>0</v>
      </c>
    </row>
    <row r="28" spans="2:18">
      <c r="B28" s="110"/>
      <c r="C28" s="110"/>
      <c r="D28" s="110"/>
      <c r="E28" s="110"/>
      <c r="F28" s="126"/>
      <c r="G28" s="127"/>
      <c r="L28" s="80"/>
    </row>
    <row r="29" spans="2:18" ht="15.6">
      <c r="B29" s="889" t="s">
        <v>277</v>
      </c>
      <c r="C29" s="889"/>
      <c r="D29" s="889"/>
      <c r="E29" s="889"/>
      <c r="F29" s="10"/>
    </row>
    <row r="30" spans="2:18" ht="7.5" customHeight="1">
      <c r="B30" s="10"/>
      <c r="C30" s="10"/>
      <c r="D30" s="10"/>
      <c r="E30" s="10"/>
      <c r="F30" s="10"/>
    </row>
    <row r="31" spans="2:18">
      <c r="B31" s="431" t="s">
        <v>86</v>
      </c>
      <c r="C31" s="431" t="s">
        <v>87</v>
      </c>
      <c r="D31" s="431" t="s">
        <v>117</v>
      </c>
      <c r="E31" s="431" t="s">
        <v>87</v>
      </c>
      <c r="F31" s="10"/>
    </row>
    <row r="32" spans="2:18">
      <c r="B32" s="11" t="s">
        <v>88</v>
      </c>
      <c r="C32" s="12">
        <v>700</v>
      </c>
      <c r="D32" s="441" t="s">
        <v>188</v>
      </c>
      <c r="E32" s="12">
        <f>+SUM(C32:C34)*9.45%</f>
        <v>115.46766</v>
      </c>
      <c r="F32" s="10"/>
    </row>
    <row r="33" spans="2:15">
      <c r="B33" s="11" t="s">
        <v>89</v>
      </c>
      <c r="C33" s="12">
        <v>21.88</v>
      </c>
      <c r="D33" s="10" t="s">
        <v>415</v>
      </c>
      <c r="E33" s="12">
        <v>0</v>
      </c>
      <c r="F33" s="10"/>
      <c r="H33" s="34">
        <f>1200-C32</f>
        <v>500</v>
      </c>
      <c r="J33" s="80">
        <f>+SUM(C32:C34)</f>
        <v>1221.8800000000001</v>
      </c>
    </row>
    <row r="34" spans="2:15">
      <c r="B34" s="11" t="s">
        <v>57</v>
      </c>
      <c r="C34" s="12">
        <v>500</v>
      </c>
      <c r="D34" s="11"/>
      <c r="E34" s="12">
        <v>360</v>
      </c>
      <c r="F34" s="10"/>
      <c r="H34">
        <f>+ROUND(H33*9.45%,2)</f>
        <v>47.25</v>
      </c>
      <c r="J34" s="34">
        <f>+J33*9.45%</f>
        <v>115.46766</v>
      </c>
      <c r="L34" s="80"/>
    </row>
    <row r="35" spans="2:15">
      <c r="B35" s="11" t="s">
        <v>91</v>
      </c>
      <c r="C35" s="12">
        <v>0</v>
      </c>
      <c r="D35" s="11"/>
      <c r="E35" s="12"/>
      <c r="F35" s="10"/>
      <c r="H35">
        <f>+ROUND(H33*12.15%,2)</f>
        <v>60.75</v>
      </c>
    </row>
    <row r="36" spans="2:15">
      <c r="B36" s="11" t="s">
        <v>5</v>
      </c>
      <c r="C36" s="12">
        <v>0</v>
      </c>
      <c r="D36" s="11"/>
      <c r="E36" s="12"/>
      <c r="F36" s="10"/>
      <c r="H36" s="34">
        <f>+H33*8.33%</f>
        <v>41.65</v>
      </c>
      <c r="L36" s="80"/>
    </row>
    <row r="37" spans="2:15">
      <c r="B37" s="11" t="s">
        <v>189</v>
      </c>
      <c r="C37" s="12">
        <v>0</v>
      </c>
      <c r="D37" s="11"/>
      <c r="E37" s="12"/>
      <c r="F37" s="10"/>
    </row>
    <row r="38" spans="2:15">
      <c r="B38" s="11" t="s">
        <v>92</v>
      </c>
      <c r="C38" s="12">
        <v>0</v>
      </c>
      <c r="D38" s="11"/>
      <c r="E38" s="12"/>
      <c r="F38" s="10"/>
      <c r="H38" s="80">
        <f>+SUM(H34:H36)</f>
        <v>149.65</v>
      </c>
    </row>
    <row r="39" spans="2:15">
      <c r="B39" s="11" t="s">
        <v>93</v>
      </c>
      <c r="C39" s="12">
        <v>0</v>
      </c>
      <c r="D39" s="11"/>
      <c r="E39" s="12"/>
      <c r="F39" s="10"/>
      <c r="I39" s="80"/>
    </row>
    <row r="40" spans="2:15">
      <c r="B40" s="11" t="s">
        <v>14</v>
      </c>
      <c r="C40" s="12">
        <f>+((C32+C33+C34)*8.33%)</f>
        <v>101.78260400000001</v>
      </c>
      <c r="D40" s="11"/>
      <c r="E40" s="12"/>
      <c r="F40" s="10"/>
      <c r="L40" s="34"/>
    </row>
    <row r="41" spans="2:15">
      <c r="B41" s="11" t="s">
        <v>44</v>
      </c>
      <c r="C41" s="12">
        <v>0</v>
      </c>
      <c r="D41" s="11"/>
      <c r="E41" s="12"/>
      <c r="F41" s="10"/>
    </row>
    <row r="42" spans="2:15" ht="15" thickBot="1">
      <c r="B42" s="432" t="s">
        <v>94</v>
      </c>
      <c r="C42" s="433">
        <v>0</v>
      </c>
      <c r="D42" s="432"/>
      <c r="E42" s="433"/>
      <c r="F42" s="10"/>
    </row>
    <row r="43" spans="2:15" ht="15" thickBot="1">
      <c r="B43" s="434" t="s">
        <v>190</v>
      </c>
      <c r="C43" s="435">
        <f>SUM(C32:C42)</f>
        <v>1323.6626040000001</v>
      </c>
      <c r="D43" s="436" t="s">
        <v>95</v>
      </c>
      <c r="E43" s="438">
        <f>SUM(E32:E42)</f>
        <v>475.46766000000002</v>
      </c>
      <c r="F43" s="364"/>
      <c r="G43" s="34">
        <v>1186.55</v>
      </c>
      <c r="K43" s="80"/>
      <c r="L43" s="400"/>
    </row>
    <row r="44" spans="2:15">
      <c r="B44" s="113"/>
      <c r="C44" s="113"/>
      <c r="D44" s="437" t="s">
        <v>96</v>
      </c>
      <c r="E44" s="439">
        <f>+C43-E43</f>
        <v>848.19494400000008</v>
      </c>
      <c r="F44" s="263"/>
      <c r="G44" s="80">
        <f>+G43-E44</f>
        <v>338.35505599999988</v>
      </c>
      <c r="O44" s="80"/>
    </row>
    <row r="46" spans="2:15">
      <c r="E46" s="80"/>
    </row>
    <row r="47" spans="2:15">
      <c r="K47">
        <v>602.89</v>
      </c>
      <c r="L47" s="80"/>
    </row>
    <row r="49" spans="2:9" hidden="1"/>
    <row r="50" spans="2:9" hidden="1">
      <c r="B50" s="431" t="s">
        <v>86</v>
      </c>
      <c r="C50" s="431" t="s">
        <v>87</v>
      </c>
      <c r="D50" s="431" t="s">
        <v>117</v>
      </c>
      <c r="E50" s="431" t="s">
        <v>87</v>
      </c>
    </row>
    <row r="51" spans="2:9" hidden="1">
      <c r="B51" s="11" t="s">
        <v>88</v>
      </c>
      <c r="C51" s="12">
        <v>1200</v>
      </c>
      <c r="D51" s="441" t="s">
        <v>188</v>
      </c>
      <c r="E51" s="12">
        <f>+((C51*9.45%))</f>
        <v>113.39999999999998</v>
      </c>
    </row>
    <row r="52" spans="2:9" hidden="1">
      <c r="B52" s="11" t="s">
        <v>89</v>
      </c>
      <c r="C52" s="12">
        <v>0</v>
      </c>
      <c r="D52" s="10" t="s">
        <v>415</v>
      </c>
      <c r="E52" s="12">
        <v>36</v>
      </c>
    </row>
    <row r="53" spans="2:9" hidden="1">
      <c r="B53" s="11" t="s">
        <v>57</v>
      </c>
      <c r="C53" s="12">
        <v>0</v>
      </c>
      <c r="D53" s="11"/>
      <c r="E53" s="12">
        <v>0</v>
      </c>
    </row>
    <row r="54" spans="2:9" hidden="1">
      <c r="B54" s="11" t="s">
        <v>91</v>
      </c>
      <c r="C54" s="12">
        <v>0</v>
      </c>
      <c r="D54" s="11"/>
      <c r="E54" s="12"/>
    </row>
    <row r="55" spans="2:9" hidden="1">
      <c r="B55" s="11" t="s">
        <v>5</v>
      </c>
      <c r="C55" s="12">
        <v>0</v>
      </c>
      <c r="D55" s="11"/>
      <c r="E55" s="12"/>
    </row>
    <row r="56" spans="2:9" hidden="1">
      <c r="B56" s="11" t="s">
        <v>189</v>
      </c>
      <c r="C56" s="12">
        <v>0</v>
      </c>
      <c r="D56" s="11"/>
      <c r="E56" s="12"/>
    </row>
    <row r="57" spans="2:9" hidden="1">
      <c r="B57" s="11" t="s">
        <v>92</v>
      </c>
      <c r="C57" s="12">
        <v>0</v>
      </c>
      <c r="D57" s="11"/>
      <c r="E57" s="12"/>
    </row>
    <row r="58" spans="2:9" hidden="1">
      <c r="B58" s="11" t="s">
        <v>93</v>
      </c>
      <c r="C58" s="12">
        <v>0</v>
      </c>
      <c r="D58" s="11"/>
      <c r="E58" s="12"/>
    </row>
    <row r="59" spans="2:9" hidden="1">
      <c r="B59" s="11" t="s">
        <v>14</v>
      </c>
      <c r="C59" s="12">
        <f>+(C51*8.33%)</f>
        <v>99.96</v>
      </c>
      <c r="D59" s="11"/>
      <c r="E59" s="12"/>
    </row>
    <row r="60" spans="2:9" hidden="1">
      <c r="B60" s="11" t="s">
        <v>44</v>
      </c>
      <c r="C60" s="12">
        <v>0</v>
      </c>
      <c r="D60" s="11"/>
      <c r="E60" s="12"/>
    </row>
    <row r="61" spans="2:9" hidden="1">
      <c r="B61" s="432" t="s">
        <v>94</v>
      </c>
      <c r="C61" s="433">
        <v>0</v>
      </c>
      <c r="D61" s="432"/>
      <c r="E61" s="433"/>
    </row>
    <row r="62" spans="2:9" ht="15" hidden="1" thickBot="1">
      <c r="B62" s="434" t="s">
        <v>190</v>
      </c>
      <c r="C62" s="435">
        <f>SUM(C51:C61)</f>
        <v>1299.96</v>
      </c>
      <c r="D62" s="436" t="s">
        <v>95</v>
      </c>
      <c r="E62" s="438">
        <f>SUM(E51:E61)</f>
        <v>149.39999999999998</v>
      </c>
    </row>
    <row r="63" spans="2:9" hidden="1">
      <c r="B63" s="113"/>
      <c r="C63" s="113"/>
      <c r="D63" s="437" t="s">
        <v>96</v>
      </c>
      <c r="E63" s="439">
        <f>+C62-E62</f>
        <v>1150.56</v>
      </c>
      <c r="I63" s="80">
        <f>+E63-E44</f>
        <v>302.36505599999987</v>
      </c>
    </row>
    <row r="64" spans="2:9" hidden="1"/>
    <row r="65" hidden="1"/>
  </sheetData>
  <mergeCells count="19">
    <mergeCell ref="B15:C15"/>
    <mergeCell ref="C8:D8"/>
    <mergeCell ref="C9:D9"/>
    <mergeCell ref="C10:D10"/>
    <mergeCell ref="C11:D11"/>
    <mergeCell ref="B14:C14"/>
    <mergeCell ref="B29:E29"/>
    <mergeCell ref="N17:O17"/>
    <mergeCell ref="P17:P18"/>
    <mergeCell ref="Q17:Q18"/>
    <mergeCell ref="R17:R18"/>
    <mergeCell ref="B27:E27"/>
    <mergeCell ref="M27:P27"/>
    <mergeCell ref="B17:B18"/>
    <mergeCell ref="C17:D17"/>
    <mergeCell ref="E17:E18"/>
    <mergeCell ref="F17:F18"/>
    <mergeCell ref="G17:G18"/>
    <mergeCell ref="M17:M18"/>
  </mergeCells>
  <pageMargins left="0.31" right="0.12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FD01-AC7B-428D-9F25-D572892DBD7B}">
  <sheetPr codeName="Hoja23"/>
  <dimension ref="B2:R47"/>
  <sheetViews>
    <sheetView topLeftCell="A25" workbookViewId="0">
      <selection activeCell="C37" sqref="C37"/>
    </sheetView>
  </sheetViews>
  <sheetFormatPr baseColWidth="10" defaultRowHeight="14.4"/>
  <cols>
    <col min="1" max="1" width="3.88671875" customWidth="1"/>
    <col min="2" max="2" width="24.33203125" bestFit="1" customWidth="1"/>
    <col min="3" max="3" width="9.5546875" bestFit="1" customWidth="1"/>
    <col min="4" max="4" width="20.109375" customWidth="1"/>
    <col min="5" max="5" width="10.33203125" bestFit="1" customWidth="1"/>
    <col min="6" max="6" width="9.5546875" bestFit="1" customWidth="1"/>
    <col min="7" max="7" width="10" customWidth="1"/>
    <col min="8" max="8" width="9.6640625" bestFit="1" customWidth="1"/>
    <col min="10" max="10" width="9.5546875" bestFit="1" customWidth="1"/>
    <col min="11" max="11" width="10" bestFit="1" customWidth="1"/>
    <col min="12" max="12" width="9.33203125" customWidth="1"/>
  </cols>
  <sheetData>
    <row r="2" spans="2:9" ht="6" customHeight="1"/>
    <row r="5" spans="2:9" ht="3.75" customHeight="1"/>
    <row r="6" spans="2:9" ht="9" customHeight="1"/>
    <row r="7" spans="2:9" ht="9" customHeight="1"/>
    <row r="8" spans="2:9" ht="19.95" customHeight="1">
      <c r="B8" s="409" t="s">
        <v>167</v>
      </c>
      <c r="C8" s="895" t="s">
        <v>280</v>
      </c>
      <c r="D8" s="895"/>
      <c r="F8" s="440" t="s">
        <v>168</v>
      </c>
      <c r="G8" s="117">
        <v>45850</v>
      </c>
    </row>
    <row r="9" spans="2:9">
      <c r="B9" s="409" t="s">
        <v>169</v>
      </c>
      <c r="C9" s="885">
        <v>45762</v>
      </c>
      <c r="D9" s="885"/>
      <c r="F9" s="440" t="s">
        <v>170</v>
      </c>
      <c r="G9" s="118">
        <v>45869</v>
      </c>
    </row>
    <row r="10" spans="2:9">
      <c r="B10" s="409" t="s">
        <v>171</v>
      </c>
      <c r="C10" s="886">
        <v>473.88</v>
      </c>
      <c r="D10" s="886"/>
      <c r="F10" s="440" t="s">
        <v>172</v>
      </c>
      <c r="G10" s="119">
        <f>+_xlfn.DAYS(G9,G8)+1</f>
        <v>20</v>
      </c>
      <c r="I10" s="120"/>
    </row>
    <row r="11" spans="2:9">
      <c r="B11" s="409" t="s">
        <v>173</v>
      </c>
      <c r="C11" s="827" t="s">
        <v>409</v>
      </c>
      <c r="D11" s="827"/>
    </row>
    <row r="12" spans="2:9" ht="14.4" customHeight="1"/>
    <row r="13" spans="2:9">
      <c r="B13" s="51" t="s">
        <v>175</v>
      </c>
      <c r="I13" s="648"/>
    </row>
    <row r="14" spans="2:9">
      <c r="B14" s="883" t="s">
        <v>176</v>
      </c>
      <c r="C14" s="883"/>
      <c r="D14" s="34">
        <f>+C10/30</f>
        <v>15.795999999999999</v>
      </c>
      <c r="E14" s="17" t="s">
        <v>177</v>
      </c>
      <c r="F14" s="120">
        <f>+C10/30</f>
        <v>15.795999999999999</v>
      </c>
      <c r="I14" s="34"/>
    </row>
    <row r="15" spans="2:9">
      <c r="B15" s="883" t="s">
        <v>178</v>
      </c>
      <c r="C15" s="883"/>
      <c r="D15" s="34">
        <f>+D14*25%</f>
        <v>3.9489999999999998</v>
      </c>
      <c r="E15" s="17" t="s">
        <v>179</v>
      </c>
      <c r="F15" s="120">
        <f>+F14*25%</f>
        <v>3.9489999999999998</v>
      </c>
      <c r="G15">
        <f>+F14*75%</f>
        <v>11.847</v>
      </c>
    </row>
    <row r="16" spans="2:9" ht="18" customHeight="1" thickBot="1">
      <c r="H16" s="648"/>
    </row>
    <row r="17" spans="2:18" ht="16.2" thickBot="1">
      <c r="B17" s="890" t="s">
        <v>180</v>
      </c>
      <c r="C17" s="892" t="s">
        <v>181</v>
      </c>
      <c r="D17" s="887"/>
      <c r="E17" s="890" t="s">
        <v>259</v>
      </c>
      <c r="F17" s="890" t="s">
        <v>183</v>
      </c>
      <c r="G17" s="887" t="s">
        <v>184</v>
      </c>
      <c r="M17" s="890" t="s">
        <v>180</v>
      </c>
      <c r="N17" s="892" t="s">
        <v>181</v>
      </c>
      <c r="O17" s="887"/>
      <c r="P17" s="890" t="s">
        <v>259</v>
      </c>
      <c r="Q17" s="890" t="s">
        <v>183</v>
      </c>
      <c r="R17" s="887" t="s">
        <v>184</v>
      </c>
    </row>
    <row r="18" spans="2:18" ht="16.2" thickBot="1">
      <c r="B18" s="891"/>
      <c r="C18" s="428" t="s">
        <v>185</v>
      </c>
      <c r="D18" s="428" t="s">
        <v>186</v>
      </c>
      <c r="E18" s="891"/>
      <c r="F18" s="891"/>
      <c r="G18" s="888"/>
      <c r="M18" s="891"/>
      <c r="N18" s="428" t="s">
        <v>185</v>
      </c>
      <c r="O18" s="428" t="s">
        <v>186</v>
      </c>
      <c r="P18" s="891"/>
      <c r="Q18" s="891"/>
      <c r="R18" s="888"/>
    </row>
    <row r="19" spans="2:18">
      <c r="B19" s="413">
        <v>1</v>
      </c>
      <c r="C19" s="419">
        <v>45839</v>
      </c>
      <c r="D19" s="414">
        <v>45849</v>
      </c>
      <c r="E19" s="422">
        <v>100</v>
      </c>
      <c r="F19" s="425">
        <v>11</v>
      </c>
      <c r="G19" s="410">
        <f>IF(E19=100,$F$14*F19,$F$15*F19)</f>
        <v>173.756</v>
      </c>
      <c r="M19" s="413">
        <v>1</v>
      </c>
      <c r="N19" s="419">
        <v>45593</v>
      </c>
      <c r="O19" s="414">
        <v>45596</v>
      </c>
      <c r="P19" s="422">
        <v>25</v>
      </c>
      <c r="Q19" s="425">
        <v>4</v>
      </c>
      <c r="R19" s="410">
        <f>+Q15*Q19</f>
        <v>0</v>
      </c>
    </row>
    <row r="20" spans="2:18">
      <c r="B20" s="413">
        <v>2</v>
      </c>
      <c r="C20" s="419">
        <v>45850</v>
      </c>
      <c r="D20" s="414">
        <v>45852</v>
      </c>
      <c r="E20" s="422">
        <v>100</v>
      </c>
      <c r="F20" s="425">
        <v>19</v>
      </c>
      <c r="G20" s="410">
        <f>IF(E20=100,$F$14*F20,$F$15*F20)</f>
        <v>300.12399999999997</v>
      </c>
      <c r="I20" s="34"/>
      <c r="K20" s="80"/>
      <c r="L20" s="80"/>
      <c r="M20" s="413">
        <v>2</v>
      </c>
      <c r="N20" s="419">
        <v>45597</v>
      </c>
      <c r="O20" s="414">
        <v>45626</v>
      </c>
      <c r="P20" s="422">
        <v>25</v>
      </c>
      <c r="Q20" s="425">
        <v>30</v>
      </c>
      <c r="R20" s="410">
        <f>+Q15*Q20</f>
        <v>0</v>
      </c>
    </row>
    <row r="21" spans="2:18">
      <c r="B21" s="413">
        <v>3</v>
      </c>
      <c r="C21" s="480"/>
      <c r="D21" s="481"/>
      <c r="E21" s="482">
        <v>0</v>
      </c>
      <c r="F21" s="425">
        <v>0</v>
      </c>
      <c r="G21" s="410">
        <f>IF(E21=100,$F$14*F21,$F$15*F21)</f>
        <v>0</v>
      </c>
      <c r="I21" s="34"/>
      <c r="L21" s="80"/>
      <c r="M21" s="479">
        <v>3</v>
      </c>
      <c r="N21" s="480">
        <v>45992</v>
      </c>
      <c r="O21" s="481">
        <v>45657</v>
      </c>
      <c r="P21" s="482">
        <v>25</v>
      </c>
      <c r="Q21" s="483">
        <v>31</v>
      </c>
      <c r="R21" s="484">
        <f>+Q21*Q15</f>
        <v>0</v>
      </c>
    </row>
    <row r="22" spans="2:18">
      <c r="B22" s="413">
        <v>4</v>
      </c>
      <c r="C22" s="485"/>
      <c r="D22" s="486"/>
      <c r="E22" s="487"/>
      <c r="F22" s="425"/>
      <c r="G22" s="410"/>
      <c r="H22" s="34"/>
      <c r="I22" s="80"/>
      <c r="M22" s="479">
        <v>4</v>
      </c>
      <c r="N22" s="485">
        <v>45658</v>
      </c>
      <c r="O22" s="486">
        <v>45676</v>
      </c>
      <c r="P22" s="487">
        <v>25</v>
      </c>
      <c r="Q22" s="488">
        <v>19</v>
      </c>
      <c r="R22" s="489">
        <f>+Q22*Q14</f>
        <v>0</v>
      </c>
    </row>
    <row r="23" spans="2:18">
      <c r="B23" s="413">
        <v>5</v>
      </c>
      <c r="C23" s="420"/>
      <c r="D23" s="415"/>
      <c r="E23" s="423"/>
      <c r="F23" s="721"/>
      <c r="G23" s="410"/>
      <c r="M23" s="412"/>
      <c r="N23" s="420"/>
      <c r="O23" s="415"/>
      <c r="P23" s="423"/>
      <c r="Q23" s="426"/>
      <c r="R23" s="411"/>
    </row>
    <row r="24" spans="2:18">
      <c r="B24" s="413">
        <v>6</v>
      </c>
      <c r="C24" s="420"/>
      <c r="D24" s="415"/>
      <c r="E24" s="423"/>
      <c r="F24" s="425"/>
      <c r="G24" s="410"/>
      <c r="H24" s="80"/>
      <c r="M24" s="412"/>
      <c r="N24" s="420"/>
      <c r="O24" s="415"/>
      <c r="P24" s="423"/>
      <c r="Q24" s="426"/>
      <c r="R24" s="411"/>
    </row>
    <row r="25" spans="2:18">
      <c r="B25" s="413">
        <v>7</v>
      </c>
      <c r="C25" s="420"/>
      <c r="D25" s="415"/>
      <c r="E25" s="423"/>
      <c r="F25" s="425"/>
      <c r="G25" s="410"/>
      <c r="M25" s="412"/>
      <c r="N25" s="420"/>
      <c r="O25" s="415"/>
      <c r="P25" s="423"/>
      <c r="Q25" s="426"/>
      <c r="R25" s="411"/>
    </row>
    <row r="26" spans="2:18" ht="15" thickBot="1">
      <c r="B26" s="413">
        <v>8</v>
      </c>
      <c r="C26" s="421"/>
      <c r="D26" s="417"/>
      <c r="E26" s="424"/>
      <c r="F26" s="425"/>
      <c r="G26" s="410"/>
      <c r="I26" s="80"/>
      <c r="M26" s="416"/>
      <c r="N26" s="421"/>
      <c r="O26" s="417"/>
      <c r="P26" s="424"/>
      <c r="Q26" s="427"/>
      <c r="R26" s="418"/>
    </row>
    <row r="27" spans="2:18" ht="15" thickBot="1">
      <c r="B27" s="893" t="s">
        <v>21</v>
      </c>
      <c r="C27" s="894"/>
      <c r="D27" s="894"/>
      <c r="E27" s="894"/>
      <c r="F27" s="430">
        <f>SUM(F19:F22)</f>
        <v>30</v>
      </c>
      <c r="G27" s="429">
        <f>SUM(G19:G26)</f>
        <v>473.88</v>
      </c>
      <c r="I27" s="80"/>
      <c r="L27" s="80"/>
      <c r="M27" s="893" t="s">
        <v>21</v>
      </c>
      <c r="N27" s="894"/>
      <c r="O27" s="894"/>
      <c r="P27" s="894"/>
      <c r="Q27" s="430">
        <f>SUM(Q19:Q24)</f>
        <v>84</v>
      </c>
      <c r="R27" s="429">
        <f>SUM(R19:R26)</f>
        <v>0</v>
      </c>
    </row>
    <row r="28" spans="2:18">
      <c r="B28" s="110"/>
      <c r="C28" s="110"/>
      <c r="D28" s="110"/>
      <c r="E28" s="110"/>
      <c r="F28" s="126"/>
      <c r="G28" s="127"/>
      <c r="L28" s="80"/>
    </row>
    <row r="29" spans="2:18" ht="15.6">
      <c r="B29" s="889" t="s">
        <v>410</v>
      </c>
      <c r="C29" s="889"/>
      <c r="D29" s="889"/>
      <c r="E29" s="889"/>
      <c r="F29" s="10"/>
    </row>
    <row r="30" spans="2:18" ht="7.5" customHeight="1">
      <c r="B30" s="10"/>
      <c r="C30" s="10"/>
      <c r="D30" s="10"/>
      <c r="E30" s="10"/>
      <c r="F30" s="10"/>
    </row>
    <row r="31" spans="2:18">
      <c r="B31" s="431" t="s">
        <v>86</v>
      </c>
      <c r="C31" s="431" t="s">
        <v>87</v>
      </c>
      <c r="D31" s="431" t="s">
        <v>117</v>
      </c>
      <c r="E31" s="431" t="s">
        <v>87</v>
      </c>
      <c r="F31" s="10"/>
    </row>
    <row r="32" spans="2:18">
      <c r="B32" s="11" t="s">
        <v>88</v>
      </c>
      <c r="C32" s="12">
        <f>+G19</f>
        <v>173.756</v>
      </c>
      <c r="D32" s="441" t="s">
        <v>188</v>
      </c>
      <c r="E32" s="12">
        <f>+((C10+C34+C33+C37+C39)*9.45%)</f>
        <v>51.596054999999993</v>
      </c>
      <c r="F32" s="10"/>
    </row>
    <row r="33" spans="2:15">
      <c r="B33" s="11" t="s">
        <v>89</v>
      </c>
      <c r="C33" s="12">
        <v>36.67</v>
      </c>
      <c r="D33" s="10" t="s">
        <v>90</v>
      </c>
      <c r="E33" s="12">
        <v>0</v>
      </c>
      <c r="F33" s="10"/>
    </row>
    <row r="34" spans="2:15">
      <c r="B34" s="11" t="s">
        <v>57</v>
      </c>
      <c r="C34" s="12">
        <v>10.3</v>
      </c>
      <c r="D34" s="11" t="s">
        <v>430</v>
      </c>
      <c r="E34" s="12"/>
      <c r="F34" s="10"/>
    </row>
    <row r="35" spans="2:15">
      <c r="B35" s="11" t="s">
        <v>91</v>
      </c>
      <c r="C35" s="12">
        <v>0</v>
      </c>
      <c r="D35" s="11"/>
      <c r="E35" s="12"/>
      <c r="F35" s="10"/>
    </row>
    <row r="36" spans="2:15">
      <c r="B36" s="11" t="s">
        <v>5</v>
      </c>
      <c r="C36" s="12">
        <v>0</v>
      </c>
      <c r="D36" s="11"/>
      <c r="E36" s="12"/>
      <c r="F36" s="10"/>
    </row>
    <row r="37" spans="2:15">
      <c r="B37" s="11" t="s">
        <v>189</v>
      </c>
      <c r="C37" s="12">
        <v>5</v>
      </c>
      <c r="D37" s="11"/>
      <c r="E37" s="12"/>
      <c r="F37" s="10"/>
    </row>
    <row r="38" spans="2:15">
      <c r="B38" s="11" t="s">
        <v>92</v>
      </c>
      <c r="C38" s="12">
        <v>0</v>
      </c>
      <c r="D38" s="11"/>
      <c r="E38" s="12"/>
      <c r="F38" s="10"/>
    </row>
    <row r="39" spans="2:15">
      <c r="B39" s="11" t="s">
        <v>93</v>
      </c>
      <c r="C39" s="12">
        <v>20.14</v>
      </c>
      <c r="D39" s="11"/>
      <c r="E39" s="12"/>
      <c r="F39" s="10"/>
      <c r="I39" s="80"/>
    </row>
    <row r="40" spans="2:15">
      <c r="B40" s="11" t="s">
        <v>14</v>
      </c>
      <c r="C40" s="12">
        <v>0</v>
      </c>
      <c r="D40" s="11"/>
      <c r="E40" s="12"/>
      <c r="F40" s="10"/>
    </row>
    <row r="41" spans="2:15">
      <c r="B41" s="11" t="s">
        <v>44</v>
      </c>
      <c r="C41" s="12">
        <v>0</v>
      </c>
      <c r="D41" s="11"/>
      <c r="E41" s="12"/>
      <c r="F41" s="10"/>
    </row>
    <row r="42" spans="2:15" ht="15" thickBot="1">
      <c r="B42" s="432" t="s">
        <v>94</v>
      </c>
      <c r="C42" s="433">
        <v>0</v>
      </c>
      <c r="D42" s="432"/>
      <c r="E42" s="433"/>
      <c r="F42" s="10"/>
    </row>
    <row r="43" spans="2:15" ht="15" thickBot="1">
      <c r="B43" s="434" t="s">
        <v>190</v>
      </c>
      <c r="C43" s="435">
        <f>SUM(C32:C42)</f>
        <v>245.86599999999999</v>
      </c>
      <c r="D43" s="436" t="s">
        <v>95</v>
      </c>
      <c r="E43" s="438">
        <f>SUM(E32:E42)</f>
        <v>51.596054999999993</v>
      </c>
      <c r="F43" s="364"/>
      <c r="G43" s="34">
        <v>494.39385445000005</v>
      </c>
      <c r="L43" s="400"/>
    </row>
    <row r="44" spans="2:15">
      <c r="B44" s="113"/>
      <c r="C44" s="113"/>
      <c r="D44" s="437" t="s">
        <v>96</v>
      </c>
      <c r="E44" s="439">
        <f>+C43-E43</f>
        <v>194.26994500000001</v>
      </c>
      <c r="F44" s="263"/>
      <c r="G44" s="80">
        <f>+G43-E44</f>
        <v>300.12390945000004</v>
      </c>
      <c r="O44" s="80"/>
    </row>
    <row r="45" spans="2:15">
      <c r="J45" s="34">
        <f>100/30</f>
        <v>3.3333333333333335</v>
      </c>
    </row>
    <row r="46" spans="2:15">
      <c r="J46" s="34">
        <f>+J45*11</f>
        <v>36.666666666666671</v>
      </c>
    </row>
    <row r="47" spans="2:15">
      <c r="L47" s="80"/>
    </row>
  </sheetData>
  <mergeCells count="19">
    <mergeCell ref="B29:E29"/>
    <mergeCell ref="N17:O17"/>
    <mergeCell ref="P17:P18"/>
    <mergeCell ref="Q17:Q18"/>
    <mergeCell ref="R17:R18"/>
    <mergeCell ref="B27:E27"/>
    <mergeCell ref="M27:P27"/>
    <mergeCell ref="B17:B18"/>
    <mergeCell ref="C17:D17"/>
    <mergeCell ref="E17:E18"/>
    <mergeCell ref="F17:F18"/>
    <mergeCell ref="G17:G18"/>
    <mergeCell ref="M17:M18"/>
    <mergeCell ref="B15:C15"/>
    <mergeCell ref="C8:D8"/>
    <mergeCell ref="C9:D9"/>
    <mergeCell ref="C10:D10"/>
    <mergeCell ref="C11:D11"/>
    <mergeCell ref="B14:C14"/>
  </mergeCells>
  <pageMargins left="0.31" right="0.12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C729-E9EF-422B-A8AC-8BDD5C430F94}">
  <sheetPr codeName="Hoja25"/>
  <dimension ref="B2:R47"/>
  <sheetViews>
    <sheetView topLeftCell="A22" workbookViewId="0">
      <selection activeCell="G37" sqref="G37"/>
    </sheetView>
  </sheetViews>
  <sheetFormatPr baseColWidth="10" defaultRowHeight="14.4"/>
  <cols>
    <col min="1" max="1" width="3.88671875" customWidth="1"/>
    <col min="2" max="2" width="24.33203125" bestFit="1" customWidth="1"/>
    <col min="3" max="3" width="9.5546875" bestFit="1" customWidth="1"/>
    <col min="4" max="4" width="20.109375" customWidth="1"/>
    <col min="5" max="5" width="10.33203125" bestFit="1" customWidth="1"/>
    <col min="6" max="6" width="9.5546875" bestFit="1" customWidth="1"/>
    <col min="7" max="7" width="10" customWidth="1"/>
    <col min="8" max="8" width="9.6640625" bestFit="1" customWidth="1"/>
    <col min="10" max="10" width="9.5546875" bestFit="1" customWidth="1"/>
    <col min="11" max="11" width="10" bestFit="1" customWidth="1"/>
    <col min="12" max="12" width="9.33203125" customWidth="1"/>
  </cols>
  <sheetData>
    <row r="2" spans="2:9" ht="6" customHeight="1"/>
    <row r="5" spans="2:9" ht="3.75" customHeight="1"/>
    <row r="6" spans="2:9" ht="9" customHeight="1"/>
    <row r="7" spans="2:9" ht="9" customHeight="1"/>
    <row r="8" spans="2:9" ht="19.95" customHeight="1">
      <c r="B8" s="409" t="s">
        <v>167</v>
      </c>
      <c r="C8" s="895" t="s">
        <v>432</v>
      </c>
      <c r="D8" s="895"/>
      <c r="F8" s="440" t="s">
        <v>168</v>
      </c>
      <c r="G8" s="117">
        <v>45850</v>
      </c>
    </row>
    <row r="9" spans="2:9">
      <c r="B9" s="409" t="s">
        <v>169</v>
      </c>
      <c r="C9" s="885">
        <v>43074</v>
      </c>
      <c r="D9" s="885"/>
      <c r="F9" s="440" t="s">
        <v>170</v>
      </c>
      <c r="G9" s="118">
        <v>45869</v>
      </c>
    </row>
    <row r="10" spans="2:9">
      <c r="B10" s="409" t="s">
        <v>171</v>
      </c>
      <c r="C10" s="886">
        <v>766.65</v>
      </c>
      <c r="D10" s="886"/>
      <c r="F10" s="440" t="s">
        <v>172</v>
      </c>
      <c r="G10" s="119">
        <f>+_xlfn.DAYS(G9,G8)+1</f>
        <v>20</v>
      </c>
      <c r="I10" s="120"/>
    </row>
    <row r="11" spans="2:9">
      <c r="B11" s="409" t="s">
        <v>173</v>
      </c>
      <c r="C11" s="827" t="s">
        <v>409</v>
      </c>
      <c r="D11" s="827"/>
    </row>
    <row r="12" spans="2:9" ht="14.4" customHeight="1"/>
    <row r="13" spans="2:9">
      <c r="B13" s="51" t="s">
        <v>175</v>
      </c>
      <c r="I13" s="648"/>
    </row>
    <row r="14" spans="2:9">
      <c r="B14" s="883" t="s">
        <v>176</v>
      </c>
      <c r="C14" s="883"/>
      <c r="D14" s="34">
        <f>+C10/30</f>
        <v>25.555</v>
      </c>
      <c r="E14" s="17" t="s">
        <v>177</v>
      </c>
      <c r="F14" s="120">
        <f>+C10/30</f>
        <v>25.555</v>
      </c>
      <c r="I14" s="34"/>
    </row>
    <row r="15" spans="2:9">
      <c r="B15" s="883" t="s">
        <v>178</v>
      </c>
      <c r="C15" s="883"/>
      <c r="D15" s="34">
        <f>+D14*25%</f>
        <v>6.3887499999999999</v>
      </c>
      <c r="E15" s="17" t="s">
        <v>179</v>
      </c>
      <c r="F15" s="120">
        <f>+F14*25%</f>
        <v>6.3887499999999999</v>
      </c>
      <c r="G15">
        <f>+F14*75%</f>
        <v>19.166249999999998</v>
      </c>
    </row>
    <row r="16" spans="2:9" ht="18" customHeight="1" thickBot="1">
      <c r="H16" s="648"/>
    </row>
    <row r="17" spans="2:18" ht="16.2" thickBot="1">
      <c r="B17" s="890" t="s">
        <v>180</v>
      </c>
      <c r="C17" s="892" t="s">
        <v>181</v>
      </c>
      <c r="D17" s="887"/>
      <c r="E17" s="890" t="s">
        <v>259</v>
      </c>
      <c r="F17" s="890" t="s">
        <v>183</v>
      </c>
      <c r="G17" s="887" t="s">
        <v>184</v>
      </c>
      <c r="M17" s="890" t="s">
        <v>180</v>
      </c>
      <c r="N17" s="892" t="s">
        <v>181</v>
      </c>
      <c r="O17" s="887"/>
      <c r="P17" s="890" t="s">
        <v>259</v>
      </c>
      <c r="Q17" s="890" t="s">
        <v>183</v>
      </c>
      <c r="R17" s="887" t="s">
        <v>184</v>
      </c>
    </row>
    <row r="18" spans="2:18" ht="16.2" thickBot="1">
      <c r="B18" s="891"/>
      <c r="C18" s="428" t="s">
        <v>185</v>
      </c>
      <c r="D18" s="428" t="s">
        <v>186</v>
      </c>
      <c r="E18" s="891"/>
      <c r="F18" s="891"/>
      <c r="G18" s="888"/>
      <c r="M18" s="891"/>
      <c r="N18" s="428" t="s">
        <v>185</v>
      </c>
      <c r="O18" s="428" t="s">
        <v>186</v>
      </c>
      <c r="P18" s="891"/>
      <c r="Q18" s="891"/>
      <c r="R18" s="888"/>
    </row>
    <row r="19" spans="2:18">
      <c r="B19" s="413">
        <v>1</v>
      </c>
      <c r="C19" s="419">
        <v>45839</v>
      </c>
      <c r="D19" s="414">
        <v>45849</v>
      </c>
      <c r="E19" s="422">
        <v>100</v>
      </c>
      <c r="F19" s="425">
        <v>19</v>
      </c>
      <c r="G19" s="410">
        <f>IF(E19=100,$F$14*F19,$F$15*F19)</f>
        <v>485.54500000000002</v>
      </c>
      <c r="M19" s="413">
        <v>1</v>
      </c>
      <c r="N19" s="419">
        <v>45593</v>
      </c>
      <c r="O19" s="414">
        <v>45596</v>
      </c>
      <c r="P19" s="422">
        <v>25</v>
      </c>
      <c r="Q19" s="425">
        <v>4</v>
      </c>
      <c r="R19" s="410">
        <f>+Q15*Q19</f>
        <v>0</v>
      </c>
    </row>
    <row r="20" spans="2:18">
      <c r="B20" s="413">
        <v>2</v>
      </c>
      <c r="C20" s="419">
        <v>45850</v>
      </c>
      <c r="D20" s="414">
        <v>45852</v>
      </c>
      <c r="E20" s="422">
        <v>0</v>
      </c>
      <c r="F20" s="425">
        <v>0</v>
      </c>
      <c r="G20" s="410">
        <f>IF(E20=100,$F$14*F20,$F$15*F20)</f>
        <v>0</v>
      </c>
      <c r="I20" s="34"/>
      <c r="K20" s="80"/>
      <c r="L20" s="80"/>
      <c r="M20" s="413">
        <v>2</v>
      </c>
      <c r="N20" s="419">
        <v>45597</v>
      </c>
      <c r="O20" s="414">
        <v>45626</v>
      </c>
      <c r="P20" s="422">
        <v>25</v>
      </c>
      <c r="Q20" s="425">
        <v>30</v>
      </c>
      <c r="R20" s="410">
        <f>+Q15*Q20</f>
        <v>0</v>
      </c>
    </row>
    <row r="21" spans="2:18">
      <c r="B21" s="413">
        <v>3</v>
      </c>
      <c r="C21" s="480"/>
      <c r="D21" s="481"/>
      <c r="E21" s="482">
        <v>0</v>
      </c>
      <c r="F21" s="425">
        <v>0</v>
      </c>
      <c r="G21" s="410">
        <f>IF(E21=100,$F$14*F21,$F$15*F21)</f>
        <v>0</v>
      </c>
      <c r="I21" s="34"/>
      <c r="L21" s="80"/>
      <c r="M21" s="479">
        <v>3</v>
      </c>
      <c r="N21" s="480">
        <v>45992</v>
      </c>
      <c r="O21" s="481">
        <v>45657</v>
      </c>
      <c r="P21" s="482">
        <v>25</v>
      </c>
      <c r="Q21" s="483">
        <v>31</v>
      </c>
      <c r="R21" s="484">
        <f>+Q21*Q15</f>
        <v>0</v>
      </c>
    </row>
    <row r="22" spans="2:18">
      <c r="B22" s="413">
        <v>4</v>
      </c>
      <c r="C22" s="485"/>
      <c r="D22" s="486"/>
      <c r="E22" s="487"/>
      <c r="F22" s="425"/>
      <c r="G22" s="410"/>
      <c r="H22" s="34"/>
      <c r="I22" s="80"/>
      <c r="M22" s="479">
        <v>4</v>
      </c>
      <c r="N22" s="485">
        <v>45658</v>
      </c>
      <c r="O22" s="486">
        <v>45676</v>
      </c>
      <c r="P22" s="487">
        <v>25</v>
      </c>
      <c r="Q22" s="488">
        <v>19</v>
      </c>
      <c r="R22" s="489">
        <f>+Q22*Q14</f>
        <v>0</v>
      </c>
    </row>
    <row r="23" spans="2:18">
      <c r="B23" s="413">
        <v>5</v>
      </c>
      <c r="C23" s="420"/>
      <c r="D23" s="415"/>
      <c r="E23" s="423"/>
      <c r="F23" s="721"/>
      <c r="G23" s="410"/>
      <c r="M23" s="412"/>
      <c r="N23" s="420"/>
      <c r="O23" s="415"/>
      <c r="P23" s="423"/>
      <c r="Q23" s="426"/>
      <c r="R23" s="411"/>
    </row>
    <row r="24" spans="2:18">
      <c r="B24" s="413">
        <v>6</v>
      </c>
      <c r="C24" s="420"/>
      <c r="D24" s="415"/>
      <c r="E24" s="423"/>
      <c r="F24" s="425"/>
      <c r="G24" s="410"/>
      <c r="H24" s="80"/>
      <c r="M24" s="412"/>
      <c r="N24" s="420"/>
      <c r="O24" s="415"/>
      <c r="P24" s="423"/>
      <c r="Q24" s="426"/>
      <c r="R24" s="411"/>
    </row>
    <row r="25" spans="2:18">
      <c r="B25" s="413">
        <v>7</v>
      </c>
      <c r="C25" s="420"/>
      <c r="D25" s="415"/>
      <c r="E25" s="423"/>
      <c r="F25" s="425"/>
      <c r="G25" s="410"/>
      <c r="M25" s="412"/>
      <c r="N25" s="420"/>
      <c r="O25" s="415"/>
      <c r="P25" s="423"/>
      <c r="Q25" s="426"/>
      <c r="R25" s="411"/>
    </row>
    <row r="26" spans="2:18" ht="15" thickBot="1">
      <c r="B26" s="413">
        <v>8</v>
      </c>
      <c r="C26" s="421"/>
      <c r="D26" s="417"/>
      <c r="E26" s="424"/>
      <c r="F26" s="425"/>
      <c r="G26" s="410"/>
      <c r="I26" s="80"/>
      <c r="M26" s="416"/>
      <c r="N26" s="421"/>
      <c r="O26" s="417"/>
      <c r="P26" s="424"/>
      <c r="Q26" s="427"/>
      <c r="R26" s="418"/>
    </row>
    <row r="27" spans="2:18" ht="15" thickBot="1">
      <c r="B27" s="893" t="s">
        <v>21</v>
      </c>
      <c r="C27" s="894"/>
      <c r="D27" s="894"/>
      <c r="E27" s="894"/>
      <c r="F27" s="430">
        <f>SUM(F19:F22)</f>
        <v>19</v>
      </c>
      <c r="G27" s="429">
        <f>SUM(G19:G26)</f>
        <v>485.54500000000002</v>
      </c>
      <c r="I27" s="80"/>
      <c r="L27" s="80"/>
      <c r="M27" s="893" t="s">
        <v>21</v>
      </c>
      <c r="N27" s="894"/>
      <c r="O27" s="894"/>
      <c r="P27" s="894"/>
      <c r="Q27" s="430">
        <f>SUM(Q19:Q24)</f>
        <v>84</v>
      </c>
      <c r="R27" s="429">
        <f>SUM(R19:R26)</f>
        <v>0</v>
      </c>
    </row>
    <row r="28" spans="2:18">
      <c r="B28" s="110"/>
      <c r="C28" s="110"/>
      <c r="D28" s="110"/>
      <c r="E28" s="110"/>
      <c r="F28" s="126"/>
      <c r="G28" s="127"/>
      <c r="L28" s="80"/>
    </row>
    <row r="29" spans="2:18" ht="15.6">
      <c r="B29" s="889" t="s">
        <v>410</v>
      </c>
      <c r="C29" s="889"/>
      <c r="D29" s="889"/>
      <c r="E29" s="889"/>
      <c r="F29" s="10"/>
    </row>
    <row r="30" spans="2:18" ht="7.5" customHeight="1">
      <c r="B30" s="10"/>
      <c r="C30" s="10"/>
      <c r="D30" s="10"/>
      <c r="E30" s="10"/>
      <c r="F30" s="10"/>
    </row>
    <row r="31" spans="2:18">
      <c r="B31" s="431" t="s">
        <v>86</v>
      </c>
      <c r="C31" s="431" t="s">
        <v>87</v>
      </c>
      <c r="D31" s="431" t="s">
        <v>117</v>
      </c>
      <c r="E31" s="431" t="s">
        <v>87</v>
      </c>
      <c r="F31" s="10"/>
    </row>
    <row r="32" spans="2:18">
      <c r="B32" s="11" t="s">
        <v>88</v>
      </c>
      <c r="C32" s="12">
        <f>+G19</f>
        <v>485.54500000000002</v>
      </c>
      <c r="D32" s="441" t="s">
        <v>188</v>
      </c>
      <c r="E32" s="12">
        <f>+((C10+C34+C33+C37+C39+C35)*9.45%)</f>
        <v>78.748739999999984</v>
      </c>
      <c r="F32" s="10"/>
    </row>
    <row r="33" spans="2:15">
      <c r="B33" s="11" t="s">
        <v>89</v>
      </c>
      <c r="C33" s="12"/>
      <c r="D33" s="10" t="s">
        <v>90</v>
      </c>
      <c r="E33" s="12">
        <v>0</v>
      </c>
      <c r="F33" s="10"/>
    </row>
    <row r="34" spans="2:15">
      <c r="B34" s="11" t="s">
        <v>57</v>
      </c>
      <c r="C34" s="12">
        <v>16.670000000000002</v>
      </c>
      <c r="D34" s="11" t="s">
        <v>430</v>
      </c>
      <c r="E34" s="12"/>
      <c r="F34" s="10"/>
    </row>
    <row r="35" spans="2:15">
      <c r="B35" s="11" t="s">
        <v>91</v>
      </c>
      <c r="C35" s="12">
        <v>50</v>
      </c>
      <c r="D35" s="11"/>
      <c r="E35" s="12"/>
      <c r="F35" s="10"/>
    </row>
    <row r="36" spans="2:15">
      <c r="B36" s="11" t="s">
        <v>5</v>
      </c>
      <c r="C36" s="12"/>
      <c r="D36" s="11"/>
      <c r="E36" s="12"/>
      <c r="F36" s="10"/>
    </row>
    <row r="37" spans="2:15">
      <c r="B37" s="11" t="s">
        <v>189</v>
      </c>
      <c r="C37" s="12"/>
      <c r="D37" s="11"/>
      <c r="E37" s="12"/>
      <c r="F37" s="10"/>
    </row>
    <row r="38" spans="2:15">
      <c r="B38" s="11" t="s">
        <v>92</v>
      </c>
      <c r="C38" s="12"/>
      <c r="D38" s="11"/>
      <c r="E38" s="12"/>
      <c r="F38" s="10"/>
    </row>
    <row r="39" spans="2:15">
      <c r="B39" s="11" t="s">
        <v>93</v>
      </c>
      <c r="C39" s="12"/>
      <c r="D39" s="11"/>
      <c r="E39" s="12"/>
      <c r="F39" s="10"/>
      <c r="I39" s="80"/>
    </row>
    <row r="40" spans="2:15">
      <c r="B40" s="11" t="s">
        <v>14</v>
      </c>
      <c r="C40" s="12">
        <v>69.42</v>
      </c>
      <c r="D40" s="11"/>
      <c r="E40" s="12"/>
      <c r="F40" s="10"/>
    </row>
    <row r="41" spans="2:15">
      <c r="B41" s="11" t="s">
        <v>44</v>
      </c>
      <c r="C41" s="12">
        <v>0</v>
      </c>
      <c r="D41" s="11"/>
      <c r="E41" s="12"/>
      <c r="F41" s="10"/>
    </row>
    <row r="42" spans="2:15" ht="15" thickBot="1">
      <c r="B42" s="432" t="s">
        <v>94</v>
      </c>
      <c r="C42" s="433">
        <v>0</v>
      </c>
      <c r="D42" s="432"/>
      <c r="E42" s="433"/>
      <c r="F42" s="10"/>
    </row>
    <row r="43" spans="2:15" ht="15" thickBot="1">
      <c r="B43" s="434" t="s">
        <v>190</v>
      </c>
      <c r="C43" s="435">
        <f>SUM(C32:C42)</f>
        <v>621.63499999999999</v>
      </c>
      <c r="D43" s="436" t="s">
        <v>95</v>
      </c>
      <c r="E43" s="438">
        <f>SUM(E32:E42)</f>
        <v>78.748739999999984</v>
      </c>
      <c r="F43" s="364"/>
      <c r="G43" s="34">
        <v>823.99</v>
      </c>
      <c r="L43" s="400"/>
    </row>
    <row r="44" spans="2:15">
      <c r="B44" s="113"/>
      <c r="C44" s="113"/>
      <c r="D44" s="437" t="s">
        <v>96</v>
      </c>
      <c r="E44" s="439">
        <f>+C43-E43</f>
        <v>542.88625999999999</v>
      </c>
      <c r="F44" s="263"/>
      <c r="G44" s="80">
        <f>+G43-E44</f>
        <v>281.10374000000002</v>
      </c>
      <c r="O44" s="80"/>
    </row>
    <row r="45" spans="2:15">
      <c r="J45" s="34">
        <f>100/30</f>
        <v>3.3333333333333335</v>
      </c>
    </row>
    <row r="46" spans="2:15">
      <c r="J46" s="34">
        <f>+J45*11</f>
        <v>36.666666666666671</v>
      </c>
    </row>
    <row r="47" spans="2:15">
      <c r="L47" s="80"/>
    </row>
  </sheetData>
  <mergeCells count="19">
    <mergeCell ref="B29:E29"/>
    <mergeCell ref="N17:O17"/>
    <mergeCell ref="P17:P18"/>
    <mergeCell ref="Q17:Q18"/>
    <mergeCell ref="R17:R18"/>
    <mergeCell ref="B27:E27"/>
    <mergeCell ref="M27:P27"/>
    <mergeCell ref="B17:B18"/>
    <mergeCell ref="C17:D17"/>
    <mergeCell ref="E17:E18"/>
    <mergeCell ref="F17:F18"/>
    <mergeCell ref="G17:G18"/>
    <mergeCell ref="M17:M18"/>
    <mergeCell ref="B15:C15"/>
    <mergeCell ref="C8:D8"/>
    <mergeCell ref="C9:D9"/>
    <mergeCell ref="C10:D10"/>
    <mergeCell ref="C11:D11"/>
    <mergeCell ref="B14:C14"/>
  </mergeCells>
  <pageMargins left="0.31" right="0.12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46FF-2056-4DF3-B4AD-EFEFCF5F1D2A}">
  <dimension ref="B2:K46"/>
  <sheetViews>
    <sheetView topLeftCell="B10" workbookViewId="0">
      <selection activeCell="G21" sqref="G21"/>
    </sheetView>
  </sheetViews>
  <sheetFormatPr baseColWidth="10" defaultRowHeight="14.4"/>
  <cols>
    <col min="1" max="1" width="3.88671875" customWidth="1"/>
    <col min="2" max="2" width="24.33203125" bestFit="1" customWidth="1"/>
    <col min="3" max="3" width="9.5546875" bestFit="1" customWidth="1"/>
    <col min="4" max="4" width="20.109375" customWidth="1"/>
    <col min="5" max="5" width="10.33203125" bestFit="1" customWidth="1"/>
    <col min="6" max="6" width="9.5546875" bestFit="1" customWidth="1"/>
    <col min="7" max="7" width="10" customWidth="1"/>
    <col min="8" max="8" width="9.6640625" bestFit="1" customWidth="1"/>
    <col min="9" max="9" width="9.5546875" bestFit="1" customWidth="1"/>
    <col min="10" max="10" width="10" bestFit="1" customWidth="1"/>
  </cols>
  <sheetData>
    <row r="2" spans="2:9" ht="6" customHeight="1"/>
    <row r="5" spans="2:9" ht="3.75" customHeight="1"/>
    <row r="6" spans="2:9" ht="9" customHeight="1"/>
    <row r="7" spans="2:9" ht="9" customHeight="1"/>
    <row r="8" spans="2:9" ht="19.95" customHeight="1">
      <c r="B8" s="409" t="s">
        <v>167</v>
      </c>
      <c r="C8" s="895" t="s">
        <v>439</v>
      </c>
      <c r="D8" s="895"/>
      <c r="F8" s="440" t="s">
        <v>168</v>
      </c>
      <c r="G8" s="117">
        <v>45922</v>
      </c>
    </row>
    <row r="9" spans="2:9">
      <c r="B9" s="409" t="s">
        <v>169</v>
      </c>
      <c r="C9" s="885">
        <v>45841</v>
      </c>
      <c r="D9" s="885"/>
      <c r="F9" s="440" t="s">
        <v>170</v>
      </c>
      <c r="G9" s="118">
        <v>45930</v>
      </c>
    </row>
    <row r="10" spans="2:9">
      <c r="B10" s="409" t="s">
        <v>171</v>
      </c>
      <c r="C10" s="886">
        <v>481</v>
      </c>
      <c r="D10" s="886"/>
      <c r="F10" s="440" t="s">
        <v>172</v>
      </c>
      <c r="G10" s="119">
        <f>+_xlfn.DAYS(G9,G8)+1</f>
        <v>9</v>
      </c>
    </row>
    <row r="11" spans="2:9">
      <c r="B11" s="409" t="s">
        <v>173</v>
      </c>
      <c r="C11" s="827" t="s">
        <v>409</v>
      </c>
      <c r="D11" s="827"/>
    </row>
    <row r="12" spans="2:9" ht="14.4" customHeight="1"/>
    <row r="13" spans="2:9">
      <c r="B13" s="51" t="s">
        <v>175</v>
      </c>
    </row>
    <row r="14" spans="2:9">
      <c r="B14" s="883" t="s">
        <v>176</v>
      </c>
      <c r="C14" s="883"/>
      <c r="D14" s="34">
        <f>+C10/30</f>
        <v>16.033333333333335</v>
      </c>
      <c r="E14" s="17" t="s">
        <v>177</v>
      </c>
      <c r="F14" s="120">
        <f>+C10/30</f>
        <v>16.033333333333335</v>
      </c>
    </row>
    <row r="15" spans="2:9">
      <c r="B15" s="883" t="s">
        <v>178</v>
      </c>
      <c r="C15" s="883"/>
      <c r="D15" s="34">
        <f>+D14*25%</f>
        <v>4.0083333333333337</v>
      </c>
      <c r="E15" s="17" t="s">
        <v>179</v>
      </c>
      <c r="F15" s="120">
        <f>+F14*25%</f>
        <v>4.0083333333333337</v>
      </c>
      <c r="G15">
        <f>+F14*75%</f>
        <v>12.025000000000002</v>
      </c>
    </row>
    <row r="16" spans="2:9" ht="18" customHeight="1" thickBot="1">
      <c r="H16" s="648"/>
      <c r="I16" s="34">
        <f>+G15*18</f>
        <v>216.45000000000005</v>
      </c>
    </row>
    <row r="17" spans="2:11" ht="16.2" thickBot="1">
      <c r="B17" s="890" t="s">
        <v>180</v>
      </c>
      <c r="C17" s="892" t="s">
        <v>181</v>
      </c>
      <c r="D17" s="887"/>
      <c r="E17" s="890" t="s">
        <v>259</v>
      </c>
      <c r="F17" s="890" t="s">
        <v>183</v>
      </c>
      <c r="G17" s="887" t="s">
        <v>184</v>
      </c>
    </row>
    <row r="18" spans="2:11" ht="16.2" thickBot="1">
      <c r="B18" s="891"/>
      <c r="C18" s="428" t="s">
        <v>185</v>
      </c>
      <c r="D18" s="428" t="s">
        <v>186</v>
      </c>
      <c r="E18" s="891"/>
      <c r="F18" s="891"/>
      <c r="G18" s="888"/>
      <c r="I18" s="34">
        <f>+G27+I16</f>
        <v>841.75000000000011</v>
      </c>
    </row>
    <row r="19" spans="2:11">
      <c r="B19" s="413">
        <v>1</v>
      </c>
      <c r="C19" s="419">
        <v>45922</v>
      </c>
      <c r="D19" s="414">
        <v>45930</v>
      </c>
      <c r="E19" s="422">
        <v>100</v>
      </c>
      <c r="F19" s="425">
        <f>+D19-C19+1</f>
        <v>9</v>
      </c>
      <c r="G19" s="410">
        <f>IF(E19=100,$F$14*F19,$F$15*F19)</f>
        <v>144.30000000000001</v>
      </c>
    </row>
    <row r="20" spans="2:11">
      <c r="B20" s="413">
        <v>2</v>
      </c>
      <c r="C20" s="419">
        <v>45931</v>
      </c>
      <c r="D20" s="414">
        <v>45944</v>
      </c>
      <c r="E20" s="422">
        <v>100</v>
      </c>
      <c r="F20" s="425">
        <f>+D20-C20+1</f>
        <v>14</v>
      </c>
      <c r="G20" s="410">
        <f>IF(E20=100,$F$14*F20,$F$15*F20)</f>
        <v>224.4666666666667</v>
      </c>
      <c r="J20" s="80"/>
    </row>
    <row r="21" spans="2:11">
      <c r="B21" s="413">
        <v>3</v>
      </c>
      <c r="C21" s="480">
        <v>45945</v>
      </c>
      <c r="D21" s="481">
        <v>45961</v>
      </c>
      <c r="E21" s="482">
        <v>100</v>
      </c>
      <c r="F21" s="425">
        <f>+D21-C21</f>
        <v>16</v>
      </c>
      <c r="G21" s="410">
        <f>IF(E21=100,$F$14*F21,$F$15*F21)</f>
        <v>256.53333333333336</v>
      </c>
      <c r="K21" s="80"/>
    </row>
    <row r="22" spans="2:11">
      <c r="B22" s="413">
        <v>4</v>
      </c>
      <c r="C22" s="485"/>
      <c r="D22" s="486"/>
      <c r="E22" s="487"/>
      <c r="F22" s="425"/>
      <c r="G22" s="410"/>
      <c r="H22" s="34"/>
    </row>
    <row r="23" spans="2:11">
      <c r="B23" s="413">
        <v>5</v>
      </c>
      <c r="C23" s="420"/>
      <c r="D23" s="415"/>
      <c r="E23" s="423"/>
      <c r="F23" s="721"/>
      <c r="G23" s="410"/>
    </row>
    <row r="24" spans="2:11">
      <c r="B24" s="413">
        <v>6</v>
      </c>
      <c r="C24" s="420"/>
      <c r="D24" s="415"/>
      <c r="E24" s="423"/>
      <c r="F24" s="425"/>
      <c r="G24" s="410"/>
      <c r="H24" s="80"/>
    </row>
    <row r="25" spans="2:11">
      <c r="B25" s="413">
        <v>7</v>
      </c>
      <c r="C25" s="420"/>
      <c r="D25" s="415"/>
      <c r="E25" s="423"/>
      <c r="F25" s="425"/>
      <c r="G25" s="410"/>
    </row>
    <row r="26" spans="2:11" ht="15" thickBot="1">
      <c r="B26" s="413">
        <v>8</v>
      </c>
      <c r="C26" s="421"/>
      <c r="D26" s="417"/>
      <c r="E26" s="424"/>
      <c r="F26" s="425"/>
      <c r="G26" s="410"/>
    </row>
    <row r="27" spans="2:11" ht="15" thickBot="1">
      <c r="B27" s="893" t="s">
        <v>21</v>
      </c>
      <c r="C27" s="894"/>
      <c r="D27" s="894"/>
      <c r="E27" s="894"/>
      <c r="F27" s="430">
        <f>SUM(F19:F22)</f>
        <v>39</v>
      </c>
      <c r="G27" s="429">
        <f>SUM(G19:G26)</f>
        <v>625.30000000000007</v>
      </c>
    </row>
    <row r="28" spans="2:11">
      <c r="B28" s="110"/>
      <c r="C28" s="110"/>
      <c r="D28" s="110"/>
      <c r="E28" s="110"/>
      <c r="F28" s="126"/>
      <c r="G28" s="127"/>
    </row>
    <row r="29" spans="2:11" ht="15.6">
      <c r="B29" s="889" t="s">
        <v>410</v>
      </c>
      <c r="C29" s="889"/>
      <c r="D29" s="889"/>
      <c r="E29" s="889"/>
      <c r="F29" s="10"/>
    </row>
    <row r="30" spans="2:11" ht="7.5" customHeight="1">
      <c r="B30" s="10"/>
      <c r="C30" s="10"/>
      <c r="D30" s="10"/>
      <c r="E30" s="10"/>
      <c r="F30" s="10"/>
    </row>
    <row r="31" spans="2:11">
      <c r="B31" s="431" t="s">
        <v>86</v>
      </c>
      <c r="C31" s="431" t="s">
        <v>87</v>
      </c>
      <c r="D31" s="431" t="s">
        <v>117</v>
      </c>
      <c r="E31" s="431" t="s">
        <v>87</v>
      </c>
      <c r="F31" s="10"/>
    </row>
    <row r="32" spans="2:11">
      <c r="B32" s="11" t="s">
        <v>88</v>
      </c>
      <c r="C32" s="12">
        <f>+G19</f>
        <v>144.30000000000001</v>
      </c>
      <c r="D32" s="441" t="s">
        <v>188</v>
      </c>
      <c r="E32" s="12">
        <f>+((C10+C33+C39)*9.45%)</f>
        <v>45.454499999999996</v>
      </c>
      <c r="F32" s="10"/>
    </row>
    <row r="33" spans="2:9">
      <c r="B33" s="11" t="s">
        <v>89</v>
      </c>
      <c r="C33" s="12">
        <v>0</v>
      </c>
      <c r="D33" s="10" t="s">
        <v>90</v>
      </c>
      <c r="E33" s="12">
        <v>0</v>
      </c>
      <c r="F33" s="10"/>
      <c r="H33">
        <f>100/30</f>
        <v>3.3333333333333335</v>
      </c>
    </row>
    <row r="34" spans="2:9">
      <c r="B34" s="11" t="s">
        <v>57</v>
      </c>
      <c r="C34" s="12">
        <v>0</v>
      </c>
      <c r="D34" s="11" t="s">
        <v>430</v>
      </c>
      <c r="E34" s="12"/>
      <c r="F34" s="10"/>
      <c r="H34">
        <f>+H33*F19</f>
        <v>30</v>
      </c>
    </row>
    <row r="35" spans="2:9">
      <c r="B35" s="11" t="s">
        <v>91</v>
      </c>
      <c r="C35" s="12">
        <v>0</v>
      </c>
      <c r="D35" s="11"/>
      <c r="E35" s="12"/>
      <c r="F35" s="10"/>
    </row>
    <row r="36" spans="2:9">
      <c r="B36" s="11" t="s">
        <v>5</v>
      </c>
      <c r="C36" s="12"/>
      <c r="D36" s="11"/>
      <c r="E36" s="12"/>
      <c r="F36" s="10"/>
      <c r="I36" s="80"/>
    </row>
    <row r="37" spans="2:9">
      <c r="B37" s="11" t="s">
        <v>189</v>
      </c>
      <c r="C37" s="12"/>
      <c r="D37" s="11"/>
      <c r="E37" s="12"/>
      <c r="F37" s="10"/>
    </row>
    <row r="38" spans="2:9">
      <c r="B38" s="11" t="s">
        <v>92</v>
      </c>
      <c r="C38" s="12"/>
      <c r="D38" s="11"/>
      <c r="E38" s="12"/>
      <c r="F38" s="10"/>
    </row>
    <row r="39" spans="2:9">
      <c r="B39" s="11" t="s">
        <v>93</v>
      </c>
      <c r="C39" s="12"/>
      <c r="D39" s="11"/>
      <c r="E39" s="12"/>
      <c r="F39" s="10"/>
    </row>
    <row r="40" spans="2:9">
      <c r="B40" s="11" t="s">
        <v>14</v>
      </c>
      <c r="C40" s="12">
        <v>0</v>
      </c>
      <c r="D40" s="11"/>
      <c r="E40" s="12"/>
      <c r="F40" s="10"/>
    </row>
    <row r="41" spans="2:9">
      <c r="B41" s="11" t="s">
        <v>44</v>
      </c>
      <c r="C41" s="12">
        <v>0</v>
      </c>
      <c r="D41" s="11"/>
      <c r="E41" s="12"/>
      <c r="F41" s="10"/>
    </row>
    <row r="42" spans="2:9" ht="15" thickBot="1">
      <c r="B42" s="432" t="s">
        <v>94</v>
      </c>
      <c r="C42" s="433">
        <v>0</v>
      </c>
      <c r="D42" s="432"/>
      <c r="E42" s="433"/>
      <c r="F42" s="10"/>
    </row>
    <row r="43" spans="2:9" ht="15" thickBot="1">
      <c r="B43" s="434" t="s">
        <v>190</v>
      </c>
      <c r="C43" s="435">
        <f>SUM(C32:C42)</f>
        <v>144.30000000000001</v>
      </c>
      <c r="D43" s="436" t="s">
        <v>95</v>
      </c>
      <c r="E43" s="438">
        <f>SUM(E32:E42)</f>
        <v>45.454499999999996</v>
      </c>
      <c r="F43" s="364"/>
      <c r="G43" s="34">
        <v>469.8458399999999</v>
      </c>
    </row>
    <row r="44" spans="2:9">
      <c r="B44" s="113"/>
      <c r="C44" s="113"/>
      <c r="D44" s="437" t="s">
        <v>96</v>
      </c>
      <c r="E44" s="439">
        <f>+C43-E43</f>
        <v>98.845500000000015</v>
      </c>
      <c r="F44" s="263"/>
      <c r="G44" s="80">
        <f>+G43-E44</f>
        <v>371.00033999999988</v>
      </c>
    </row>
    <row r="45" spans="2:9">
      <c r="I45" s="34"/>
    </row>
    <row r="46" spans="2:9">
      <c r="I46" s="34"/>
    </row>
  </sheetData>
  <mergeCells count="13">
    <mergeCell ref="F17:F18"/>
    <mergeCell ref="G17:G18"/>
    <mergeCell ref="B15:C15"/>
    <mergeCell ref="C8:D8"/>
    <mergeCell ref="C9:D9"/>
    <mergeCell ref="C10:D10"/>
    <mergeCell ref="C11:D11"/>
    <mergeCell ref="B14:C14"/>
    <mergeCell ref="B29:E29"/>
    <mergeCell ref="B27:E27"/>
    <mergeCell ref="B17:B18"/>
    <mergeCell ref="C17:D17"/>
    <mergeCell ref="E17:E18"/>
  </mergeCells>
  <pageMargins left="0.31" right="0.12" top="0.75" bottom="0.75" header="0.3" footer="0.3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2AD1-1AC1-4967-A7A8-914901DB3A82}">
  <dimension ref="B2:K46"/>
  <sheetViews>
    <sheetView topLeftCell="B1" workbookViewId="0">
      <selection activeCell="F14" sqref="F14"/>
    </sheetView>
  </sheetViews>
  <sheetFormatPr baseColWidth="10" defaultRowHeight="14.4"/>
  <cols>
    <col min="1" max="1" width="3.88671875" customWidth="1"/>
    <col min="2" max="2" width="24.33203125" bestFit="1" customWidth="1"/>
    <col min="3" max="3" width="9.5546875" bestFit="1" customWidth="1"/>
    <col min="4" max="4" width="20.109375" customWidth="1"/>
    <col min="5" max="5" width="10.33203125" bestFit="1" customWidth="1"/>
    <col min="6" max="6" width="9.5546875" bestFit="1" customWidth="1"/>
    <col min="7" max="7" width="10" customWidth="1"/>
    <col min="8" max="8" width="9.6640625" bestFit="1" customWidth="1"/>
    <col min="9" max="9" width="9.5546875" bestFit="1" customWidth="1"/>
    <col min="10" max="10" width="10" bestFit="1" customWidth="1"/>
  </cols>
  <sheetData>
    <row r="2" spans="2:9" ht="6" customHeight="1"/>
    <row r="5" spans="2:9" ht="3.75" customHeight="1"/>
    <row r="6" spans="2:9" ht="9" customHeight="1"/>
    <row r="7" spans="2:9" ht="9" customHeight="1"/>
    <row r="8" spans="2:9" ht="19.95" customHeight="1">
      <c r="B8" s="409" t="s">
        <v>167</v>
      </c>
      <c r="C8" s="895" t="s">
        <v>439</v>
      </c>
      <c r="D8" s="895"/>
      <c r="F8" s="440" t="s">
        <v>168</v>
      </c>
      <c r="G8" s="117">
        <v>45922</v>
      </c>
    </row>
    <row r="9" spans="2:9">
      <c r="B9" s="409" t="s">
        <v>169</v>
      </c>
      <c r="C9" s="885">
        <v>45841</v>
      </c>
      <c r="D9" s="885"/>
      <c r="F9" s="440" t="s">
        <v>170</v>
      </c>
      <c r="G9" s="118">
        <v>45930</v>
      </c>
    </row>
    <row r="10" spans="2:9">
      <c r="B10" s="409" t="s">
        <v>171</v>
      </c>
      <c r="C10" s="886">
        <v>481</v>
      </c>
      <c r="D10" s="886"/>
      <c r="F10" s="440" t="s">
        <v>172</v>
      </c>
      <c r="G10" s="119">
        <f>+_xlfn.DAYS(G9,G8)+1</f>
        <v>9</v>
      </c>
    </row>
    <row r="11" spans="2:9">
      <c r="B11" s="409" t="s">
        <v>173</v>
      </c>
      <c r="C11" s="827" t="s">
        <v>409</v>
      </c>
      <c r="D11" s="827"/>
    </row>
    <row r="12" spans="2:9" ht="14.4" customHeight="1"/>
    <row r="13" spans="2:9">
      <c r="B13" s="51" t="s">
        <v>175</v>
      </c>
    </row>
    <row r="14" spans="2:9">
      <c r="B14" s="883" t="s">
        <v>176</v>
      </c>
      <c r="C14" s="883"/>
      <c r="D14" s="34">
        <f>+C10/30</f>
        <v>16.033333333333335</v>
      </c>
      <c r="E14" s="17" t="s">
        <v>177</v>
      </c>
      <c r="F14" s="120">
        <f>+C10/30</f>
        <v>16.033333333333335</v>
      </c>
    </row>
    <row r="15" spans="2:9">
      <c r="B15" s="883" t="s">
        <v>178</v>
      </c>
      <c r="C15" s="883"/>
      <c r="D15" s="34">
        <f>+D14*25%</f>
        <v>4.0083333333333337</v>
      </c>
      <c r="E15" s="17" t="s">
        <v>179</v>
      </c>
      <c r="F15" s="120">
        <f>+F14*25%</f>
        <v>4.0083333333333337</v>
      </c>
      <c r="G15">
        <f>+F14*75%</f>
        <v>12.025000000000002</v>
      </c>
    </row>
    <row r="16" spans="2:9" ht="18" customHeight="1" thickBot="1">
      <c r="H16" s="648"/>
      <c r="I16" s="34">
        <f>+G15*18</f>
        <v>216.45000000000005</v>
      </c>
    </row>
    <row r="17" spans="2:11" ht="16.2" thickBot="1">
      <c r="B17" s="890" t="s">
        <v>180</v>
      </c>
      <c r="C17" s="892" t="s">
        <v>181</v>
      </c>
      <c r="D17" s="887"/>
      <c r="E17" s="890" t="s">
        <v>259</v>
      </c>
      <c r="F17" s="890" t="s">
        <v>183</v>
      </c>
      <c r="G17" s="887" t="s">
        <v>184</v>
      </c>
    </row>
    <row r="18" spans="2:11" ht="16.2" thickBot="1">
      <c r="B18" s="891"/>
      <c r="C18" s="428" t="s">
        <v>185</v>
      </c>
      <c r="D18" s="428" t="s">
        <v>186</v>
      </c>
      <c r="E18" s="891"/>
      <c r="F18" s="891"/>
      <c r="G18" s="888"/>
      <c r="I18" s="34">
        <f>+G27+I16</f>
        <v>841.75000000000011</v>
      </c>
    </row>
    <row r="19" spans="2:11">
      <c r="B19" s="413">
        <v>1</v>
      </c>
      <c r="C19" s="419">
        <v>45922</v>
      </c>
      <c r="D19" s="414">
        <v>45930</v>
      </c>
      <c r="E19" s="422">
        <v>100</v>
      </c>
      <c r="F19" s="425">
        <f>+D19-C19+1</f>
        <v>9</v>
      </c>
      <c r="G19" s="410">
        <f>IF(E19=100,$F$14*F19,$F$15*F19)</f>
        <v>144.30000000000001</v>
      </c>
    </row>
    <row r="20" spans="2:11">
      <c r="B20" s="413">
        <v>2</v>
      </c>
      <c r="C20" s="419">
        <v>45931</v>
      </c>
      <c r="D20" s="414">
        <v>45944</v>
      </c>
      <c r="E20" s="422">
        <v>100</v>
      </c>
      <c r="F20" s="425">
        <f>+D20-C20+1</f>
        <v>14</v>
      </c>
      <c r="G20" s="410">
        <f>IF(E20=100,$F$14*F20,$F$15*F20)</f>
        <v>224.4666666666667</v>
      </c>
      <c r="J20" s="80"/>
    </row>
    <row r="21" spans="2:11">
      <c r="B21" s="413">
        <v>3</v>
      </c>
      <c r="C21" s="480">
        <v>45945</v>
      </c>
      <c r="D21" s="481">
        <v>45961</v>
      </c>
      <c r="E21" s="482">
        <v>100</v>
      </c>
      <c r="F21" s="425">
        <f>+D21-C21</f>
        <v>16</v>
      </c>
      <c r="G21" s="410">
        <f>IF(E21=100,$F$14*F21,$F$15*F21)</f>
        <v>256.53333333333336</v>
      </c>
      <c r="K21" s="80"/>
    </row>
    <row r="22" spans="2:11">
      <c r="B22" s="413">
        <v>4</v>
      </c>
      <c r="C22" s="485"/>
      <c r="D22" s="486"/>
      <c r="E22" s="487"/>
      <c r="F22" s="425"/>
      <c r="G22" s="410"/>
      <c r="H22" s="34"/>
    </row>
    <row r="23" spans="2:11">
      <c r="B23" s="413">
        <v>5</v>
      </c>
      <c r="C23" s="420"/>
      <c r="D23" s="415"/>
      <c r="E23" s="423"/>
      <c r="F23" s="721"/>
      <c r="G23" s="410"/>
    </row>
    <row r="24" spans="2:11">
      <c r="B24" s="413">
        <v>6</v>
      </c>
      <c r="C24" s="420"/>
      <c r="D24" s="415"/>
      <c r="E24" s="423"/>
      <c r="F24" s="425"/>
      <c r="G24" s="410"/>
      <c r="H24" s="80"/>
    </row>
    <row r="25" spans="2:11">
      <c r="B25" s="413">
        <v>7</v>
      </c>
      <c r="C25" s="420"/>
      <c r="D25" s="415"/>
      <c r="E25" s="423"/>
      <c r="F25" s="425"/>
      <c r="G25" s="410"/>
    </row>
    <row r="26" spans="2:11" ht="15" thickBot="1">
      <c r="B26" s="413">
        <v>8</v>
      </c>
      <c r="C26" s="421"/>
      <c r="D26" s="417"/>
      <c r="E26" s="424"/>
      <c r="F26" s="425"/>
      <c r="G26" s="410"/>
    </row>
    <row r="27" spans="2:11" ht="15" thickBot="1">
      <c r="B27" s="893" t="s">
        <v>21</v>
      </c>
      <c r="C27" s="894"/>
      <c r="D27" s="894"/>
      <c r="E27" s="894"/>
      <c r="F27" s="430">
        <f>SUM(F19:F22)</f>
        <v>39</v>
      </c>
      <c r="G27" s="429">
        <f>SUM(G19:G26)</f>
        <v>625.30000000000007</v>
      </c>
    </row>
    <row r="28" spans="2:11">
      <c r="B28" s="110"/>
      <c r="C28" s="110"/>
      <c r="D28" s="110"/>
      <c r="E28" s="110"/>
      <c r="F28" s="126"/>
      <c r="G28" s="127"/>
    </row>
    <row r="29" spans="2:11" ht="15.6">
      <c r="B29" s="889" t="s">
        <v>410</v>
      </c>
      <c r="C29" s="889"/>
      <c r="D29" s="889"/>
      <c r="E29" s="889"/>
      <c r="F29" s="10"/>
    </row>
    <row r="30" spans="2:11" ht="7.5" customHeight="1">
      <c r="B30" s="10"/>
      <c r="C30" s="10"/>
      <c r="D30" s="10"/>
      <c r="E30" s="10"/>
      <c r="F30" s="10"/>
    </row>
    <row r="31" spans="2:11">
      <c r="B31" s="431" t="s">
        <v>86</v>
      </c>
      <c r="C31" s="431" t="s">
        <v>87</v>
      </c>
      <c r="D31" s="431" t="s">
        <v>117</v>
      </c>
      <c r="E31" s="431" t="s">
        <v>87</v>
      </c>
      <c r="F31" s="10"/>
    </row>
    <row r="32" spans="2:11">
      <c r="B32" s="11" t="s">
        <v>88</v>
      </c>
      <c r="C32" s="12">
        <f>+G19</f>
        <v>144.30000000000001</v>
      </c>
      <c r="D32" s="441" t="s">
        <v>188</v>
      </c>
      <c r="E32" s="12">
        <f>+((C10+C33+C39)*9.45%)</f>
        <v>45.454499999999996</v>
      </c>
      <c r="F32" s="10"/>
    </row>
    <row r="33" spans="2:9">
      <c r="B33" s="11" t="s">
        <v>89</v>
      </c>
      <c r="C33" s="12">
        <v>0</v>
      </c>
      <c r="D33" s="10" t="s">
        <v>90</v>
      </c>
      <c r="E33" s="12">
        <v>0</v>
      </c>
      <c r="F33" s="10"/>
      <c r="H33">
        <f>100/30</f>
        <v>3.3333333333333335</v>
      </c>
    </row>
    <row r="34" spans="2:9">
      <c r="B34" s="11" t="s">
        <v>57</v>
      </c>
      <c r="C34" s="12">
        <v>0</v>
      </c>
      <c r="D34" s="11" t="s">
        <v>430</v>
      </c>
      <c r="E34" s="12"/>
      <c r="F34" s="10"/>
      <c r="H34">
        <f>+H33*F19</f>
        <v>30</v>
      </c>
    </row>
    <row r="35" spans="2:9">
      <c r="B35" s="11" t="s">
        <v>91</v>
      </c>
      <c r="C35" s="12">
        <v>0</v>
      </c>
      <c r="D35" s="11"/>
      <c r="E35" s="12"/>
      <c r="F35" s="10"/>
    </row>
    <row r="36" spans="2:9">
      <c r="B36" s="11" t="s">
        <v>5</v>
      </c>
      <c r="C36" s="12"/>
      <c r="D36" s="11"/>
      <c r="E36" s="12"/>
      <c r="F36" s="10"/>
      <c r="I36" s="80"/>
    </row>
    <row r="37" spans="2:9">
      <c r="B37" s="11" t="s">
        <v>189</v>
      </c>
      <c r="C37" s="12"/>
      <c r="D37" s="11"/>
      <c r="E37" s="12"/>
      <c r="F37" s="10"/>
    </row>
    <row r="38" spans="2:9">
      <c r="B38" s="11" t="s">
        <v>92</v>
      </c>
      <c r="C38" s="12"/>
      <c r="D38" s="11"/>
      <c r="E38" s="12"/>
      <c r="F38" s="10"/>
    </row>
    <row r="39" spans="2:9">
      <c r="B39" s="11" t="s">
        <v>93</v>
      </c>
      <c r="C39" s="12"/>
      <c r="D39" s="11"/>
      <c r="E39" s="12"/>
      <c r="F39" s="10"/>
    </row>
    <row r="40" spans="2:9">
      <c r="B40" s="11" t="s">
        <v>14</v>
      </c>
      <c r="C40" s="12">
        <v>0</v>
      </c>
      <c r="D40" s="11"/>
      <c r="E40" s="12"/>
      <c r="F40" s="10"/>
    </row>
    <row r="41" spans="2:9">
      <c r="B41" s="11" t="s">
        <v>44</v>
      </c>
      <c r="C41" s="12">
        <v>0</v>
      </c>
      <c r="D41" s="11"/>
      <c r="E41" s="12"/>
      <c r="F41" s="10"/>
    </row>
    <row r="42" spans="2:9" ht="15" thickBot="1">
      <c r="B42" s="432" t="s">
        <v>94</v>
      </c>
      <c r="C42" s="433">
        <v>0</v>
      </c>
      <c r="D42" s="432"/>
      <c r="E42" s="433"/>
      <c r="F42" s="10"/>
    </row>
    <row r="43" spans="2:9" ht="15" thickBot="1">
      <c r="B43" s="434" t="s">
        <v>190</v>
      </c>
      <c r="C43" s="435">
        <f>SUM(C32:C42)</f>
        <v>144.30000000000001</v>
      </c>
      <c r="D43" s="436" t="s">
        <v>95</v>
      </c>
      <c r="E43" s="438">
        <f>SUM(E32:E42)</f>
        <v>45.454499999999996</v>
      </c>
      <c r="F43" s="364"/>
      <c r="G43" s="34">
        <v>469.8458399999999</v>
      </c>
    </row>
    <row r="44" spans="2:9">
      <c r="B44" s="113"/>
      <c r="C44" s="113"/>
      <c r="D44" s="437" t="s">
        <v>96</v>
      </c>
      <c r="E44" s="439">
        <f>+C43-E43</f>
        <v>98.845500000000015</v>
      </c>
      <c r="F44" s="263"/>
      <c r="G44" s="80">
        <f>+G43-E44</f>
        <v>371.00033999999988</v>
      </c>
    </row>
    <row r="45" spans="2:9">
      <c r="I45" s="34"/>
    </row>
    <row r="46" spans="2:9">
      <c r="I46" s="34"/>
    </row>
  </sheetData>
  <mergeCells count="13">
    <mergeCell ref="B29:E29"/>
    <mergeCell ref="B17:B18"/>
    <mergeCell ref="C17:D17"/>
    <mergeCell ref="E17:E18"/>
    <mergeCell ref="F17:F18"/>
    <mergeCell ref="G17:G18"/>
    <mergeCell ref="B27:E27"/>
    <mergeCell ref="C8:D8"/>
    <mergeCell ref="C9:D9"/>
    <mergeCell ref="C10:D10"/>
    <mergeCell ref="C11:D11"/>
    <mergeCell ref="B14:C14"/>
    <mergeCell ref="B15:C15"/>
  </mergeCells>
  <pageMargins left="0.31" right="0.12" top="0.75" bottom="0.75" header="0.3" footer="0.3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3EF2-8C6A-4BC5-9999-DF3644E24EBC}">
  <sheetPr codeName="Hoja5">
    <tabColor rgb="FF0070C0"/>
    <pageSetUpPr fitToPage="1"/>
  </sheetPr>
  <dimension ref="B1:S62"/>
  <sheetViews>
    <sheetView showGridLines="0" zoomScale="85" zoomScaleNormal="85" workbookViewId="0">
      <pane xSplit="1" ySplit="7" topLeftCell="B8" activePane="bottomRight" state="frozen"/>
      <selection pane="topRight" activeCell="B1" sqref="B1"/>
      <selection pane="bottomLeft" activeCell="A9" sqref="A9"/>
      <selection pane="bottomRight" activeCell="K12" sqref="K12"/>
    </sheetView>
  </sheetViews>
  <sheetFormatPr baseColWidth="10" defaultRowHeight="14.4"/>
  <cols>
    <col min="1" max="1" width="2.88671875" customWidth="1"/>
    <col min="2" max="2" width="4.88671875" style="17" customWidth="1"/>
    <col min="3" max="3" width="12.88671875" style="599" customWidth="1"/>
    <col min="4" max="4" width="32.5546875" style="10" customWidth="1"/>
    <col min="5" max="5" width="27.5546875" customWidth="1"/>
    <col min="6" max="6" width="9" style="191" customWidth="1"/>
    <col min="7" max="7" width="13.44140625" customWidth="1"/>
    <col min="8" max="8" width="15.33203125" customWidth="1"/>
    <col min="9" max="9" width="18.33203125" customWidth="1"/>
    <col min="10" max="10" width="17.5546875" customWidth="1"/>
    <col min="11" max="11" width="11.5546875" style="33"/>
    <col min="12" max="12" width="2.5546875" customWidth="1"/>
    <col min="14" max="14" width="17.5546875" customWidth="1"/>
    <col min="19" max="19" width="27.33203125" customWidth="1"/>
  </cols>
  <sheetData>
    <row r="1" spans="2:12" ht="10.5" customHeight="1"/>
    <row r="2" spans="2:12" ht="15.75" customHeight="1">
      <c r="B2" s="896" t="s">
        <v>258</v>
      </c>
      <c r="C2" s="896"/>
      <c r="D2" s="896"/>
      <c r="E2" s="896"/>
      <c r="F2" s="896"/>
      <c r="G2" s="896"/>
      <c r="H2" s="896"/>
      <c r="I2" s="896"/>
      <c r="J2" s="896"/>
      <c r="K2" s="896"/>
    </row>
    <row r="3" spans="2:12" ht="15" customHeight="1">
      <c r="B3" s="897" t="s">
        <v>474</v>
      </c>
      <c r="C3" s="897"/>
      <c r="D3" s="897"/>
      <c r="E3" s="897"/>
      <c r="F3" s="897"/>
      <c r="G3" s="897"/>
      <c r="H3" s="897"/>
      <c r="I3" s="897"/>
      <c r="J3" s="897"/>
      <c r="K3" s="897"/>
    </row>
    <row r="4" spans="2:12" ht="7.5" customHeight="1" thickBot="1"/>
    <row r="5" spans="2:12" ht="18" customHeight="1" thickTop="1" thickBot="1">
      <c r="D5" s="54"/>
      <c r="E5" s="54"/>
      <c r="F5" s="597"/>
      <c r="G5" s="54"/>
      <c r="H5" s="898" t="s">
        <v>244</v>
      </c>
      <c r="I5" s="899"/>
      <c r="J5" s="900"/>
      <c r="K5" s="901" t="s">
        <v>241</v>
      </c>
      <c r="L5" s="51"/>
    </row>
    <row r="6" spans="2:12" ht="13.5" customHeight="1" thickTop="1" thickBot="1">
      <c r="C6" s="600"/>
      <c r="D6" s="54"/>
      <c r="E6" s="54"/>
      <c r="F6" s="597"/>
      <c r="G6" s="54"/>
      <c r="H6" s="55"/>
      <c r="I6" s="56"/>
      <c r="J6" s="56" t="s">
        <v>254</v>
      </c>
      <c r="K6" s="902"/>
    </row>
    <row r="7" spans="2:12" ht="19.95" customHeight="1" thickTop="1">
      <c r="B7" s="57" t="s">
        <v>128</v>
      </c>
      <c r="C7" s="363" t="s">
        <v>129</v>
      </c>
      <c r="D7" s="184" t="s">
        <v>2</v>
      </c>
      <c r="E7" s="58" t="s">
        <v>103</v>
      </c>
      <c r="F7" s="595" t="s">
        <v>130</v>
      </c>
      <c r="G7" s="59" t="s">
        <v>120</v>
      </c>
      <c r="H7" s="380" t="s">
        <v>243</v>
      </c>
      <c r="I7" s="380" t="s">
        <v>247</v>
      </c>
      <c r="J7" s="380" t="s">
        <v>253</v>
      </c>
      <c r="K7" s="63" t="s">
        <v>204</v>
      </c>
    </row>
    <row r="8" spans="2:12" ht="18.600000000000001" customHeight="1">
      <c r="B8" s="234">
        <v>1</v>
      </c>
      <c r="C8" s="363">
        <v>925813685</v>
      </c>
      <c r="D8" s="184" t="str">
        <f>+VLOOKUP(Tabla335[[#This Row],[CEDULA ]],'OCTUBRE 2025'!$C$8:$J$57,2,0)</f>
        <v>ASITIMBAY CRIOLLO JOHN ANDERSON</v>
      </c>
      <c r="E8" s="184" t="str">
        <f>+VLOOKUP(Tabla335[[#This Row],[CEDULA ]],'OCTUBRE 2025'!$C$8:$J$57,4,0)</f>
        <v xml:space="preserve"> JEFE DE MARKETING</v>
      </c>
      <c r="F8" s="363" t="str">
        <f>+VLOOKUP(Tabla335[[#This Row],[CEDULA ]],'OCTUBRE 2025'!$C$8:$J$57,6,0)</f>
        <v>Matriz</v>
      </c>
      <c r="G8" s="185">
        <f>+VLOOKUP(Tabla335[[#This Row],[CEDULA ]],'OCTUBRE 2025'!$C$8:$J$57,8,0)</f>
        <v>817.76</v>
      </c>
      <c r="H8" s="381"/>
      <c r="I8" s="381"/>
      <c r="J8" s="382"/>
      <c r="K8" s="266">
        <f>+Tabla335[[#This Row],[BONO BOLETOS]]+Tabla335[[#This Row],[COM. POR CARGO]]+Tabla335[[#This Row],[BONO CUMP]]</f>
        <v>0</v>
      </c>
    </row>
    <row r="9" spans="2:12" ht="18.600000000000001" customHeight="1">
      <c r="B9" s="234">
        <v>2</v>
      </c>
      <c r="C9" s="363">
        <v>944405737</v>
      </c>
      <c r="D9" s="184" t="str">
        <f>+VLOOKUP(Tabla335[[#This Row],[CEDULA ]],'OCTUBRE 2025'!$C$8:$J$57,2,0)</f>
        <v>BARAHONA ZAMBRANO DAYANA NICOLE</v>
      </c>
      <c r="E9" s="184" t="str">
        <f>+VLOOKUP(Tabla335[[#This Row],[CEDULA ]],'OCTUBRE 2025'!$C$8:$J$57,4,0)</f>
        <v>CAJERO FINANCIERO</v>
      </c>
      <c r="F9" s="363" t="str">
        <f>+VLOOKUP(Tabla335[[#This Row],[CEDULA ]],'OCTUBRE 2025'!$C$8:$J$57,6,0)</f>
        <v>Matriz</v>
      </c>
      <c r="G9" s="185">
        <f>+VLOOKUP(Tabla335[[#This Row],[CEDULA ]],'OCTUBRE 2025'!$C$8:$J$57,8,0)</f>
        <v>15.86</v>
      </c>
      <c r="H9" s="381"/>
      <c r="I9" s="381"/>
      <c r="J9" s="382"/>
      <c r="K9" s="266">
        <f>+Tabla335[[#This Row],[BONO BOLETOS]]+Tabla335[[#This Row],[COM. POR CARGO]]+Tabla335[[#This Row],[BONO CUMP]]</f>
        <v>0</v>
      </c>
    </row>
    <row r="10" spans="2:12" ht="18.600000000000001" customHeight="1">
      <c r="B10" s="234">
        <v>3</v>
      </c>
      <c r="C10" s="363">
        <v>604394502</v>
      </c>
      <c r="D10" s="184" t="str">
        <f>+VLOOKUP(Tabla335[[#This Row],[CEDULA ]],'OCTUBRE 2025'!$C$8:$J$57,2,0)</f>
        <v>BETUN CHAFLA JULIO CESAR</v>
      </c>
      <c r="E10" s="184" t="str">
        <f>+VLOOKUP(Tabla335[[#This Row],[CEDULA ]],'OCTUBRE 2025'!$C$8:$J$57,4,0)</f>
        <v>ASESOR DE NEGOCIOS</v>
      </c>
      <c r="F10" s="363" t="str">
        <f>+VLOOKUP(Tabla335[[#This Row],[CEDULA ]],'OCTUBRE 2025'!$C$8:$J$57,6,0)</f>
        <v>Matriz</v>
      </c>
      <c r="G10" s="185">
        <f>+VLOOKUP(Tabla335[[#This Row],[CEDULA ]],'OCTUBRE 2025'!$C$8:$J$57,8,0)</f>
        <v>613.32000000000005</v>
      </c>
      <c r="H10" s="381"/>
      <c r="I10" s="381"/>
      <c r="J10" s="382">
        <v>0</v>
      </c>
      <c r="K10" s="266">
        <f>+Tabla335[[#This Row],[BONO BOLETOS]]+Tabla335[[#This Row],[COM. POR CARGO]]+Tabla335[[#This Row],[BONO CUMP]]</f>
        <v>0</v>
      </c>
    </row>
    <row r="11" spans="2:12" ht="18" customHeight="1">
      <c r="B11" s="234">
        <v>4</v>
      </c>
      <c r="C11" s="363">
        <v>955741970</v>
      </c>
      <c r="D11" s="184" t="str">
        <f>+VLOOKUP(Tabla335[[#This Row],[CEDULA ]],'OCTUBRE 2025'!$C$8:$J$57,2,0)</f>
        <v>CHACAGUASAY CHACAGUASAY ROBERTH CRISTHIAN</v>
      </c>
      <c r="E11" s="184" t="str">
        <f>+VLOOKUP(Tabla335[[#This Row],[CEDULA ]],'OCTUBRE 2025'!$C$8:$J$57,4,0)</f>
        <v>OFICIAL DE RECAUDACIONES</v>
      </c>
      <c r="F11" s="363" t="str">
        <f>+VLOOKUP(Tabla335[[#This Row],[CEDULA ]],'OCTUBRE 2025'!$C$8:$J$57,6,0)</f>
        <v>Matriz</v>
      </c>
      <c r="G11" s="185">
        <f>+VLOOKUP(Tabla335[[#This Row],[CEDULA ]],'OCTUBRE 2025'!$C$8:$J$57,8,0)</f>
        <v>473.88</v>
      </c>
      <c r="H11" s="381"/>
      <c r="I11" s="381"/>
      <c r="J11" s="382"/>
      <c r="K11" s="266">
        <f>+Tabla335[[#This Row],[BONO BOLETOS]]+Tabla335[[#This Row],[COM. POR CARGO]]+Tabla335[[#This Row],[BONO CUMP]]</f>
        <v>0</v>
      </c>
    </row>
    <row r="12" spans="2:12" ht="18" customHeight="1">
      <c r="B12" s="234">
        <v>5</v>
      </c>
      <c r="C12" s="363" t="s">
        <v>481</v>
      </c>
      <c r="D12" s="184" t="str">
        <f>+VLOOKUP(Tabla335[[#This Row],[CEDULA ]],'OCTUBRE 2025'!$C$8:$J$57,2,0)</f>
        <v>CHACAGUASAY GUAMAN KEVIN NEHEMIAS</v>
      </c>
      <c r="E12" s="184" t="str">
        <f>+VLOOKUP(Tabla335[[#This Row],[CEDULA ]],'OCTUBRE 2025'!$C$8:$J$57,4,0)</f>
        <v>ASESOR DE NEGOCIOS</v>
      </c>
      <c r="F12" s="363" t="str">
        <f>+VLOOKUP(Tabla335[[#This Row],[CEDULA ]],'OCTUBRE 2025'!$C$8:$J$57,6,0)</f>
        <v>Matriz</v>
      </c>
      <c r="G12" s="185">
        <f>+VLOOKUP(Tabla335[[#This Row],[CEDULA ]],'OCTUBRE 2025'!$C$8:$J$57,8,0)</f>
        <v>256.52999999999997</v>
      </c>
      <c r="H12" s="381"/>
      <c r="I12" s="381"/>
      <c r="J12" s="382">
        <v>368.77</v>
      </c>
      <c r="K12" s="266">
        <f>+Tabla335[[#This Row],[BONO BOLETOS]]+Tabla335[[#This Row],[COM. POR CARGO]]+Tabla335[[#This Row],[BONO CUMP]]</f>
        <v>368.77</v>
      </c>
    </row>
    <row r="13" spans="2:12" ht="18.600000000000001" customHeight="1">
      <c r="B13" s="234">
        <v>6</v>
      </c>
      <c r="C13" s="363">
        <v>944143148</v>
      </c>
      <c r="D13" s="184" t="str">
        <f>+VLOOKUP(Tabla335[[#This Row],[CEDULA ]],'OCTUBRE 2025'!$C$8:$J$57,2,0)</f>
        <v>CHIMBOLEMA YUNGAN MARIO EFRAIN</v>
      </c>
      <c r="E13" s="184" t="str">
        <f>+VLOOKUP(Tabla335[[#This Row],[CEDULA ]],'OCTUBRE 2025'!$C$8:$J$57,4,0)</f>
        <v>OFICIAL DE RECAUDACIONES</v>
      </c>
      <c r="F13" s="363" t="str">
        <f>+VLOOKUP(Tabla335[[#This Row],[CEDULA ]],'OCTUBRE 2025'!$C$8:$J$57,6,0)</f>
        <v>Durán</v>
      </c>
      <c r="G13" s="185">
        <f>+VLOOKUP(Tabla335[[#This Row],[CEDULA ]],'OCTUBRE 2025'!$C$8:$J$57,8,0)</f>
        <v>142.16</v>
      </c>
      <c r="H13" s="381"/>
      <c r="I13" s="381"/>
      <c r="J13" s="382"/>
      <c r="K13" s="266">
        <f>+Tabla335[[#This Row],[BONO BOLETOS]]+Tabla335[[#This Row],[COM. POR CARGO]]+Tabla335[[#This Row],[BONO CUMP]]</f>
        <v>0</v>
      </c>
    </row>
    <row r="14" spans="2:12" ht="18.600000000000001" customHeight="1">
      <c r="B14" s="234">
        <v>7</v>
      </c>
      <c r="C14" s="363">
        <v>955325238</v>
      </c>
      <c r="D14" s="184" t="str">
        <f>+VLOOKUP(Tabla335[[#This Row],[CEDULA ]],'OCTUBRE 2025'!$C$8:$J$57,2,0)</f>
        <v>CHOCA CEPEDA INES VIVIANA</v>
      </c>
      <c r="E14" s="184" t="str">
        <f>+VLOOKUP(Tabla335[[#This Row],[CEDULA ]],'OCTUBRE 2025'!$C$8:$J$57,4,0)</f>
        <v>CAJERA FINANCIERA</v>
      </c>
      <c r="F14" s="363" t="str">
        <f>+VLOOKUP(Tabla335[[#This Row],[CEDULA ]],'OCTUBRE 2025'!$C$8:$J$57,6,0)</f>
        <v>Matriz</v>
      </c>
      <c r="G14" s="185">
        <f>+VLOOKUP(Tabla335[[#This Row],[CEDULA ]],'OCTUBRE 2025'!$C$8:$J$57,8,0)</f>
        <v>256.52999999999997</v>
      </c>
      <c r="H14" s="381"/>
      <c r="I14" s="381"/>
      <c r="J14" s="382"/>
      <c r="K14" s="266">
        <f>+Tabla335[[#This Row],[BONO BOLETOS]]+Tabla335[[#This Row],[COM. POR CARGO]]+Tabla335[[#This Row],[BONO CUMP]]</f>
        <v>0</v>
      </c>
    </row>
    <row r="15" spans="2:12" ht="18.600000000000001" customHeight="1">
      <c r="B15" s="234">
        <v>8</v>
      </c>
      <c r="C15" s="363">
        <v>914163654</v>
      </c>
      <c r="D15" s="184" t="str">
        <f>+VLOOKUP(Tabla335[[#This Row],[CEDULA ]],'OCTUBRE 2025'!$C$8:$J$57,2,0)</f>
        <v>COCA BENITEZ JORGE MANUEL</v>
      </c>
      <c r="E15" s="184" t="str">
        <f>+VLOOKUP(Tabla335[[#This Row],[CEDULA ]],'OCTUBRE 2025'!$C$8:$J$57,4,0)</f>
        <v>ANALISTA DE RIESGO</v>
      </c>
      <c r="F15" s="363" t="str">
        <f>+VLOOKUP(Tabla335[[#This Row],[CEDULA ]],'OCTUBRE 2025'!$C$8:$J$57,6,0)</f>
        <v>Matriz</v>
      </c>
      <c r="G15" s="185">
        <f>+VLOOKUP(Tabla335[[#This Row],[CEDULA ]],'OCTUBRE 2025'!$C$8:$J$57,8,0)</f>
        <v>1200</v>
      </c>
      <c r="H15" s="381"/>
      <c r="I15" s="381"/>
      <c r="J15" s="382"/>
      <c r="K15" s="266">
        <f>+Tabla335[[#This Row],[BONO BOLETOS]]+Tabla335[[#This Row],[COM. POR CARGO]]+Tabla335[[#This Row],[BONO CUMP]]</f>
        <v>0</v>
      </c>
    </row>
    <row r="16" spans="2:12">
      <c r="B16" s="234">
        <v>9</v>
      </c>
      <c r="C16" s="363">
        <v>956668305</v>
      </c>
      <c r="D16" s="184" t="str">
        <f>+VLOOKUP(Tabla335[[#This Row],[CEDULA ]],'OCTUBRE 2025'!$C$8:$J$57,2,0)</f>
        <v>CORO YUQUILEMA RUTH NOEMI</v>
      </c>
      <c r="E16" s="184" t="str">
        <f>+VLOOKUP(Tabla335[[#This Row],[CEDULA ]],'OCTUBRE 2025'!$C$8:$J$57,4,0)</f>
        <v>OFICIAL DE RECAUDACIONES</v>
      </c>
      <c r="F16" s="363" t="str">
        <f>+VLOOKUP(Tabla335[[#This Row],[CEDULA ]],'OCTUBRE 2025'!$C$8:$J$57,6,0)</f>
        <v>Matriz</v>
      </c>
      <c r="G16" s="185">
        <f>+VLOOKUP(Tabla335[[#This Row],[CEDULA ]],'OCTUBRE 2025'!$C$8:$J$57,8,0)</f>
        <v>252.74</v>
      </c>
      <c r="H16" s="381"/>
      <c r="I16" s="381"/>
      <c r="J16" s="382">
        <v>0</v>
      </c>
      <c r="K16" s="266">
        <f>+Tabla335[[#This Row],[BONO BOLETOS]]+Tabla335[[#This Row],[COM. POR CARGO]]+Tabla335[[#This Row],[BONO CUMP]]</f>
        <v>0</v>
      </c>
    </row>
    <row r="17" spans="2:11">
      <c r="B17" s="234">
        <v>10</v>
      </c>
      <c r="C17" s="363" t="s">
        <v>485</v>
      </c>
      <c r="D17" s="184" t="str">
        <f>+VLOOKUP(Tabla335[[#This Row],[CEDULA ]],'OCTUBRE 2025'!$C$8:$J$57,2,0)</f>
        <v>DEFAS CHICAIZA JOEL ALBERTO</v>
      </c>
      <c r="E17" s="184" t="str">
        <f>+VLOOKUP(Tabla335[[#This Row],[CEDULA ]],'OCTUBRE 2025'!$C$8:$J$57,4,0)</f>
        <v>ASESOR DE NEGOCIOS</v>
      </c>
      <c r="F17" s="363" t="str">
        <f>+VLOOKUP(Tabla335[[#This Row],[CEDULA ]],'OCTUBRE 2025'!$C$8:$J$57,6,0)</f>
        <v>Norte</v>
      </c>
      <c r="G17" s="185">
        <f>+VLOOKUP(Tabla335[[#This Row],[CEDULA ]],'OCTUBRE 2025'!$C$8:$J$57,8,0)</f>
        <v>626.65</v>
      </c>
      <c r="H17" s="381"/>
      <c r="I17" s="381"/>
      <c r="J17" s="382"/>
      <c r="K17" s="266">
        <f>+Tabla335[[#This Row],[BONO BOLETOS]]+Tabla335[[#This Row],[COM. POR CARGO]]+Tabla335[[#This Row],[BONO CUMP]]</f>
        <v>0</v>
      </c>
    </row>
    <row r="18" spans="2:11">
      <c r="B18" s="234">
        <v>11</v>
      </c>
      <c r="C18" s="363">
        <v>931097620</v>
      </c>
      <c r="D18" s="184" t="str">
        <f>+VLOOKUP(Tabla335[[#This Row],[CEDULA ]],'OCTUBRE 2025'!$C$8:$J$57,2,0)</f>
        <v>DEL ROSARIO RODRIGUEZ JUDY ANGELICA</v>
      </c>
      <c r="E18" s="184" t="str">
        <f>+VLOOKUP(Tabla335[[#This Row],[CEDULA ]],'OCTUBRE 2025'!$C$8:$J$57,4,0)</f>
        <v>CAJERA FINANCIERA</v>
      </c>
      <c r="F18" s="363" t="str">
        <f>+VLOOKUP(Tabla335[[#This Row],[CEDULA ]],'OCTUBRE 2025'!$C$8:$J$57,6,0)</f>
        <v>Norte</v>
      </c>
      <c r="G18" s="185">
        <f>+VLOOKUP(Tabla335[[#This Row],[CEDULA ]],'OCTUBRE 2025'!$C$8:$J$57,8,0)</f>
        <v>256.52999999999997</v>
      </c>
      <c r="H18" s="381"/>
      <c r="I18" s="381"/>
      <c r="J18" s="382">
        <v>368.77</v>
      </c>
      <c r="K18" s="266">
        <f>+Tabla335[[#This Row],[BONO BOLETOS]]+Tabla335[[#This Row],[COM. POR CARGO]]+Tabla335[[#This Row],[BONO CUMP]]</f>
        <v>368.77</v>
      </c>
    </row>
    <row r="19" spans="2:11" ht="18.600000000000001" customHeight="1">
      <c r="B19" s="234">
        <v>12</v>
      </c>
      <c r="C19" s="363">
        <v>1105483422</v>
      </c>
      <c r="D19" s="184" t="str">
        <f>+VLOOKUP(Tabla335[[#This Row],[CEDULA ]],'OCTUBRE 2025'!$C$8:$J$57,2,0)</f>
        <v>FLORES HERRERA WENDY DEL CISNE</v>
      </c>
      <c r="E19" s="184" t="str">
        <f>+VLOOKUP(Tabla335[[#This Row],[CEDULA ]],'OCTUBRE 2025'!$C$8:$J$57,4,0)</f>
        <v>CAJERO FINANCIERO</v>
      </c>
      <c r="F19" s="363" t="str">
        <f>+VLOOKUP(Tabla335[[#This Row],[CEDULA ]],'OCTUBRE 2025'!$C$8:$J$57,6,0)</f>
        <v>Durán</v>
      </c>
      <c r="G19" s="185">
        <f>+VLOOKUP(Tabla335[[#This Row],[CEDULA ]],'OCTUBRE 2025'!$C$8:$J$57,8,0)</f>
        <v>650</v>
      </c>
      <c r="H19" s="381"/>
      <c r="I19" s="381"/>
      <c r="J19" s="382"/>
      <c r="K19" s="266">
        <f>+Tabla335[[#This Row],[BONO BOLETOS]]+Tabla335[[#This Row],[COM. POR CARGO]]+Tabla335[[#This Row],[BONO CUMP]]</f>
        <v>0</v>
      </c>
    </row>
    <row r="20" spans="2:11" ht="18.600000000000001" customHeight="1">
      <c r="B20" s="234">
        <v>13</v>
      </c>
      <c r="C20" s="363">
        <v>942614645</v>
      </c>
      <c r="D20" s="184" t="str">
        <f>+VLOOKUP(Tabla335[[#This Row],[CEDULA ]],'OCTUBRE 2025'!$C$8:$J$57,2,0)</f>
        <v>FUELA TOABANDA JOSUE CHRISTIAN</v>
      </c>
      <c r="E20" s="184" t="str">
        <f>+VLOOKUP(Tabla335[[#This Row],[CEDULA ]],'OCTUBRE 2025'!$C$8:$J$57,4,0)</f>
        <v>ASISTENTE CONTABLE</v>
      </c>
      <c r="F20" s="363" t="str">
        <f>+VLOOKUP(Tabla335[[#This Row],[CEDULA ]],'OCTUBRE 2025'!$C$8:$J$57,6,0)</f>
        <v>Matriz</v>
      </c>
      <c r="G20" s="185">
        <f>+VLOOKUP(Tabla335[[#This Row],[CEDULA ]],'OCTUBRE 2025'!$C$8:$J$57,8,0)</f>
        <v>481</v>
      </c>
      <c r="H20" s="381"/>
      <c r="I20" s="381"/>
      <c r="J20" s="382"/>
      <c r="K20" s="266">
        <f>+Tabla335[[#This Row],[BONO BOLETOS]]+Tabla335[[#This Row],[COM. POR CARGO]]+Tabla335[[#This Row],[BONO CUMP]]</f>
        <v>0</v>
      </c>
    </row>
    <row r="21" spans="2:11" ht="18.600000000000001" customHeight="1">
      <c r="B21" s="234">
        <v>14</v>
      </c>
      <c r="C21" s="363">
        <v>951200062</v>
      </c>
      <c r="D21" s="184" t="str">
        <f>+VLOOKUP(Tabla335[[#This Row],[CEDULA ]],'OCTUBRE 2025'!$C$8:$J$57,2,0)</f>
        <v>GALAN LEMACHE INGRID GISELA</v>
      </c>
      <c r="E21" s="184" t="str">
        <f>+VLOOKUP(Tabla335[[#This Row],[CEDULA ]],'OCTUBRE 2025'!$C$8:$J$57,4,0)</f>
        <v>BACK UP ADMINISTRATIVO  FINANCIERO</v>
      </c>
      <c r="F21" s="363" t="str">
        <f>+VLOOKUP(Tabla335[[#This Row],[CEDULA ]],'OCTUBRE 2025'!$C$8:$J$57,6,0)</f>
        <v>Norte</v>
      </c>
      <c r="G21" s="185">
        <f>+VLOOKUP(Tabla335[[#This Row],[CEDULA ]],'OCTUBRE 2025'!$C$8:$J$57,8,0)</f>
        <v>473.88</v>
      </c>
      <c r="H21" s="381"/>
      <c r="I21" s="381"/>
      <c r="J21" s="382"/>
      <c r="K21" s="266">
        <f>+Tabla335[[#This Row],[BONO BOLETOS]]+Tabla335[[#This Row],[COM. POR CARGO]]+Tabla335[[#This Row],[BONO CUMP]]</f>
        <v>0</v>
      </c>
    </row>
    <row r="22" spans="2:11" ht="18.600000000000001" customHeight="1">
      <c r="B22" s="234">
        <v>15</v>
      </c>
      <c r="C22" s="363">
        <v>950929232</v>
      </c>
      <c r="D22" s="184" t="str">
        <f>+VLOOKUP(Tabla335[[#This Row],[CEDULA ]],'OCTUBRE 2025'!$C$8:$J$57,2,0)</f>
        <v>GARCIA VERA HENRY  LUIS</v>
      </c>
      <c r="E22" s="184" t="str">
        <f>+VLOOKUP(Tabla335[[#This Row],[CEDULA ]],'OCTUBRE 2025'!$C$8:$J$57,4,0)</f>
        <v>OFICIAL DE RECAUDACIONES</v>
      </c>
      <c r="F22" s="363" t="str">
        <f>+VLOOKUP(Tabla335[[#This Row],[CEDULA ]],'OCTUBRE 2025'!$C$8:$J$57,6,0)</f>
        <v>Norte</v>
      </c>
      <c r="G22" s="185">
        <f>+VLOOKUP(Tabla335[[#This Row],[CEDULA ]],'OCTUBRE 2025'!$C$8:$J$57,8,0)</f>
        <v>715.54</v>
      </c>
      <c r="H22" s="381"/>
      <c r="I22" s="381"/>
      <c r="J22" s="382"/>
      <c r="K22" s="266">
        <f>+Tabla335[[#This Row],[BONO BOLETOS]]+Tabla335[[#This Row],[COM. POR CARGO]]+Tabla335[[#This Row],[BONO CUMP]]</f>
        <v>0</v>
      </c>
    </row>
    <row r="23" spans="2:11" ht="18.600000000000001" customHeight="1">
      <c r="B23" s="234">
        <v>16</v>
      </c>
      <c r="C23" s="363">
        <v>953819646</v>
      </c>
      <c r="D23" s="184" t="str">
        <f>+VLOOKUP(Tabla335[[#This Row],[CEDULA ]],'OCTUBRE 2025'!$C$8:$J$57,2,0)</f>
        <v>GUALACEO ÑAMO JONATHAN IVÁN</v>
      </c>
      <c r="E23" s="184" t="str">
        <f>+VLOOKUP(Tabla335[[#This Row],[CEDULA ]],'OCTUBRE 2025'!$C$8:$J$57,4,0)</f>
        <v>OFICIAL DE RECAUDACIONES</v>
      </c>
      <c r="F23" s="363" t="str">
        <f>+VLOOKUP(Tabla335[[#This Row],[CEDULA ]],'OCTUBRE 2025'!$C$8:$J$57,6,0)</f>
        <v>Matriz</v>
      </c>
      <c r="G23" s="185">
        <f>+VLOOKUP(Tabla335[[#This Row],[CEDULA ]],'OCTUBRE 2025'!$C$8:$J$57,8,0)</f>
        <v>511.1</v>
      </c>
      <c r="H23" s="381"/>
      <c r="I23" s="381"/>
      <c r="J23" s="382"/>
      <c r="K23" s="266">
        <f>+Tabla335[[#This Row],[BONO BOLETOS]]+Tabla335[[#This Row],[COM. POR CARGO]]+Tabla335[[#This Row],[BONO CUMP]]</f>
        <v>0</v>
      </c>
    </row>
    <row r="24" spans="2:11" ht="18.600000000000001" customHeight="1">
      <c r="B24" s="234">
        <v>17</v>
      </c>
      <c r="C24" s="363">
        <v>956953392</v>
      </c>
      <c r="D24" s="184" t="str">
        <f>+VLOOKUP(Tabla335[[#This Row],[CEDULA ]],'OCTUBRE 2025'!$C$8:$J$57,2,0)</f>
        <v>GUAPI YUMAGLLA OSCAR EDUARDO</v>
      </c>
      <c r="E24" s="184" t="str">
        <f>+VLOOKUP(Tabla335[[#This Row],[CEDULA ]],'OCTUBRE 2025'!$C$8:$J$57,4,0)</f>
        <v>OFICIAL DE RECAUDACIONES</v>
      </c>
      <c r="F24" s="363" t="str">
        <f>+VLOOKUP(Tabla335[[#This Row],[CEDULA ]],'OCTUBRE 2025'!$C$8:$J$57,6,0)</f>
        <v>Matriz</v>
      </c>
      <c r="G24" s="185">
        <f>+VLOOKUP(Tabla335[[#This Row],[CEDULA ]],'OCTUBRE 2025'!$C$8:$J$57,8,0)</f>
        <v>473.88</v>
      </c>
      <c r="H24" s="381"/>
      <c r="I24" s="381"/>
      <c r="J24" s="382"/>
      <c r="K24" s="266">
        <f>+Tabla335[[#This Row],[BONO BOLETOS]]+Tabla335[[#This Row],[COM. POR CARGO]]+Tabla335[[#This Row],[BONO CUMP]]</f>
        <v>0</v>
      </c>
    </row>
    <row r="25" spans="2:11" ht="18.600000000000001" customHeight="1">
      <c r="B25" s="234">
        <v>18</v>
      </c>
      <c r="C25" s="363">
        <v>956796767</v>
      </c>
      <c r="D25" s="184" t="str">
        <f>+VLOOKUP(Tabla335[[#This Row],[CEDULA ]],'OCTUBRE 2025'!$C$8:$J$57,2,0)</f>
        <v>GUAYANLEMA RUIZ EDINSON DAVID</v>
      </c>
      <c r="E25" s="184" t="str">
        <f>+VLOOKUP(Tabla335[[#This Row],[CEDULA ]],'OCTUBRE 2025'!$C$8:$J$57,4,0)</f>
        <v>OFICIAL DE RECAUDACIONES</v>
      </c>
      <c r="F25" s="363" t="str">
        <f>+VLOOKUP(Tabla335[[#This Row],[CEDULA ]],'OCTUBRE 2025'!$C$8:$J$57,6,0)</f>
        <v>Norte</v>
      </c>
      <c r="G25" s="185">
        <f>+VLOOKUP(Tabla335[[#This Row],[CEDULA ]],'OCTUBRE 2025'!$C$8:$J$57,8,0)</f>
        <v>473.88</v>
      </c>
      <c r="H25" s="381"/>
      <c r="I25" s="381"/>
      <c r="J25" s="382"/>
      <c r="K25" s="266">
        <f>+Tabla335[[#This Row],[BONO BOLETOS]]+Tabla335[[#This Row],[COM. POR CARGO]]+Tabla335[[#This Row],[BONO CUMP]]</f>
        <v>0</v>
      </c>
    </row>
    <row r="26" spans="2:11" ht="18.600000000000001" customHeight="1">
      <c r="B26" s="234">
        <v>19</v>
      </c>
      <c r="C26" s="363" t="s">
        <v>427</v>
      </c>
      <c r="D26" s="184" t="str">
        <f>+VLOOKUP(Tabla335[[#This Row],[CEDULA ]],'OCTUBRE 2025'!$C$8:$J$57,2,0)</f>
        <v>HERRERA JIMENEZ CAROLINA ADELIHER</v>
      </c>
      <c r="E26" s="184" t="str">
        <f>+VLOOKUP(Tabla335[[#This Row],[CEDULA ]],'OCTUBRE 2025'!$C$8:$J$57,4,0)</f>
        <v>ASISTENTE DE OPERACIONES</v>
      </c>
      <c r="F26" s="363" t="str">
        <f>+VLOOKUP(Tabla335[[#This Row],[CEDULA ]],'OCTUBRE 2025'!$C$8:$J$57,6,0)</f>
        <v>Matriz</v>
      </c>
      <c r="G26" s="185">
        <f>+VLOOKUP(Tabla335[[#This Row],[CEDULA ]],'OCTUBRE 2025'!$C$8:$J$57,8,0)</f>
        <v>481</v>
      </c>
      <c r="H26" s="381"/>
      <c r="I26" s="381"/>
      <c r="J26" s="382"/>
      <c r="K26" s="266">
        <f>+Tabla335[[#This Row],[BONO BOLETOS]]+Tabla335[[#This Row],[COM. POR CARGO]]+Tabla335[[#This Row],[BONO CUMP]]</f>
        <v>0</v>
      </c>
    </row>
    <row r="27" spans="2:11" ht="18.600000000000001" customHeight="1">
      <c r="B27" s="234">
        <v>20</v>
      </c>
      <c r="C27" s="363">
        <v>1724102940</v>
      </c>
      <c r="D27" s="184" t="str">
        <f>+VLOOKUP(Tabla335[[#This Row],[CEDULA ]],'OCTUBRE 2025'!$C$8:$J$57,2,0)</f>
        <v>HIDALGO CHERRES NESTOR VLADIMIR</v>
      </c>
      <c r="E27" s="184" t="str">
        <f>+VLOOKUP(Tabla335[[#This Row],[CEDULA ]],'OCTUBRE 2025'!$C$8:$J$57,4,0)</f>
        <v>JEFE DE CREDITO</v>
      </c>
      <c r="F27" s="363" t="str">
        <f>+VLOOKUP(Tabla335[[#This Row],[CEDULA ]],'OCTUBRE 2025'!$C$8:$J$57,6,0)</f>
        <v>Durán</v>
      </c>
      <c r="G27" s="185">
        <f>+VLOOKUP(Tabla335[[#This Row],[CEDULA ]],'OCTUBRE 2025'!$C$8:$J$57,8,0)</f>
        <v>817.76</v>
      </c>
      <c r="H27" s="381"/>
      <c r="I27" s="381"/>
      <c r="J27" s="382">
        <v>0</v>
      </c>
      <c r="K27" s="266">
        <f>+Tabla335[[#This Row],[BONO BOLETOS]]+Tabla335[[#This Row],[COM. POR CARGO]]+Tabla335[[#This Row],[BONO CUMP]]</f>
        <v>0</v>
      </c>
    </row>
    <row r="28" spans="2:11" ht="19.2" customHeight="1">
      <c r="B28" s="234">
        <v>21</v>
      </c>
      <c r="C28" s="363">
        <v>943322974</v>
      </c>
      <c r="D28" s="184" t="str">
        <f>+VLOOKUP(Tabla335[[#This Row],[CEDULA ]],'OCTUBRE 2025'!$C$8:$J$57,2,0)</f>
        <v>JANETA RUIZ ALEXANDRA DEL ROCIO</v>
      </c>
      <c r="E28" s="184" t="str">
        <f>+VLOOKUP(Tabla335[[#This Row],[CEDULA ]],'OCTUBRE 2025'!$C$8:$J$57,4,0)</f>
        <v>OFICIAL DE RECAUDACIONES</v>
      </c>
      <c r="F28" s="363" t="str">
        <f>+VLOOKUP(Tabla335[[#This Row],[CEDULA ]],'OCTUBRE 2025'!$C$8:$J$57,6,0)</f>
        <v>Norte</v>
      </c>
      <c r="G28" s="185">
        <f>+VLOOKUP(Tabla335[[#This Row],[CEDULA ]],'OCTUBRE 2025'!$C$8:$J$57,8,0)</f>
        <v>473.88</v>
      </c>
      <c r="H28" s="381"/>
      <c r="I28" s="381"/>
      <c r="J28" s="382"/>
      <c r="K28" s="266">
        <f>+Tabla335[[#This Row],[BONO BOLETOS]]+Tabla335[[#This Row],[COM. POR CARGO]]+Tabla335[[#This Row],[BONO CUMP]]</f>
        <v>0</v>
      </c>
    </row>
    <row r="29" spans="2:11" ht="18.600000000000001" customHeight="1">
      <c r="B29" s="234">
        <v>22</v>
      </c>
      <c r="C29" s="363">
        <v>941096851</v>
      </c>
      <c r="D29" s="184" t="str">
        <f>+VLOOKUP(Tabla335[[#This Row],[CEDULA ]],'OCTUBRE 2025'!$C$8:$J$57,2,0)</f>
        <v>LEMA CHIRAU RAMONA MARIA</v>
      </c>
      <c r="E29" s="184" t="str">
        <f>+VLOOKUP(Tabla335[[#This Row],[CEDULA ]],'OCTUBRE 2025'!$C$8:$J$57,4,0)</f>
        <v>ASESOR DE CAPTACIONES</v>
      </c>
      <c r="F29" s="363" t="str">
        <f>+VLOOKUP(Tabla335[[#This Row],[CEDULA ]],'OCTUBRE 2025'!$C$8:$J$57,6,0)</f>
        <v>Durán</v>
      </c>
      <c r="G29" s="185">
        <f>+VLOOKUP(Tabla335[[#This Row],[CEDULA ]],'OCTUBRE 2025'!$C$8:$J$57,8,0)</f>
        <v>700</v>
      </c>
      <c r="H29" s="381"/>
      <c r="I29" s="381"/>
      <c r="J29" s="382">
        <v>0</v>
      </c>
      <c r="K29" s="266">
        <f>+Tabla335[[#This Row],[BONO BOLETOS]]+Tabla335[[#This Row],[COM. POR CARGO]]+Tabla335[[#This Row],[BONO CUMP]]</f>
        <v>0</v>
      </c>
    </row>
    <row r="30" spans="2:11" ht="18.600000000000001" customHeight="1">
      <c r="B30" s="234">
        <v>23</v>
      </c>
      <c r="C30" s="363">
        <v>957093800</v>
      </c>
      <c r="D30" s="184" t="str">
        <f>+VLOOKUP(Tabla335[[#This Row],[CEDULA ]],'OCTUBRE 2025'!$C$8:$J$57,2,0)</f>
        <v>LEMA TADAY BRAYAN WIDINSON</v>
      </c>
      <c r="E30" s="184" t="str">
        <f>+VLOOKUP(Tabla335[[#This Row],[CEDULA ]],'OCTUBRE 2025'!$C$8:$J$57,4,0)</f>
        <v>OFICIAL DE RECAUDACIONES</v>
      </c>
      <c r="F30" s="363" t="str">
        <f>+VLOOKUP(Tabla335[[#This Row],[CEDULA ]],'OCTUBRE 2025'!$C$8:$J$57,6,0)</f>
        <v>Durán</v>
      </c>
      <c r="G30" s="185">
        <f>+VLOOKUP(Tabla335[[#This Row],[CEDULA ]],'OCTUBRE 2025'!$C$8:$J$57,8,0)</f>
        <v>473.88</v>
      </c>
      <c r="H30" s="381"/>
      <c r="I30" s="381"/>
      <c r="J30" s="382"/>
      <c r="K30" s="266">
        <f>+Tabla335[[#This Row],[BONO BOLETOS]]+Tabla335[[#This Row],[COM. POR CARGO]]+Tabla335[[#This Row],[BONO CUMP]]</f>
        <v>0</v>
      </c>
    </row>
    <row r="31" spans="2:11" ht="18.600000000000001" customHeight="1">
      <c r="B31" s="234">
        <v>24</v>
      </c>
      <c r="C31" s="363">
        <v>957924350</v>
      </c>
      <c r="D31" s="184" t="str">
        <f>+VLOOKUP(Tabla335[[#This Row],[CEDULA ]],'OCTUBRE 2025'!$C$8:$J$57,2,0)</f>
        <v>LLUMI YUQUILEMA MAYCOOL DANNY</v>
      </c>
      <c r="E31" s="184" t="str">
        <f>+VLOOKUP(Tabla335[[#This Row],[CEDULA ]],'OCTUBRE 2025'!$C$8:$J$57,4,0)</f>
        <v>ASESOR DE NEGOCIOS</v>
      </c>
      <c r="F31" s="363" t="str">
        <f>+VLOOKUP(Tabla335[[#This Row],[CEDULA ]],'OCTUBRE 2025'!$C$8:$J$57,6,0)</f>
        <v>Matriz</v>
      </c>
      <c r="G31" s="185">
        <f>+VLOOKUP(Tabla335[[#This Row],[CEDULA ]],'OCTUBRE 2025'!$C$8:$J$57,8,0)</f>
        <v>481</v>
      </c>
      <c r="H31" s="381"/>
      <c r="I31" s="381"/>
      <c r="J31" s="382"/>
      <c r="K31" s="266">
        <f>+Tabla335[[#This Row],[BONO BOLETOS]]+Tabla335[[#This Row],[COM. POR CARGO]]+Tabla335[[#This Row],[BONO CUMP]]</f>
        <v>0</v>
      </c>
    </row>
    <row r="32" spans="2:11" ht="18.600000000000001" customHeight="1">
      <c r="B32" s="234">
        <v>25</v>
      </c>
      <c r="C32" s="363">
        <v>603838657</v>
      </c>
      <c r="D32" s="184" t="str">
        <f>+VLOOKUP(Tabla335[[#This Row],[CEDULA ]],'OCTUBRE 2025'!$C$8:$J$57,2,0)</f>
        <v>MALAN DELGADO JOSE ALBERTO</v>
      </c>
      <c r="E32" s="184" t="str">
        <f>+VLOOKUP(Tabla335[[#This Row],[CEDULA ]],'OCTUBRE 2025'!$C$8:$J$57,4,0)</f>
        <v>OFICIAL DE RECAUDACIONES</v>
      </c>
      <c r="F32" s="363" t="str">
        <f>+VLOOKUP(Tabla335[[#This Row],[CEDULA ]],'OCTUBRE 2025'!$C$8:$J$57,6,0)</f>
        <v>Durán</v>
      </c>
      <c r="G32" s="185">
        <f>+VLOOKUP(Tabla335[[#This Row],[CEDULA ]],'OCTUBRE 2025'!$C$8:$J$57,8,0)</f>
        <v>473.88</v>
      </c>
      <c r="H32" s="381"/>
      <c r="I32" s="381"/>
      <c r="J32" s="382"/>
      <c r="K32" s="266">
        <f>+Tabla335[[#This Row],[BONO BOLETOS]]+Tabla335[[#This Row],[COM. POR CARGO]]+Tabla335[[#This Row],[BONO CUMP]]</f>
        <v>0</v>
      </c>
    </row>
    <row r="33" spans="2:11" ht="18.600000000000001" customHeight="1">
      <c r="B33" s="234">
        <v>26</v>
      </c>
      <c r="C33" s="363">
        <v>925240525</v>
      </c>
      <c r="D33" s="184" t="str">
        <f>+VLOOKUP(Tabla335[[#This Row],[CEDULA ]],'OCTUBRE 2025'!$C$8:$J$57,2,0)</f>
        <v>MALAN YUQUILEMA RAUL ALBERTO</v>
      </c>
      <c r="E33" s="184" t="str">
        <f>+VLOOKUP(Tabla335[[#This Row],[CEDULA ]],'OCTUBRE 2025'!$C$8:$J$57,4,0)</f>
        <v>ASESOR LEGAL</v>
      </c>
      <c r="F33" s="363" t="str">
        <f>+VLOOKUP(Tabla335[[#This Row],[CEDULA ]],'OCTUBRE 2025'!$C$8:$J$57,6,0)</f>
        <v>Matriz</v>
      </c>
      <c r="G33" s="185">
        <f>+VLOOKUP(Tabla335[[#This Row],[CEDULA ]],'OCTUBRE 2025'!$C$8:$J$57,8,0)</f>
        <v>2700</v>
      </c>
      <c r="H33" s="381"/>
      <c r="I33" s="381"/>
      <c r="J33" s="382"/>
      <c r="K33" s="266">
        <f>+Tabla335[[#This Row],[BONO BOLETOS]]+Tabla335[[#This Row],[COM. POR CARGO]]+Tabla335[[#This Row],[BONO CUMP]]</f>
        <v>0</v>
      </c>
    </row>
    <row r="34" spans="2:11" ht="18.600000000000001" customHeight="1">
      <c r="B34" s="234">
        <v>27</v>
      </c>
      <c r="C34" s="363">
        <v>954520599</v>
      </c>
      <c r="D34" s="184" t="str">
        <f>+VLOOKUP(Tabla335[[#This Row],[CEDULA ]],'OCTUBRE 2025'!$C$8:$J$57,2,0)</f>
        <v>MARSHALL VEGA YULIANA LISSETT</v>
      </c>
      <c r="E34" s="184" t="str">
        <f>+VLOOKUP(Tabla335[[#This Row],[CEDULA ]],'OCTUBRE 2025'!$C$8:$J$57,4,0)</f>
        <v>ASESOR DE NEGOCIOS</v>
      </c>
      <c r="F34" s="363" t="str">
        <f>+VLOOKUP(Tabla335[[#This Row],[CEDULA ]],'OCTUBRE 2025'!$C$8:$J$57,6,0)</f>
        <v>Durán</v>
      </c>
      <c r="G34" s="185">
        <f>+VLOOKUP(Tabla335[[#This Row],[CEDULA ]],'OCTUBRE 2025'!$C$8:$J$57,8,0)</f>
        <v>613.32000000000005</v>
      </c>
      <c r="H34" s="381"/>
      <c r="I34" s="381"/>
      <c r="J34" s="382">
        <v>0</v>
      </c>
      <c r="K34" s="266">
        <f>+Tabla335[[#This Row],[BONO BOLETOS]]+Tabla335[[#This Row],[COM. POR CARGO]]+Tabla335[[#This Row],[BONO CUMP]]</f>
        <v>0</v>
      </c>
    </row>
    <row r="35" spans="2:11" ht="18.600000000000001" customHeight="1">
      <c r="B35" s="234">
        <v>28</v>
      </c>
      <c r="C35" s="363" t="s">
        <v>281</v>
      </c>
      <c r="D35" s="184" t="str">
        <f>+VLOOKUP(Tabla335[[#This Row],[CEDULA ]],'OCTUBRE 2025'!$C$8:$J$57,2,0)</f>
        <v>MEZA RODRIGUEZ MICHAEL FERNANDO</v>
      </c>
      <c r="E35" s="184" t="str">
        <f>+VLOOKUP(Tabla335[[#This Row],[CEDULA ]],'OCTUBRE 2025'!$C$8:$J$57,4,0)</f>
        <v>OFICIAL DE RECAUDACIONES</v>
      </c>
      <c r="F35" s="363" t="str">
        <f>+VLOOKUP(Tabla335[[#This Row],[CEDULA ]],'OCTUBRE 2025'!$C$8:$J$57,6,0)</f>
        <v>Norte</v>
      </c>
      <c r="G35" s="185">
        <f>+VLOOKUP(Tabla335[[#This Row],[CEDULA ]],'OCTUBRE 2025'!$C$8:$J$57,8,0)</f>
        <v>473.88</v>
      </c>
      <c r="H35" s="381"/>
      <c r="I35" s="381"/>
      <c r="J35" s="382"/>
      <c r="K35" s="266">
        <f>+Tabla335[[#This Row],[BONO BOLETOS]]+Tabla335[[#This Row],[COM. POR CARGO]]+Tabla335[[#This Row],[BONO CUMP]]</f>
        <v>0</v>
      </c>
    </row>
    <row r="36" spans="2:11" ht="18.600000000000001" customHeight="1">
      <c r="B36" s="234">
        <v>29</v>
      </c>
      <c r="C36" s="363" t="s">
        <v>245</v>
      </c>
      <c r="D36" s="184" t="str">
        <f>+VLOOKUP(Tabla335[[#This Row],[CEDULA ]],'OCTUBRE 2025'!$C$8:$J$57,2,0)</f>
        <v>MORAN GARCIA DANNY FAVIAN</v>
      </c>
      <c r="E36" s="184" t="str">
        <f>+VLOOKUP(Tabla335[[#This Row],[CEDULA ]],'OCTUBRE 2025'!$C$8:$J$57,4,0)</f>
        <v>OFICIAL DE CUMPLIMIENTO</v>
      </c>
      <c r="F36" s="363" t="str">
        <f>+VLOOKUP(Tabla335[[#This Row],[CEDULA ]],'OCTUBRE 2025'!$C$8:$J$57,6,0)</f>
        <v>Matriz</v>
      </c>
      <c r="G36" s="185">
        <f>+VLOOKUP(Tabla335[[#This Row],[CEDULA ]],'OCTUBRE 2025'!$C$8:$J$57,8,0)</f>
        <v>600</v>
      </c>
      <c r="H36" s="381"/>
      <c r="I36" s="381"/>
      <c r="J36" s="382"/>
      <c r="K36" s="266">
        <f>+Tabla335[[#This Row],[BONO BOLETOS]]+Tabla335[[#This Row],[COM. POR CARGO]]+Tabla335[[#This Row],[BONO CUMP]]</f>
        <v>0</v>
      </c>
    </row>
    <row r="37" spans="2:11" ht="18.600000000000001" customHeight="1">
      <c r="B37" s="234">
        <v>30</v>
      </c>
      <c r="C37" s="363" t="s">
        <v>332</v>
      </c>
      <c r="D37" s="184" t="str">
        <f>+VLOOKUP(Tabla335[[#This Row],[CEDULA ]],'OCTUBRE 2025'!$C$8:$J$57,2,0)</f>
        <v>MOREIRA ESPINOZA LINDA ELIZABETH</v>
      </c>
      <c r="E37" s="184" t="str">
        <f>+VLOOKUP(Tabla335[[#This Row],[CEDULA ]],'OCTUBRE 2025'!$C$8:$J$57,4,0)</f>
        <v>CAJERO FINANCIERO</v>
      </c>
      <c r="F37" s="363" t="str">
        <f>+VLOOKUP(Tabla335[[#This Row],[CEDULA ]],'OCTUBRE 2025'!$C$8:$J$57,6,0)</f>
        <v>Durán</v>
      </c>
      <c r="G37" s="185">
        <f>+VLOOKUP(Tabla335[[#This Row],[CEDULA ]],'OCTUBRE 2025'!$C$8:$J$57,8,0)</f>
        <v>481</v>
      </c>
      <c r="H37" s="381"/>
      <c r="I37" s="381"/>
      <c r="J37" s="382"/>
      <c r="K37" s="266">
        <f>+Tabla335[[#This Row],[BONO BOLETOS]]+Tabla335[[#This Row],[COM. POR CARGO]]+Tabla335[[#This Row],[BONO CUMP]]</f>
        <v>0</v>
      </c>
    </row>
    <row r="38" spans="2:11" ht="18.600000000000001" customHeight="1">
      <c r="B38" s="234">
        <v>31</v>
      </c>
      <c r="C38" s="363">
        <v>955395686</v>
      </c>
      <c r="D38" s="184" t="str">
        <f>+VLOOKUP(Tabla335[[#This Row],[CEDULA ]],'OCTUBRE 2025'!$C$8:$J$57,2,0)</f>
        <v>MOROCHO DUCHI SANDRA STEPHANIE</v>
      </c>
      <c r="E38" s="184" t="str">
        <f>+VLOOKUP(Tabla335[[#This Row],[CEDULA ]],'OCTUBRE 2025'!$C$8:$J$57,4,0)</f>
        <v>ASESOR DE NEGOCIOS</v>
      </c>
      <c r="F38" s="363" t="str">
        <f>+VLOOKUP(Tabla335[[#This Row],[CEDULA ]],'OCTUBRE 2025'!$C$8:$J$57,6,0)</f>
        <v>Norte</v>
      </c>
      <c r="G38" s="185">
        <f>+VLOOKUP(Tabla335[[#This Row],[CEDULA ]],'OCTUBRE 2025'!$C$8:$J$57,8,0)</f>
        <v>613.32000000000005</v>
      </c>
      <c r="H38" s="381">
        <v>0</v>
      </c>
      <c r="I38" s="381"/>
      <c r="J38" s="382">
        <v>0</v>
      </c>
      <c r="K38" s="266">
        <f>+Tabla335[[#This Row],[BONO BOLETOS]]+Tabla335[[#This Row],[COM. POR CARGO]]+Tabla335[[#This Row],[BONO CUMP]]</f>
        <v>0</v>
      </c>
    </row>
    <row r="39" spans="2:11" ht="18.600000000000001" customHeight="1">
      <c r="B39" s="234">
        <v>32</v>
      </c>
      <c r="C39" s="363">
        <v>940991987</v>
      </c>
      <c r="D39" s="184" t="str">
        <f>+VLOOKUP(Tabla335[[#This Row],[CEDULA ]],'OCTUBRE 2025'!$C$8:$J$57,2,0)</f>
        <v>MOROCHO YANTALEMA DINA MAGALY</v>
      </c>
      <c r="E39" s="184" t="str">
        <f>+VLOOKUP(Tabla335[[#This Row],[CEDULA ]],'OCTUBRE 2025'!$C$8:$J$57,4,0)</f>
        <v>TALENTO HUMANO</v>
      </c>
      <c r="F39" s="363" t="str">
        <f>+VLOOKUP(Tabla335[[#This Row],[CEDULA ]],'OCTUBRE 2025'!$C$8:$J$57,6,0)</f>
        <v>Matriz</v>
      </c>
      <c r="G39" s="185">
        <f>+VLOOKUP(Tabla335[[#This Row],[CEDULA ]],'OCTUBRE 2025'!$C$8:$J$57,8,0)</f>
        <v>766.65</v>
      </c>
      <c r="H39" s="381"/>
      <c r="I39" s="381"/>
      <c r="J39" s="382"/>
      <c r="K39" s="266">
        <f>+Tabla335[[#This Row],[BONO BOLETOS]]+Tabla335[[#This Row],[COM. POR CARGO]]+Tabla335[[#This Row],[BONO CUMP]]</f>
        <v>0</v>
      </c>
    </row>
    <row r="40" spans="2:11" ht="18.600000000000001" customHeight="1">
      <c r="B40" s="234">
        <v>33</v>
      </c>
      <c r="C40" s="363">
        <v>956929277</v>
      </c>
      <c r="D40" s="184" t="str">
        <f>+VLOOKUP(Tabla335[[#This Row],[CEDULA ]],'OCTUBRE 2025'!$C$8:$J$57,2,0)</f>
        <v>NAULA CRIOLLO CINTHYA ABIGAIL</v>
      </c>
      <c r="E40" s="184" t="str">
        <f>+VLOOKUP(Tabla335[[#This Row],[CEDULA ]],'OCTUBRE 2025'!$C$8:$J$57,4,0)</f>
        <v>CAJERO FINANCIERO</v>
      </c>
      <c r="F40" s="363" t="str">
        <f>+VLOOKUP(Tabla335[[#This Row],[CEDULA ]],'OCTUBRE 2025'!$C$8:$J$57,6,0)</f>
        <v>Matriz</v>
      </c>
      <c r="G40" s="185">
        <f>+VLOOKUP(Tabla335[[#This Row],[CEDULA ]],'OCTUBRE 2025'!$C$8:$J$57,8,0)</f>
        <v>481</v>
      </c>
      <c r="H40" s="381"/>
      <c r="I40" s="381"/>
      <c r="J40" s="382"/>
      <c r="K40" s="266">
        <f>+Tabla335[[#This Row],[BONO BOLETOS]]+Tabla335[[#This Row],[COM. POR CARGO]]+Tabla335[[#This Row],[BONO CUMP]]</f>
        <v>0</v>
      </c>
    </row>
    <row r="41" spans="2:11" ht="18.600000000000001" customHeight="1">
      <c r="B41" s="234">
        <v>34</v>
      </c>
      <c r="C41" s="363">
        <v>951763994</v>
      </c>
      <c r="D41" s="184" t="str">
        <f>+VLOOKUP(Tabla335[[#This Row],[CEDULA ]],'OCTUBRE 2025'!$C$8:$J$57,2,0)</f>
        <v>NEVAREZ PEÑAFIEL EVELYN JULEXY</v>
      </c>
      <c r="E41" s="184" t="str">
        <f>+VLOOKUP(Tabla335[[#This Row],[CEDULA ]],'OCTUBRE 2025'!$C$8:$J$57,4,0)</f>
        <v>ASESOR DE CAPTACIONES</v>
      </c>
      <c r="F41" s="363" t="str">
        <f>+VLOOKUP(Tabla335[[#This Row],[CEDULA ]],'OCTUBRE 2025'!$C$8:$J$57,6,0)</f>
        <v>Norte</v>
      </c>
      <c r="G41" s="185">
        <f>+VLOOKUP(Tabla335[[#This Row],[CEDULA ]],'OCTUBRE 2025'!$C$8:$J$57,8,0)</f>
        <v>475.85</v>
      </c>
      <c r="H41" s="381"/>
      <c r="I41" s="381"/>
      <c r="J41" s="382"/>
      <c r="K41" s="266">
        <f>+Tabla335[[#This Row],[BONO BOLETOS]]+Tabla335[[#This Row],[COM. POR CARGO]]+Tabla335[[#This Row],[BONO CUMP]]</f>
        <v>0</v>
      </c>
    </row>
    <row r="42" spans="2:11" ht="18.600000000000001" customHeight="1">
      <c r="B42" s="234">
        <v>35</v>
      </c>
      <c r="C42" s="363">
        <v>950703199</v>
      </c>
      <c r="D42" s="184" t="str">
        <f>+VLOOKUP(Tabla335[[#This Row],[CEDULA ]],'OCTUBRE 2025'!$C$8:$J$57,2,0)</f>
        <v>ÑAMO GUALACEO BRYAN JAVIER</v>
      </c>
      <c r="E42" s="184" t="str">
        <f>+VLOOKUP(Tabla335[[#This Row],[CEDULA ]],'OCTUBRE 2025'!$C$8:$J$57,4,0)</f>
        <v>OFICIAL DE RECAUDACIONES</v>
      </c>
      <c r="F42" s="363" t="str">
        <f>+VLOOKUP(Tabla335[[#This Row],[CEDULA ]],'OCTUBRE 2025'!$C$8:$J$57,6,0)</f>
        <v>Matriz</v>
      </c>
      <c r="G42" s="185">
        <f>+VLOOKUP(Tabla335[[#This Row],[CEDULA ]],'OCTUBRE 2025'!$C$8:$J$57,8,0)</f>
        <v>473.88</v>
      </c>
      <c r="H42" s="381"/>
      <c r="I42" s="381"/>
      <c r="J42" s="382"/>
      <c r="K42" s="266">
        <f>+Tabla335[[#This Row],[BONO BOLETOS]]+Tabla335[[#This Row],[COM. POR CARGO]]+Tabla335[[#This Row],[BONO CUMP]]</f>
        <v>0</v>
      </c>
    </row>
    <row r="43" spans="2:11" ht="18.600000000000001" customHeight="1">
      <c r="B43" s="234">
        <v>36</v>
      </c>
      <c r="C43" s="363" t="s">
        <v>434</v>
      </c>
      <c r="D43" s="184" t="str">
        <f>+VLOOKUP(Tabla335[[#This Row],[CEDULA ]],'OCTUBRE 2025'!$C$8:$J$57,2,0)</f>
        <v>ORELLANA MANZO WHITNEY YAILYN</v>
      </c>
      <c r="E43" s="184" t="str">
        <f>+VLOOKUP(Tabla335[[#This Row],[CEDULA ]],'OCTUBRE 2025'!$C$8:$J$57,4,0)</f>
        <v>OFICIAL DE SEGURIDAD DE LA INFORMACIÓN</v>
      </c>
      <c r="F43" s="363" t="str">
        <f>+VLOOKUP(Tabla335[[#This Row],[CEDULA ]],'OCTUBRE 2025'!$C$8:$J$57,6,0)</f>
        <v>Matriz</v>
      </c>
      <c r="G43" s="185">
        <f>+VLOOKUP(Tabla335[[#This Row],[CEDULA ]],'OCTUBRE 2025'!$C$8:$J$57,8,0)</f>
        <v>600</v>
      </c>
      <c r="H43" s="381"/>
      <c r="I43" s="381"/>
      <c r="J43" s="382"/>
      <c r="K43" s="266">
        <f>+Tabla335[[#This Row],[BONO BOLETOS]]+Tabla335[[#This Row],[COM. POR CARGO]]+Tabla335[[#This Row],[BONO CUMP]]</f>
        <v>0</v>
      </c>
    </row>
    <row r="44" spans="2:11" ht="18.600000000000001" customHeight="1">
      <c r="B44" s="234">
        <v>37</v>
      </c>
      <c r="C44" s="363">
        <v>925830689</v>
      </c>
      <c r="D44" s="184" t="str">
        <f>+VLOOKUP(Tabla335[[#This Row],[CEDULA ]],'OCTUBRE 2025'!$C$8:$J$57,2,0)</f>
        <v>PERALTA MENDEZ LINA LISSETTE</v>
      </c>
      <c r="E44" s="184" t="str">
        <f>+VLOOKUP(Tabla335[[#This Row],[CEDULA ]],'OCTUBRE 2025'!$C$8:$J$57,4,0)</f>
        <v>JEFE DE CRÉDITO</v>
      </c>
      <c r="F44" s="363" t="str">
        <f>+VLOOKUP(Tabla335[[#This Row],[CEDULA ]],'OCTUBRE 2025'!$C$8:$J$57,6,0)</f>
        <v>Matriz</v>
      </c>
      <c r="G44" s="185">
        <f>+VLOOKUP(Tabla335[[#This Row],[CEDULA ]],'OCTUBRE 2025'!$C$8:$J$57,8,0)</f>
        <v>1022.2</v>
      </c>
      <c r="H44" s="381"/>
      <c r="I44" s="381"/>
      <c r="J44" s="382"/>
      <c r="K44" s="266">
        <f>+Tabla335[[#This Row],[BONO BOLETOS]]+Tabla335[[#This Row],[COM. POR CARGO]]+Tabla335[[#This Row],[BONO CUMP]]</f>
        <v>0</v>
      </c>
    </row>
    <row r="45" spans="2:11" ht="18.600000000000001" customHeight="1">
      <c r="B45" s="234">
        <v>38</v>
      </c>
      <c r="C45" s="363">
        <v>944034842</v>
      </c>
      <c r="D45" s="184" t="str">
        <f>+VLOOKUP(Tabla335[[#This Row],[CEDULA ]],'OCTUBRE 2025'!$C$8:$J$57,2,0)</f>
        <v>PEREZ ZAMORA ANA DE LOS ANGELES</v>
      </c>
      <c r="E45" s="184" t="str">
        <f>+VLOOKUP(Tabla335[[#This Row],[CEDULA ]],'OCTUBRE 2025'!$C$8:$J$57,4,0)</f>
        <v>CAJERO FINANCIERO</v>
      </c>
      <c r="F45" s="363" t="str">
        <f>+VLOOKUP(Tabla335[[#This Row],[CEDULA ]],'OCTUBRE 2025'!$C$8:$J$57,6,0)</f>
        <v>Matriz</v>
      </c>
      <c r="G45" s="185">
        <f>+VLOOKUP(Tabla335[[#This Row],[CEDULA ]],'OCTUBRE 2025'!$C$8:$J$57,8,0)</f>
        <v>256.52999999999997</v>
      </c>
      <c r="H45" s="381"/>
      <c r="I45" s="381"/>
      <c r="J45" s="382"/>
      <c r="K45" s="266">
        <f>+Tabla335[[#This Row],[BONO BOLETOS]]+Tabla335[[#This Row],[COM. POR CARGO]]+Tabla335[[#This Row],[BONO CUMP]]</f>
        <v>0</v>
      </c>
    </row>
    <row r="46" spans="2:11" ht="18.600000000000001" customHeight="1">
      <c r="B46" s="234">
        <v>39</v>
      </c>
      <c r="C46" s="363">
        <v>951340702</v>
      </c>
      <c r="D46" s="184" t="str">
        <f>+VLOOKUP(Tabla335[[#This Row],[CEDULA ]],'OCTUBRE 2025'!$C$8:$J$57,2,0)</f>
        <v>QUITO CALDERON JONATHAN ENRIQUE</v>
      </c>
      <c r="E46" s="184" t="str">
        <f>+VLOOKUP(Tabla335[[#This Row],[CEDULA ]],'OCTUBRE 2025'!$C$8:$J$57,4,0)</f>
        <v>JEFE DE COBRANZAS</v>
      </c>
      <c r="F46" s="363" t="str">
        <f>+VLOOKUP(Tabla335[[#This Row],[CEDULA ]],'OCTUBRE 2025'!$C$8:$J$57,6,0)</f>
        <v>Matriz</v>
      </c>
      <c r="G46" s="185">
        <f>+VLOOKUP(Tabla335[[#This Row],[CEDULA ]],'OCTUBRE 2025'!$C$8:$J$57,8,0)</f>
        <v>817.76</v>
      </c>
      <c r="H46" s="381"/>
      <c r="I46" s="381"/>
      <c r="J46" s="382"/>
      <c r="K46" s="266">
        <f>+Tabla335[[#This Row],[BONO BOLETOS]]+Tabla335[[#This Row],[COM. POR CARGO]]+Tabla335[[#This Row],[BONO CUMP]]</f>
        <v>0</v>
      </c>
    </row>
    <row r="47" spans="2:11" ht="18.600000000000001" customHeight="1">
      <c r="B47" s="234">
        <v>40</v>
      </c>
      <c r="C47" s="363">
        <v>650112949</v>
      </c>
      <c r="D47" s="184" t="str">
        <f>+VLOOKUP(Tabla335[[#This Row],[CEDULA ]],'OCTUBRE 2025'!$C$8:$J$57,2,0)</f>
        <v>QUITO UCHUBANDA JANETH ALEXANDRA</v>
      </c>
      <c r="E47" s="184" t="str">
        <f>+VLOOKUP(Tabla335[[#This Row],[CEDULA ]],'OCTUBRE 2025'!$C$8:$J$57,4,0)</f>
        <v>OFICIAL DE RECAUDACIONES</v>
      </c>
      <c r="F47" s="363" t="str">
        <f>+VLOOKUP(Tabla335[[#This Row],[CEDULA ]],'OCTUBRE 2025'!$C$8:$J$57,6,0)</f>
        <v>Norte</v>
      </c>
      <c r="G47" s="185">
        <f>+VLOOKUP(Tabla335[[#This Row],[CEDULA ]],'OCTUBRE 2025'!$C$8:$J$57,8,0)</f>
        <v>473.88</v>
      </c>
      <c r="H47" s="381"/>
      <c r="I47" s="381"/>
      <c r="J47" s="382"/>
      <c r="K47" s="266">
        <f>+Tabla335[[#This Row],[BONO BOLETOS]]+Tabla335[[#This Row],[COM. POR CARGO]]+Tabla335[[#This Row],[BONO CUMP]]</f>
        <v>0</v>
      </c>
    </row>
    <row r="48" spans="2:11" ht="18.600000000000001" customHeight="1">
      <c r="B48" s="234">
        <v>41</v>
      </c>
      <c r="C48" s="363">
        <v>924232804</v>
      </c>
      <c r="D48" s="184" t="str">
        <f>+VLOOKUP(Tabla335[[#This Row],[CEDULA ]],'OCTUBRE 2025'!$C$8:$J$57,2,0)</f>
        <v>RECALDE NARANJO ANGEL ALEXIS</v>
      </c>
      <c r="E48" s="184" t="str">
        <f>+VLOOKUP(Tabla335[[#This Row],[CEDULA ]],'OCTUBRE 2025'!$C$8:$J$57,4,0)</f>
        <v>JEFE TI</v>
      </c>
      <c r="F48" s="363" t="str">
        <f>+VLOOKUP(Tabla335[[#This Row],[CEDULA ]],'OCTUBRE 2025'!$C$8:$J$57,6,0)</f>
        <v>Matriz</v>
      </c>
      <c r="G48" s="185">
        <f>+VLOOKUP(Tabla335[[#This Row],[CEDULA ]],'OCTUBRE 2025'!$C$8:$J$57,8,0)</f>
        <v>1022.2</v>
      </c>
      <c r="H48" s="381"/>
      <c r="I48" s="381"/>
      <c r="J48" s="382"/>
      <c r="K48" s="266">
        <f>+Tabla335[[#This Row],[BONO BOLETOS]]+Tabla335[[#This Row],[COM. POR CARGO]]+Tabla335[[#This Row],[BONO CUMP]]</f>
        <v>0</v>
      </c>
    </row>
    <row r="49" spans="2:19" ht="18.600000000000001" customHeight="1">
      <c r="B49" s="234">
        <v>42</v>
      </c>
      <c r="C49" s="363">
        <v>605031145</v>
      </c>
      <c r="D49" s="184" t="str">
        <f>+VLOOKUP(Tabla335[[#This Row],[CEDULA ]],'OCTUBRE 2025'!$C$8:$J$57,2,0)</f>
        <v>SALAO PEREZ GERMAN FABRICIO</v>
      </c>
      <c r="E49" s="184" t="str">
        <f>+VLOOKUP(Tabla335[[#This Row],[CEDULA ]],'OCTUBRE 2025'!$C$8:$J$57,4,0)</f>
        <v>ASESOR DE NEGOCIOS</v>
      </c>
      <c r="F49" s="363" t="str">
        <f>+VLOOKUP(Tabla335[[#This Row],[CEDULA ]],'OCTUBRE 2025'!$C$8:$J$57,6,0)</f>
        <v>Durán</v>
      </c>
      <c r="G49" s="185">
        <f>+VLOOKUP(Tabla335[[#This Row],[CEDULA ]],'OCTUBRE 2025'!$C$8:$J$57,8,0)</f>
        <v>613.32000000000005</v>
      </c>
      <c r="H49" s="381"/>
      <c r="I49" s="381"/>
      <c r="J49" s="382">
        <v>0</v>
      </c>
      <c r="K49" s="266">
        <f>+Tabla335[[#This Row],[BONO BOLETOS]]+Tabla335[[#This Row],[COM. POR CARGO]]+Tabla335[[#This Row],[BONO CUMP]]</f>
        <v>0</v>
      </c>
    </row>
    <row r="50" spans="2:19" ht="18.600000000000001" customHeight="1">
      <c r="B50" s="234">
        <v>43</v>
      </c>
      <c r="C50" s="363">
        <v>927257576</v>
      </c>
      <c r="D50" s="184" t="str">
        <f>+VLOOKUP(Tabla335[[#This Row],[CEDULA ]],'OCTUBRE 2025'!$C$8:$J$57,2,0)</f>
        <v>SANISACA MITE ISRAEL BENJAMIN</v>
      </c>
      <c r="E50" s="184" t="str">
        <f>+VLOOKUP(Tabla335[[#This Row],[CEDULA ]],'OCTUBRE 2025'!$C$8:$J$57,4,0)</f>
        <v>JEFE DE CRÉDITO</v>
      </c>
      <c r="F50" s="363" t="str">
        <f>+VLOOKUP(Tabla335[[#This Row],[CEDULA ]],'OCTUBRE 2025'!$C$8:$J$57,6,0)</f>
        <v>Norte</v>
      </c>
      <c r="G50" s="185">
        <f>+VLOOKUP(Tabla335[[#This Row],[CEDULA ]],'OCTUBRE 2025'!$C$8:$J$57,8,0)</f>
        <v>1022.2</v>
      </c>
      <c r="H50" s="381"/>
      <c r="I50" s="381"/>
      <c r="J50" s="382"/>
      <c r="K50" s="266">
        <f>+Tabla335[[#This Row],[BONO BOLETOS]]+Tabla335[[#This Row],[COM. POR CARGO]]+Tabla335[[#This Row],[BONO CUMP]]</f>
        <v>0</v>
      </c>
    </row>
    <row r="51" spans="2:19" ht="18.600000000000001" customHeight="1">
      <c r="B51" s="234">
        <v>44</v>
      </c>
      <c r="C51" s="363">
        <v>928901800</v>
      </c>
      <c r="D51" s="184" t="str">
        <f>+VLOOKUP(Tabla335[[#This Row],[CEDULA ]],'OCTUBRE 2025'!$C$8:$J$57,2,0)</f>
        <v>TADAY GUAMAN NÉSTOR ALONSO</v>
      </c>
      <c r="E51" s="184" t="str">
        <f>+VLOOKUP(Tabla335[[#This Row],[CEDULA ]],'OCTUBRE 2025'!$C$8:$J$57,4,0)</f>
        <v>JEFE DE BOVEDA</v>
      </c>
      <c r="F51" s="363" t="str">
        <f>+VLOOKUP(Tabla335[[#This Row],[CEDULA ]],'OCTUBRE 2025'!$C$8:$J$57,6,0)</f>
        <v>Matriz</v>
      </c>
      <c r="G51" s="185">
        <f>+VLOOKUP(Tabla335[[#This Row],[CEDULA ]],'OCTUBRE 2025'!$C$8:$J$57,8,0)</f>
        <v>511.1</v>
      </c>
      <c r="H51" s="381"/>
      <c r="I51" s="381"/>
      <c r="J51" s="382"/>
      <c r="K51" s="266">
        <f>+Tabla335[[#This Row],[BONO BOLETOS]]+Tabla335[[#This Row],[COM. POR CARGO]]+Tabla335[[#This Row],[BONO CUMP]]</f>
        <v>0</v>
      </c>
    </row>
    <row r="52" spans="2:19" ht="18.600000000000001" customHeight="1">
      <c r="B52" s="234">
        <v>45</v>
      </c>
      <c r="C52" s="363">
        <v>951315746</v>
      </c>
      <c r="D52" s="184" t="str">
        <f>+VLOOKUP(Tabla335[[#This Row],[CEDULA ]],'OCTUBRE 2025'!$C$8:$J$57,2,0)</f>
        <v>TIGUA MONTERO KAREN LISBETH</v>
      </c>
      <c r="E52" s="184" t="str">
        <f>+VLOOKUP(Tabla335[[#This Row],[CEDULA ]],'OCTUBRE 2025'!$C$8:$J$57,4,0)</f>
        <v>ASESOR DE NEGOCIOS</v>
      </c>
      <c r="F52" s="363" t="str">
        <f>+VLOOKUP(Tabla335[[#This Row],[CEDULA ]],'OCTUBRE 2025'!$C$8:$J$57,6,0)</f>
        <v>Matriz</v>
      </c>
      <c r="G52" s="185">
        <f>+VLOOKUP(Tabla335[[#This Row],[CEDULA ]],'OCTUBRE 2025'!$C$8:$J$57,8,0)</f>
        <v>613.32000000000005</v>
      </c>
      <c r="H52" s="381"/>
      <c r="I52" s="381"/>
      <c r="J52" s="382">
        <v>0</v>
      </c>
      <c r="K52" s="266">
        <f>+Tabla335[[#This Row],[BONO BOLETOS]]+Tabla335[[#This Row],[COM. POR CARGO]]+Tabla335[[#This Row],[BONO CUMP]]</f>
        <v>0</v>
      </c>
    </row>
    <row r="53" spans="2:19" ht="18.600000000000001" customHeight="1">
      <c r="B53" s="234">
        <v>46</v>
      </c>
      <c r="C53" s="363">
        <v>954184321</v>
      </c>
      <c r="D53" s="184" t="str">
        <f>+VLOOKUP(Tabla335[[#This Row],[CEDULA ]],'OCTUBRE 2025'!$C$8:$J$57,2,0)</f>
        <v>URQUIZO GUARANGA ALEX EFRAIN</v>
      </c>
      <c r="E53" s="184" t="str">
        <f>+VLOOKUP(Tabla335[[#This Row],[CEDULA ]],'OCTUBRE 2025'!$C$8:$J$57,4,0)</f>
        <v>OFICIAL DE RECAUDACIONES</v>
      </c>
      <c r="F53" s="363" t="str">
        <f>+VLOOKUP(Tabla335[[#This Row],[CEDULA ]],'OCTUBRE 2025'!$C$8:$J$57,6,0)</f>
        <v>Matriz</v>
      </c>
      <c r="G53" s="185">
        <f>+VLOOKUP(Tabla335[[#This Row],[CEDULA ]],'OCTUBRE 2025'!$C$8:$J$57,8,0)</f>
        <v>511.1</v>
      </c>
      <c r="H53" s="381"/>
      <c r="I53" s="381"/>
      <c r="J53" s="382"/>
      <c r="K53" s="266">
        <f>+Tabla335[[#This Row],[BONO BOLETOS]]+Tabla335[[#This Row],[COM. POR CARGO]]+Tabla335[[#This Row],[BONO CUMP]]</f>
        <v>0</v>
      </c>
    </row>
    <row r="54" spans="2:19" ht="18.600000000000001" customHeight="1">
      <c r="B54" s="234">
        <v>47</v>
      </c>
      <c r="C54" s="363">
        <v>922034772</v>
      </c>
      <c r="D54" s="184" t="str">
        <f>+VLOOKUP(Tabla335[[#This Row],[CEDULA ]],'OCTUBRE 2025'!$C$8:$J$57,2,0)</f>
        <v>VERA GUEVARA PAOLA KARINA</v>
      </c>
      <c r="E54" s="184" t="str">
        <f>+VLOOKUP(Tabla335[[#This Row],[CEDULA ]],'OCTUBRE 2025'!$C$8:$J$57,4,0)</f>
        <v>ASESOR DE CAPTACIONES</v>
      </c>
      <c r="F54" s="363" t="str">
        <f>+VLOOKUP(Tabla335[[#This Row],[CEDULA ]],'OCTUBRE 2025'!$C$8:$J$57,6,0)</f>
        <v>Matriz</v>
      </c>
      <c r="G54" s="185">
        <f>+VLOOKUP(Tabla335[[#This Row],[CEDULA ]],'OCTUBRE 2025'!$C$8:$J$57,8,0)</f>
        <v>700</v>
      </c>
      <c r="H54" s="381"/>
      <c r="I54" s="381"/>
      <c r="J54" s="382">
        <v>0</v>
      </c>
      <c r="K54" s="266">
        <f>+Tabla335[[#This Row],[BONO BOLETOS]]+Tabla335[[#This Row],[COM. POR CARGO]]+Tabla335[[#This Row],[BONO CUMP]]</f>
        <v>0</v>
      </c>
    </row>
    <row r="55" spans="2:19" ht="18.600000000000001" customHeight="1">
      <c r="B55" s="234">
        <v>48</v>
      </c>
      <c r="C55" s="363">
        <v>923837991</v>
      </c>
      <c r="D55" s="184" t="str">
        <f>+VLOOKUP(Tabla335[[#This Row],[CEDULA ]],'OCTUBRE 2025'!$C$8:$J$57,2,0)</f>
        <v>YUNDA CUJILEMA MARIA TERESA</v>
      </c>
      <c r="E55" s="184" t="str">
        <f>+VLOOKUP(Tabla335[[#This Row],[CEDULA ]],'OCTUBRE 2025'!$C$8:$J$57,4,0)</f>
        <v>CONTADOR GENERAL</v>
      </c>
      <c r="F55" s="363" t="str">
        <f>+VLOOKUP(Tabla335[[#This Row],[CEDULA ]],'OCTUBRE 2025'!$C$8:$J$57,6,0)</f>
        <v>Matriz</v>
      </c>
      <c r="G55" s="185">
        <f>+VLOOKUP(Tabla335[[#This Row],[CEDULA ]],'OCTUBRE 2025'!$C$8:$J$57,8,0)</f>
        <v>1022.2</v>
      </c>
      <c r="H55" s="381"/>
      <c r="I55" s="381"/>
      <c r="J55" s="382"/>
      <c r="K55" s="266">
        <f>+Tabla335[[#This Row],[BONO BOLETOS]]+Tabla335[[#This Row],[COM. POR CARGO]]+Tabla335[[#This Row],[BONO CUMP]]</f>
        <v>0</v>
      </c>
    </row>
    <row r="56" spans="2:19" ht="18.600000000000001" customHeight="1">
      <c r="B56" s="234">
        <v>49</v>
      </c>
      <c r="C56" s="363">
        <v>941508905</v>
      </c>
      <c r="D56" s="184" t="str">
        <f>+VLOOKUP(Tabla335[[#This Row],[CEDULA ]],'OCTUBRE 2025'!$C$8:$J$57,2,0)</f>
        <v>YUQUILEMA CACUANGO ANGEL JOSE</v>
      </c>
      <c r="E56" s="184" t="str">
        <f>+VLOOKUP(Tabla335[[#This Row],[CEDULA ]],'OCTUBRE 2025'!$C$8:$J$57,4,0)</f>
        <v>OFICIAL DE RECAUDACIONES</v>
      </c>
      <c r="F56" s="363" t="str">
        <f>+VLOOKUP(Tabla335[[#This Row],[CEDULA ]],'OCTUBRE 2025'!$C$8:$J$57,6,0)</f>
        <v>Matriz</v>
      </c>
      <c r="G56" s="185">
        <f>+VLOOKUP(Tabla335[[#This Row],[CEDULA ]],'OCTUBRE 2025'!$C$8:$J$57,8,0)</f>
        <v>511.1</v>
      </c>
      <c r="H56" s="381"/>
      <c r="I56" s="381"/>
      <c r="J56" s="382"/>
      <c r="K56" s="266">
        <f>+Tabla335[[#This Row],[BONO BOLETOS]]+Tabla335[[#This Row],[COM. POR CARGO]]+Tabla335[[#This Row],[BONO CUMP]]</f>
        <v>0</v>
      </c>
    </row>
    <row r="57" spans="2:19" ht="18.600000000000001" customHeight="1">
      <c r="B57" s="234">
        <v>50</v>
      </c>
      <c r="C57" s="363">
        <v>604154575</v>
      </c>
      <c r="D57" s="184" t="str">
        <f>+VLOOKUP(Tabla335[[#This Row],[CEDULA ]],'OCTUBRE 2025'!$C$8:$J$57,2,0)</f>
        <v>YUQUILEMA DELGADO PEDRO ANTONIO</v>
      </c>
      <c r="E57" s="184" t="str">
        <f>+VLOOKUP(Tabla335[[#This Row],[CEDULA ]],'OCTUBRE 2025'!$C$8:$J$57,4,0)</f>
        <v>JEFE DE CRÉDITO</v>
      </c>
      <c r="F57" s="363" t="str">
        <f>+VLOOKUP(Tabla335[[#This Row],[CEDULA ]],'OCTUBRE 2025'!$C$8:$J$57,6,0)</f>
        <v>Durán</v>
      </c>
      <c r="G57" s="185">
        <f>+VLOOKUP(Tabla335[[#This Row],[CEDULA ]],'OCTUBRE 2025'!$C$8:$J$57,8,0)</f>
        <v>1022.2</v>
      </c>
      <c r="H57" s="381"/>
      <c r="I57" s="381"/>
      <c r="J57" s="382"/>
      <c r="K57" s="266">
        <f>+Tabla335[[#This Row],[BONO BOLETOS]]+Tabla335[[#This Row],[COM. POR CARGO]]+Tabla335[[#This Row],[BONO CUMP]]</f>
        <v>0</v>
      </c>
    </row>
    <row r="58" spans="2:19" ht="18.600000000000001" customHeight="1">
      <c r="B58" s="64"/>
      <c r="C58" s="601"/>
      <c r="D58" s="189"/>
      <c r="E58" s="69"/>
      <c r="F58" s="598"/>
      <c r="G58" s="70"/>
      <c r="H58" s="265"/>
      <c r="I58" s="265"/>
      <c r="J58" s="265">
        <v>0</v>
      </c>
      <c r="K58" s="266">
        <f>+Tabla335[[#This Row],[BONO BOLETOS]]+Tabla335[[#This Row],[COM. POR CARGO]]+Tabla335[[#This Row],[BONO CUMP]]</f>
        <v>0</v>
      </c>
    </row>
    <row r="59" spans="2:19" ht="21.6" customHeight="1">
      <c r="B59" s="71"/>
      <c r="C59" s="188"/>
      <c r="D59" s="72" t="s">
        <v>32</v>
      </c>
      <c r="E59" s="72"/>
      <c r="F59" s="596"/>
      <c r="G59" s="73">
        <f>SUBTOTAL(109,Tabla335[SUELDO])</f>
        <v>30990.649999999994</v>
      </c>
      <c r="H59" s="75">
        <f>SUBTOTAL(109,Tabla335[BONO BOLETOS])</f>
        <v>0</v>
      </c>
      <c r="I59" s="75">
        <f>SUBTOTAL(109,Tabla335[COM. POR CARGO])</f>
        <v>0</v>
      </c>
      <c r="J59" s="75">
        <f>SUBTOTAL(109,Tabla335[BONO CUMP])</f>
        <v>737.54</v>
      </c>
      <c r="K59" s="75">
        <f>SUBTOTAL(109,Tabla335[US$,,])</f>
        <v>737.54</v>
      </c>
    </row>
    <row r="60" spans="2:19">
      <c r="N60" s="252"/>
      <c r="O60" s="252"/>
      <c r="P60" s="251"/>
      <c r="Q60" s="252"/>
      <c r="R60" s="252"/>
      <c r="S60" s="251"/>
    </row>
    <row r="61" spans="2:19">
      <c r="N61" s="255"/>
      <c r="O61" s="256"/>
      <c r="P61" s="255"/>
      <c r="Q61" s="257"/>
      <c r="R61" s="258"/>
      <c r="S61" s="113"/>
    </row>
    <row r="62" spans="2:19">
      <c r="N62" s="255"/>
      <c r="O62" s="256"/>
      <c r="P62" s="255"/>
      <c r="Q62" s="257"/>
      <c r="R62" s="258"/>
      <c r="S62" s="113"/>
    </row>
  </sheetData>
  <sheetProtection autoFilter="0"/>
  <mergeCells count="4">
    <mergeCell ref="B2:K2"/>
    <mergeCell ref="B3:K3"/>
    <mergeCell ref="H5:J5"/>
    <mergeCell ref="K5:K6"/>
  </mergeCells>
  <conditionalFormatting sqref="Q61:Q62">
    <cfRule type="cellIs" dxfId="75" priority="1" operator="between">
      <formula>80</formula>
      <formula>85</formula>
    </cfRule>
  </conditionalFormatting>
  <dataValidations count="1">
    <dataValidation type="list" allowBlank="1" showInputMessage="1" showErrorMessage="1" sqref="S61" xr:uid="{6A866B65-3C9A-40CF-ACD3-AE26CBF71085}">
      <formula1>$AG$6:$AG$32</formula1>
    </dataValidation>
  </dataValidations>
  <pageMargins left="0.65" right="0.25" top="0.4" bottom="0.75" header="0.52" footer="0.3"/>
  <pageSetup scale="58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AE99-E95E-44ED-99E5-6B1A6CB3334B}">
  <sheetPr codeName="Hoja6">
    <tabColor theme="5" tint="-0.249977111117893"/>
  </sheetPr>
  <dimension ref="B1:V62"/>
  <sheetViews>
    <sheetView showGridLines="0" zoomScale="85" zoomScaleNormal="85" workbookViewId="0">
      <pane xSplit="1" ySplit="7" topLeftCell="B8" activePane="bottomRight" state="frozen"/>
      <selection pane="topRight" activeCell="B1" sqref="B1"/>
      <selection pane="bottomLeft" activeCell="A9" sqref="A9"/>
      <selection pane="bottomRight" activeCell="C17" sqref="C17"/>
    </sheetView>
  </sheetViews>
  <sheetFormatPr baseColWidth="10" defaultRowHeight="14.4"/>
  <cols>
    <col min="1" max="1" width="2.88671875" customWidth="1"/>
    <col min="2" max="2" width="4.88671875" style="17" customWidth="1"/>
    <col min="3" max="3" width="12.88671875" style="599" customWidth="1"/>
    <col min="4" max="4" width="32.5546875" style="10" customWidth="1"/>
    <col min="5" max="5" width="24.44140625" customWidth="1"/>
    <col min="6" max="6" width="9" bestFit="1" customWidth="1"/>
    <col min="8" max="8" width="9.6640625" customWidth="1"/>
    <col min="9" max="9" width="11.33203125" customWidth="1"/>
    <col min="10" max="10" width="8.88671875" customWidth="1"/>
    <col min="11" max="11" width="9.88671875" customWidth="1"/>
    <col min="12" max="12" width="11.5546875" style="33"/>
    <col min="13" max="13" width="6.109375" customWidth="1"/>
    <col min="15" max="15" width="14.5546875" customWidth="1"/>
    <col min="16" max="16" width="35.109375" customWidth="1"/>
    <col min="17" max="17" width="17.5546875" customWidth="1"/>
    <col min="22" max="22" width="27.33203125" customWidth="1"/>
  </cols>
  <sheetData>
    <row r="1" spans="2:13" ht="10.5" customHeight="1"/>
    <row r="2" spans="2:13" ht="15.75" customHeight="1">
      <c r="B2" s="896" t="s">
        <v>257</v>
      </c>
      <c r="C2" s="896"/>
      <c r="D2" s="896"/>
      <c r="E2" s="896"/>
      <c r="F2" s="896"/>
      <c r="G2" s="896"/>
      <c r="H2" s="896"/>
      <c r="I2" s="896"/>
      <c r="J2" s="896"/>
      <c r="K2" s="896"/>
      <c r="L2" s="896"/>
    </row>
    <row r="3" spans="2:13" ht="15" customHeight="1">
      <c r="B3" s="897" t="s">
        <v>440</v>
      </c>
      <c r="C3" s="897"/>
      <c r="D3" s="897"/>
      <c r="E3" s="897"/>
      <c r="F3" s="897"/>
      <c r="G3" s="897"/>
      <c r="H3" s="897"/>
      <c r="I3" s="897"/>
      <c r="J3" s="897"/>
      <c r="K3" s="897"/>
      <c r="L3" s="897"/>
    </row>
    <row r="4" spans="2:13" ht="7.5" customHeight="1" thickBot="1"/>
    <row r="5" spans="2:13" ht="18" customHeight="1" thickTop="1" thickBot="1">
      <c r="D5" s="54"/>
      <c r="E5" s="54"/>
      <c r="F5" s="243"/>
      <c r="G5" s="54"/>
      <c r="H5" s="898" t="s">
        <v>238</v>
      </c>
      <c r="I5" s="900"/>
      <c r="J5" s="898" t="s">
        <v>87</v>
      </c>
      <c r="K5" s="900"/>
      <c r="L5" s="901" t="s">
        <v>241</v>
      </c>
      <c r="M5" s="51"/>
    </row>
    <row r="6" spans="2:13" ht="13.5" customHeight="1" thickTop="1" thickBot="1">
      <c r="C6" s="600"/>
      <c r="D6" s="54"/>
      <c r="E6" s="54"/>
      <c r="F6" s="243"/>
      <c r="G6" s="54"/>
      <c r="H6" s="55" t="s">
        <v>239</v>
      </c>
      <c r="I6" s="56" t="s">
        <v>240</v>
      </c>
      <c r="J6" s="321">
        <v>5</v>
      </c>
      <c r="K6" s="322">
        <v>10</v>
      </c>
      <c r="L6" s="902"/>
    </row>
    <row r="7" spans="2:13" ht="19.95" customHeight="1" thickTop="1">
      <c r="B7" s="57" t="s">
        <v>128</v>
      </c>
      <c r="C7" s="363" t="s">
        <v>129</v>
      </c>
      <c r="D7" s="184" t="s">
        <v>2</v>
      </c>
      <c r="E7" s="58" t="s">
        <v>103</v>
      </c>
      <c r="F7" s="244" t="s">
        <v>130</v>
      </c>
      <c r="G7" s="59" t="s">
        <v>120</v>
      </c>
      <c r="H7" s="60" t="s">
        <v>131</v>
      </c>
      <c r="I7" s="61" t="s">
        <v>132</v>
      </c>
      <c r="J7" s="62" t="s">
        <v>133</v>
      </c>
      <c r="K7" s="63" t="s">
        <v>203</v>
      </c>
      <c r="L7" s="63" t="s">
        <v>204</v>
      </c>
    </row>
    <row r="8" spans="2:13" ht="18.600000000000001" customHeight="1">
      <c r="B8" s="234">
        <v>1</v>
      </c>
      <c r="C8" s="363">
        <v>925813685</v>
      </c>
      <c r="D8" s="184" t="str">
        <f>+VLOOKUP(Tabla33[[#This Row],[CEDULA ]],'OCTUBRE 2025'!$C$8:$J$57,2,0)</f>
        <v>ASITIMBAY CRIOLLO JOHN ANDERSON</v>
      </c>
      <c r="E8" s="184" t="str">
        <f>+VLOOKUP(Tabla33[[#This Row],[CEDULA ]],'OCTUBRE 2025'!$C$8:$J$57,4,0)</f>
        <v xml:space="preserve"> JEFE DE MARKETING</v>
      </c>
      <c r="F8" s="184" t="str">
        <f>+VLOOKUP(Tabla33[[#This Row],[CEDULA ]],'OCTUBRE 2025'!$C$8:$J$57,6,0)</f>
        <v>Matriz</v>
      </c>
      <c r="G8" s="650">
        <f>+VLOOKUP(Tabla33[[#This Row],[CEDULA ]],'OCTUBRE 2025'!$C$8:$J$57,8,0)</f>
        <v>817.76</v>
      </c>
      <c r="H8" s="324"/>
      <c r="I8" s="323"/>
      <c r="J8" s="65">
        <f>+Tabla33[[#This Row],[Cantidad]]*$J$6</f>
        <v>0</v>
      </c>
      <c r="K8" s="65">
        <f>+Tabla33[[#This Row],[Cantidad2]]*$K$6</f>
        <v>0</v>
      </c>
      <c r="L8" s="266">
        <f>+Tabla33[[#This Row],[US$]]+Tabla33[[#This Row],[US$,]]</f>
        <v>0</v>
      </c>
    </row>
    <row r="9" spans="2:13" ht="18.600000000000001" customHeight="1">
      <c r="B9" s="234">
        <v>2</v>
      </c>
      <c r="C9" s="363">
        <v>944405737</v>
      </c>
      <c r="D9" s="184" t="str">
        <f>+VLOOKUP(Tabla33[[#This Row],[CEDULA ]],'OCTUBRE 2025'!$C$8:$J$57,2,0)</f>
        <v>BARAHONA ZAMBRANO DAYANA NICOLE</v>
      </c>
      <c r="E9" s="184" t="str">
        <f>+VLOOKUP(Tabla33[[#This Row],[CEDULA ]],'OCTUBRE 2025'!$C$8:$J$57,4,0)</f>
        <v>CAJERO FINANCIERO</v>
      </c>
      <c r="F9" s="184" t="str">
        <f>+VLOOKUP(Tabla33[[#This Row],[CEDULA ]],'OCTUBRE 2025'!$C$8:$J$57,6,0)</f>
        <v>Matriz</v>
      </c>
      <c r="G9" s="650">
        <f>+VLOOKUP(Tabla33[[#This Row],[CEDULA ]],'OCTUBRE 2025'!$C$8:$J$57,8,0)</f>
        <v>15.86</v>
      </c>
      <c r="H9" s="324"/>
      <c r="I9" s="323"/>
      <c r="J9" s="65">
        <f>+Tabla33[[#This Row],[Cantidad]]*$J$6</f>
        <v>0</v>
      </c>
      <c r="K9" s="65">
        <f>+Tabla33[[#This Row],[Cantidad2]]*$K$6</f>
        <v>0</v>
      </c>
      <c r="L9" s="266">
        <f>+Tabla33[[#This Row],[US$]]+Tabla33[[#This Row],[US$,]]</f>
        <v>0</v>
      </c>
    </row>
    <row r="10" spans="2:13" ht="18.600000000000001" customHeight="1">
      <c r="B10" s="234">
        <v>3</v>
      </c>
      <c r="C10" s="363">
        <v>604394502</v>
      </c>
      <c r="D10" s="184" t="str">
        <f>+VLOOKUP(Tabla33[[#This Row],[CEDULA ]],'OCTUBRE 2025'!$C$8:$J$57,2,0)</f>
        <v>BETUN CHAFLA JULIO CESAR</v>
      </c>
      <c r="E10" s="184" t="str">
        <f>+VLOOKUP(Tabla33[[#This Row],[CEDULA ]],'OCTUBRE 2025'!$C$8:$J$57,4,0)</f>
        <v>ASESOR DE NEGOCIOS</v>
      </c>
      <c r="F10" s="184" t="str">
        <f>+VLOOKUP(Tabla33[[#This Row],[CEDULA ]],'OCTUBRE 2025'!$C$8:$J$57,6,0)</f>
        <v>Matriz</v>
      </c>
      <c r="G10" s="650">
        <f>+VLOOKUP(Tabla33[[#This Row],[CEDULA ]],'OCTUBRE 2025'!$C$8:$J$57,8,0)</f>
        <v>613.32000000000005</v>
      </c>
      <c r="H10" s="324"/>
      <c r="I10" s="323"/>
      <c r="J10" s="65">
        <f>+Tabla33[[#This Row],[Cantidad]]*$J$6</f>
        <v>0</v>
      </c>
      <c r="K10" s="65">
        <f>+Tabla33[[#This Row],[Cantidad2]]*$K$6</f>
        <v>0</v>
      </c>
      <c r="L10" s="266">
        <f>+Tabla33[[#This Row],[US$]]+Tabla33[[#This Row],[US$,]]</f>
        <v>0</v>
      </c>
    </row>
    <row r="11" spans="2:13" ht="18.600000000000001" customHeight="1">
      <c r="B11" s="234">
        <v>4</v>
      </c>
      <c r="C11" s="363">
        <v>955741970</v>
      </c>
      <c r="D11" s="184" t="str">
        <f>+VLOOKUP(Tabla33[[#This Row],[CEDULA ]],'OCTUBRE 2025'!$C$8:$J$57,2,0)</f>
        <v>CHACAGUASAY CHACAGUASAY ROBERTH CRISTHIAN</v>
      </c>
      <c r="E11" s="184" t="str">
        <f>+VLOOKUP(Tabla33[[#This Row],[CEDULA ]],'OCTUBRE 2025'!$C$8:$J$57,4,0)</f>
        <v>OFICIAL DE RECAUDACIONES</v>
      </c>
      <c r="F11" s="184" t="str">
        <f>+VLOOKUP(Tabla33[[#This Row],[CEDULA ]],'OCTUBRE 2025'!$C$8:$J$57,6,0)</f>
        <v>Matriz</v>
      </c>
      <c r="G11" s="650">
        <f>+VLOOKUP(Tabla33[[#This Row],[CEDULA ]],'OCTUBRE 2025'!$C$8:$J$57,8,0)</f>
        <v>473.88</v>
      </c>
      <c r="H11" s="324"/>
      <c r="I11" s="323"/>
      <c r="J11" s="65">
        <f>+Tabla33[[#This Row],[Cantidad]]*$J$6</f>
        <v>0</v>
      </c>
      <c r="K11" s="65">
        <f>+Tabla33[[#This Row],[Cantidad2]]*$K$6</f>
        <v>0</v>
      </c>
      <c r="L11" s="266">
        <f>+Tabla33[[#This Row],[US$]]+Tabla33[[#This Row],[US$,]]</f>
        <v>0</v>
      </c>
    </row>
    <row r="12" spans="2:13" ht="18.600000000000001" customHeight="1">
      <c r="B12" s="234">
        <v>5</v>
      </c>
      <c r="C12" s="363" t="s">
        <v>481</v>
      </c>
      <c r="D12" s="184" t="str">
        <f>+VLOOKUP(Tabla33[[#This Row],[CEDULA ]],'OCTUBRE 2025'!$C$8:$J$57,2,0)</f>
        <v>CHACAGUASAY GUAMAN KEVIN NEHEMIAS</v>
      </c>
      <c r="E12" s="184" t="str">
        <f>+VLOOKUP(Tabla33[[#This Row],[CEDULA ]],'OCTUBRE 2025'!$C$8:$J$57,4,0)</f>
        <v>ASESOR DE NEGOCIOS</v>
      </c>
      <c r="F12" s="184" t="str">
        <f>+VLOOKUP(Tabla33[[#This Row],[CEDULA ]],'OCTUBRE 2025'!$C$8:$J$57,6,0)</f>
        <v>Matriz</v>
      </c>
      <c r="G12" s="650">
        <f>+VLOOKUP(Tabla33[[#This Row],[CEDULA ]],'OCTUBRE 2025'!$C$8:$J$57,8,0)</f>
        <v>256.52999999999997</v>
      </c>
      <c r="H12" s="324"/>
      <c r="I12" s="323"/>
      <c r="J12" s="65">
        <f>+Tabla33[[#This Row],[Cantidad]]*$J$6</f>
        <v>0</v>
      </c>
      <c r="K12" s="65">
        <f>+Tabla33[[#This Row],[Cantidad2]]*$K$6</f>
        <v>0</v>
      </c>
      <c r="L12" s="266">
        <f>+Tabla33[[#This Row],[US$]]+Tabla33[[#This Row],[US$,]]</f>
        <v>0</v>
      </c>
    </row>
    <row r="13" spans="2:13" ht="18.600000000000001" customHeight="1">
      <c r="B13" s="234">
        <v>6</v>
      </c>
      <c r="C13" s="363">
        <v>944143148</v>
      </c>
      <c r="D13" s="184" t="str">
        <f>+VLOOKUP(Tabla33[[#This Row],[CEDULA ]],'OCTUBRE 2025'!$C$8:$J$57,2,0)</f>
        <v>CHIMBOLEMA YUNGAN MARIO EFRAIN</v>
      </c>
      <c r="E13" s="184" t="str">
        <f>+VLOOKUP(Tabla33[[#This Row],[CEDULA ]],'OCTUBRE 2025'!$C$8:$J$57,4,0)</f>
        <v>OFICIAL DE RECAUDACIONES</v>
      </c>
      <c r="F13" s="184" t="str">
        <f>+VLOOKUP(Tabla33[[#This Row],[CEDULA ]],'OCTUBRE 2025'!$C$8:$J$57,6,0)</f>
        <v>Durán</v>
      </c>
      <c r="G13" s="650">
        <f>+VLOOKUP(Tabla33[[#This Row],[CEDULA ]],'OCTUBRE 2025'!$C$8:$J$57,8,0)</f>
        <v>142.16</v>
      </c>
      <c r="H13" s="324"/>
      <c r="I13" s="323"/>
      <c r="J13" s="65">
        <f>+Tabla33[[#This Row],[Cantidad]]*$J$6</f>
        <v>0</v>
      </c>
      <c r="K13" s="65">
        <f>+Tabla33[[#This Row],[Cantidad2]]*$K$6</f>
        <v>0</v>
      </c>
      <c r="L13" s="266">
        <f>+Tabla33[[#This Row],[US$]]+Tabla33[[#This Row],[US$,]]</f>
        <v>0</v>
      </c>
    </row>
    <row r="14" spans="2:13" ht="18.600000000000001" customHeight="1">
      <c r="B14" s="234">
        <v>7</v>
      </c>
      <c r="C14" s="363">
        <v>955325238</v>
      </c>
      <c r="D14" s="184" t="str">
        <f>+VLOOKUP(Tabla33[[#This Row],[CEDULA ]],'OCTUBRE 2025'!$C$8:$J$57,2,0)</f>
        <v>CHOCA CEPEDA INES VIVIANA</v>
      </c>
      <c r="E14" s="184" t="str">
        <f>+VLOOKUP(Tabla33[[#This Row],[CEDULA ]],'OCTUBRE 2025'!$C$8:$J$57,4,0)</f>
        <v>CAJERA FINANCIERA</v>
      </c>
      <c r="F14" s="184" t="str">
        <f>+VLOOKUP(Tabla33[[#This Row],[CEDULA ]],'OCTUBRE 2025'!$C$8:$J$57,6,0)</f>
        <v>Matriz</v>
      </c>
      <c r="G14" s="650">
        <f>+VLOOKUP(Tabla33[[#This Row],[CEDULA ]],'OCTUBRE 2025'!$C$8:$J$57,8,0)</f>
        <v>256.52999999999997</v>
      </c>
      <c r="H14" s="324"/>
      <c r="I14" s="323"/>
      <c r="J14" s="65">
        <f>+Tabla33[[#This Row],[Cantidad]]*$J$6</f>
        <v>0</v>
      </c>
      <c r="K14" s="65">
        <f>+Tabla33[[#This Row],[Cantidad2]]*$K$6</f>
        <v>0</v>
      </c>
      <c r="L14" s="266">
        <f>+Tabla33[[#This Row],[US$]]+Tabla33[[#This Row],[US$,]]</f>
        <v>0</v>
      </c>
    </row>
    <row r="15" spans="2:13" ht="18.600000000000001" customHeight="1">
      <c r="B15" s="234">
        <v>8</v>
      </c>
      <c r="C15" s="363">
        <v>914163654</v>
      </c>
      <c r="D15" s="184" t="str">
        <f>+VLOOKUP(Tabla33[[#This Row],[CEDULA ]],'OCTUBRE 2025'!$C$8:$J$57,2,0)</f>
        <v>COCA BENITEZ JORGE MANUEL</v>
      </c>
      <c r="E15" s="184" t="str">
        <f>+VLOOKUP(Tabla33[[#This Row],[CEDULA ]],'OCTUBRE 2025'!$C$8:$J$57,4,0)</f>
        <v>ANALISTA DE RIESGO</v>
      </c>
      <c r="F15" s="184" t="str">
        <f>+VLOOKUP(Tabla33[[#This Row],[CEDULA ]],'OCTUBRE 2025'!$C$8:$J$57,6,0)</f>
        <v>Matriz</v>
      </c>
      <c r="G15" s="650">
        <f>+VLOOKUP(Tabla33[[#This Row],[CEDULA ]],'OCTUBRE 2025'!$C$8:$J$57,8,0)</f>
        <v>1200</v>
      </c>
      <c r="H15" s="324"/>
      <c r="I15" s="323"/>
      <c r="J15" s="65">
        <f>+Tabla33[[#This Row],[Cantidad]]*$J$6</f>
        <v>0</v>
      </c>
      <c r="K15" s="65">
        <f>+Tabla33[[#This Row],[Cantidad2]]*$K$6</f>
        <v>0</v>
      </c>
      <c r="L15" s="266">
        <f>+Tabla33[[#This Row],[US$]]+Tabla33[[#This Row],[US$,]]</f>
        <v>0</v>
      </c>
    </row>
    <row r="16" spans="2:13" ht="18.600000000000001" customHeight="1">
      <c r="B16" s="234">
        <v>9</v>
      </c>
      <c r="C16" s="363">
        <v>956668305</v>
      </c>
      <c r="D16" s="184" t="str">
        <f>+VLOOKUP(Tabla33[[#This Row],[CEDULA ]],'OCTUBRE 2025'!$C$8:$J$57,2,0)</f>
        <v>CORO YUQUILEMA RUTH NOEMI</v>
      </c>
      <c r="E16" s="184" t="str">
        <f>+VLOOKUP(Tabla33[[#This Row],[CEDULA ]],'OCTUBRE 2025'!$C$8:$J$57,4,0)</f>
        <v>OFICIAL DE RECAUDACIONES</v>
      </c>
      <c r="F16" s="184" t="str">
        <f>+VLOOKUP(Tabla33[[#This Row],[CEDULA ]],'OCTUBRE 2025'!$C$8:$J$57,6,0)</f>
        <v>Matriz</v>
      </c>
      <c r="G16" s="650">
        <f>+VLOOKUP(Tabla33[[#This Row],[CEDULA ]],'OCTUBRE 2025'!$C$8:$J$57,8,0)</f>
        <v>252.74</v>
      </c>
      <c r="H16" s="324"/>
      <c r="I16" s="323"/>
      <c r="J16" s="65">
        <f>+Tabla33[[#This Row],[Cantidad]]*$J$6</f>
        <v>0</v>
      </c>
      <c r="K16" s="65">
        <f>+Tabla33[[#This Row],[Cantidad2]]*$K$6</f>
        <v>0</v>
      </c>
      <c r="L16" s="266">
        <f>+Tabla33[[#This Row],[US$]]+Tabla33[[#This Row],[US$,]]</f>
        <v>0</v>
      </c>
    </row>
    <row r="17" spans="2:12" ht="18.600000000000001" customHeight="1">
      <c r="B17" s="234">
        <v>10</v>
      </c>
      <c r="C17" s="363" t="s">
        <v>485</v>
      </c>
      <c r="D17" s="184" t="str">
        <f>+VLOOKUP(Tabla33[[#This Row],[CEDULA ]],'OCTUBRE 2025'!$C$8:$J$57,2,0)</f>
        <v>DEFAS CHICAIZA JOEL ALBERTO</v>
      </c>
      <c r="E17" s="184" t="str">
        <f>+VLOOKUP(Tabla33[[#This Row],[CEDULA ]],'OCTUBRE 2025'!$C$8:$J$57,4,0)</f>
        <v>ASESOR DE NEGOCIOS</v>
      </c>
      <c r="F17" s="184" t="str">
        <f>+VLOOKUP(Tabla33[[#This Row],[CEDULA ]],'OCTUBRE 2025'!$C$8:$J$57,6,0)</f>
        <v>Norte</v>
      </c>
      <c r="G17" s="650">
        <f>+VLOOKUP(Tabla33[[#This Row],[CEDULA ]],'OCTUBRE 2025'!$C$8:$J$57,8,0)</f>
        <v>626.65</v>
      </c>
      <c r="H17" s="324"/>
      <c r="I17" s="323"/>
      <c r="J17" s="65">
        <f>+Tabla33[[#This Row],[Cantidad]]*$J$6</f>
        <v>0</v>
      </c>
      <c r="K17" s="65">
        <f>+Tabla33[[#This Row],[Cantidad2]]*$K$6</f>
        <v>0</v>
      </c>
      <c r="L17" s="266">
        <f>+Tabla33[[#This Row],[US$]]+Tabla33[[#This Row],[US$,]]</f>
        <v>0</v>
      </c>
    </row>
    <row r="18" spans="2:12" ht="18.600000000000001" customHeight="1">
      <c r="B18" s="234">
        <v>11</v>
      </c>
      <c r="C18" s="363">
        <v>931097620</v>
      </c>
      <c r="D18" s="184" t="str">
        <f>+VLOOKUP(Tabla33[[#This Row],[CEDULA ]],'OCTUBRE 2025'!$C$8:$J$57,2,0)</f>
        <v>DEL ROSARIO RODRIGUEZ JUDY ANGELICA</v>
      </c>
      <c r="E18" s="184" t="str">
        <f>+VLOOKUP(Tabla33[[#This Row],[CEDULA ]],'OCTUBRE 2025'!$C$8:$J$57,4,0)</f>
        <v>CAJERA FINANCIERA</v>
      </c>
      <c r="F18" s="184" t="str">
        <f>+VLOOKUP(Tabla33[[#This Row],[CEDULA ]],'OCTUBRE 2025'!$C$8:$J$57,6,0)</f>
        <v>Norte</v>
      </c>
      <c r="G18" s="650">
        <f>+VLOOKUP(Tabla33[[#This Row],[CEDULA ]],'OCTUBRE 2025'!$C$8:$J$57,8,0)</f>
        <v>256.52999999999997</v>
      </c>
      <c r="H18" s="324"/>
      <c r="I18" s="323"/>
      <c r="J18" s="65">
        <f>+Tabla33[[#This Row],[Cantidad]]*$J$6</f>
        <v>0</v>
      </c>
      <c r="K18" s="65">
        <f>+Tabla33[[#This Row],[Cantidad2]]*$K$6</f>
        <v>0</v>
      </c>
      <c r="L18" s="266">
        <f>+Tabla33[[#This Row],[US$]]+Tabla33[[#This Row],[US$,]]</f>
        <v>0</v>
      </c>
    </row>
    <row r="19" spans="2:12" ht="18.600000000000001" customHeight="1">
      <c r="B19" s="234">
        <v>12</v>
      </c>
      <c r="C19" s="363">
        <v>1105483422</v>
      </c>
      <c r="D19" s="184" t="str">
        <f>+VLOOKUP(Tabla33[[#This Row],[CEDULA ]],'OCTUBRE 2025'!$C$8:$J$57,2,0)</f>
        <v>FLORES HERRERA WENDY DEL CISNE</v>
      </c>
      <c r="E19" s="184" t="str">
        <f>+VLOOKUP(Tabla33[[#This Row],[CEDULA ]],'OCTUBRE 2025'!$C$8:$J$57,4,0)</f>
        <v>CAJERO FINANCIERO</v>
      </c>
      <c r="F19" s="184" t="str">
        <f>+VLOOKUP(Tabla33[[#This Row],[CEDULA ]],'OCTUBRE 2025'!$C$8:$J$57,6,0)</f>
        <v>Durán</v>
      </c>
      <c r="G19" s="650">
        <f>+VLOOKUP(Tabla33[[#This Row],[CEDULA ]],'OCTUBRE 2025'!$C$8:$J$57,8,0)</f>
        <v>650</v>
      </c>
      <c r="H19" s="324"/>
      <c r="I19" s="323"/>
      <c r="J19" s="65">
        <f>+Tabla33[[#This Row],[Cantidad]]*$J$6</f>
        <v>0</v>
      </c>
      <c r="K19" s="65">
        <f>+Tabla33[[#This Row],[Cantidad2]]*$K$6</f>
        <v>0</v>
      </c>
      <c r="L19" s="266">
        <f>+Tabla33[[#This Row],[US$]]+Tabla33[[#This Row],[US$,]]</f>
        <v>0</v>
      </c>
    </row>
    <row r="20" spans="2:12" ht="18.600000000000001" customHeight="1">
      <c r="B20" s="234">
        <v>13</v>
      </c>
      <c r="C20" s="363">
        <v>942614645</v>
      </c>
      <c r="D20" s="184" t="str">
        <f>+VLOOKUP(Tabla33[[#This Row],[CEDULA ]],'OCTUBRE 2025'!$C$8:$J$57,2,0)</f>
        <v>FUELA TOABANDA JOSUE CHRISTIAN</v>
      </c>
      <c r="E20" s="184" t="str">
        <f>+VLOOKUP(Tabla33[[#This Row],[CEDULA ]],'OCTUBRE 2025'!$C$8:$J$57,4,0)</f>
        <v>ASISTENTE CONTABLE</v>
      </c>
      <c r="F20" s="184" t="str">
        <f>+VLOOKUP(Tabla33[[#This Row],[CEDULA ]],'OCTUBRE 2025'!$C$8:$J$57,6,0)</f>
        <v>Matriz</v>
      </c>
      <c r="G20" s="650">
        <f>+VLOOKUP(Tabla33[[#This Row],[CEDULA ]],'OCTUBRE 2025'!$C$8:$J$57,8,0)</f>
        <v>481</v>
      </c>
      <c r="H20" s="324"/>
      <c r="I20" s="323"/>
      <c r="J20" s="65">
        <f>+Tabla33[[#This Row],[Cantidad]]*$J$6</f>
        <v>0</v>
      </c>
      <c r="K20" s="65">
        <f>+Tabla33[[#This Row],[Cantidad2]]*$K$6</f>
        <v>0</v>
      </c>
      <c r="L20" s="266">
        <f>+Tabla33[[#This Row],[US$]]+Tabla33[[#This Row],[US$,]]</f>
        <v>0</v>
      </c>
    </row>
    <row r="21" spans="2:12" ht="18.600000000000001" customHeight="1">
      <c r="B21" s="234">
        <v>14</v>
      </c>
      <c r="C21" s="363">
        <v>951200062</v>
      </c>
      <c r="D21" s="184" t="str">
        <f>+VLOOKUP(Tabla33[[#This Row],[CEDULA ]],'OCTUBRE 2025'!$C$8:$J$57,2,0)</f>
        <v>GALAN LEMACHE INGRID GISELA</v>
      </c>
      <c r="E21" s="184" t="str">
        <f>+VLOOKUP(Tabla33[[#This Row],[CEDULA ]],'OCTUBRE 2025'!$C$8:$J$57,4,0)</f>
        <v>BACK UP ADMINISTRATIVO  FINANCIERO</v>
      </c>
      <c r="F21" s="184" t="str">
        <f>+VLOOKUP(Tabla33[[#This Row],[CEDULA ]],'OCTUBRE 2025'!$C$8:$J$57,6,0)</f>
        <v>Norte</v>
      </c>
      <c r="G21" s="650">
        <f>+VLOOKUP(Tabla33[[#This Row],[CEDULA ]],'OCTUBRE 2025'!$C$8:$J$57,8,0)</f>
        <v>473.88</v>
      </c>
      <c r="H21" s="324"/>
      <c r="I21" s="323"/>
      <c r="J21" s="65">
        <f>+Tabla33[[#This Row],[Cantidad]]*$J$6</f>
        <v>0</v>
      </c>
      <c r="K21" s="65">
        <f>+Tabla33[[#This Row],[Cantidad2]]*$K$6</f>
        <v>0</v>
      </c>
      <c r="L21" s="266">
        <f>+Tabla33[[#This Row],[US$]]+Tabla33[[#This Row],[US$,]]</f>
        <v>0</v>
      </c>
    </row>
    <row r="22" spans="2:12" ht="18.600000000000001" customHeight="1">
      <c r="B22" s="234">
        <v>15</v>
      </c>
      <c r="C22" s="363">
        <v>950929232</v>
      </c>
      <c r="D22" s="184" t="str">
        <f>+VLOOKUP(Tabla33[[#This Row],[CEDULA ]],'OCTUBRE 2025'!$C$8:$J$57,2,0)</f>
        <v>GARCIA VERA HENRY  LUIS</v>
      </c>
      <c r="E22" s="184" t="str">
        <f>+VLOOKUP(Tabla33[[#This Row],[CEDULA ]],'OCTUBRE 2025'!$C$8:$J$57,4,0)</f>
        <v>OFICIAL DE RECAUDACIONES</v>
      </c>
      <c r="F22" s="184" t="str">
        <f>+VLOOKUP(Tabla33[[#This Row],[CEDULA ]],'OCTUBRE 2025'!$C$8:$J$57,6,0)</f>
        <v>Norte</v>
      </c>
      <c r="G22" s="650">
        <f>+VLOOKUP(Tabla33[[#This Row],[CEDULA ]],'OCTUBRE 2025'!$C$8:$J$57,8,0)</f>
        <v>715.54</v>
      </c>
      <c r="H22" s="324"/>
      <c r="I22" s="323"/>
      <c r="J22" s="65">
        <f>+Tabla33[[#This Row],[Cantidad]]*$J$6</f>
        <v>0</v>
      </c>
      <c r="K22" s="65">
        <f>+Tabla33[[#This Row],[Cantidad2]]*$K$6</f>
        <v>0</v>
      </c>
      <c r="L22" s="266">
        <f>+Tabla33[[#This Row],[US$]]+Tabla33[[#This Row],[US$,]]</f>
        <v>0</v>
      </c>
    </row>
    <row r="23" spans="2:12" ht="18.600000000000001" customHeight="1">
      <c r="B23" s="234">
        <v>16</v>
      </c>
      <c r="C23" s="363">
        <v>953819646</v>
      </c>
      <c r="D23" s="184" t="str">
        <f>+VLOOKUP(Tabla33[[#This Row],[CEDULA ]],'OCTUBRE 2025'!$C$8:$J$57,2,0)</f>
        <v>GUALACEO ÑAMO JONATHAN IVÁN</v>
      </c>
      <c r="E23" s="184" t="str">
        <f>+VLOOKUP(Tabla33[[#This Row],[CEDULA ]],'OCTUBRE 2025'!$C$8:$J$57,4,0)</f>
        <v>OFICIAL DE RECAUDACIONES</v>
      </c>
      <c r="F23" s="184" t="str">
        <f>+VLOOKUP(Tabla33[[#This Row],[CEDULA ]],'OCTUBRE 2025'!$C$8:$J$57,6,0)</f>
        <v>Matriz</v>
      </c>
      <c r="G23" s="650">
        <f>+VLOOKUP(Tabla33[[#This Row],[CEDULA ]],'OCTUBRE 2025'!$C$8:$J$57,8,0)</f>
        <v>511.1</v>
      </c>
      <c r="H23" s="324"/>
      <c r="I23" s="323"/>
      <c r="J23" s="65">
        <f>+Tabla33[[#This Row],[Cantidad]]*$J$6</f>
        <v>0</v>
      </c>
      <c r="K23" s="65">
        <f>+Tabla33[[#This Row],[Cantidad2]]*$K$6</f>
        <v>0</v>
      </c>
      <c r="L23" s="266">
        <f>+Tabla33[[#This Row],[US$]]+Tabla33[[#This Row],[US$,]]</f>
        <v>0</v>
      </c>
    </row>
    <row r="24" spans="2:12" ht="18.600000000000001" customHeight="1">
      <c r="B24" s="234">
        <v>17</v>
      </c>
      <c r="C24" s="363">
        <v>956953392</v>
      </c>
      <c r="D24" s="184" t="str">
        <f>+VLOOKUP(Tabla33[[#This Row],[CEDULA ]],'OCTUBRE 2025'!$C$8:$J$57,2,0)</f>
        <v>GUAPI YUMAGLLA OSCAR EDUARDO</v>
      </c>
      <c r="E24" s="184" t="str">
        <f>+VLOOKUP(Tabla33[[#This Row],[CEDULA ]],'OCTUBRE 2025'!$C$8:$J$57,4,0)</f>
        <v>OFICIAL DE RECAUDACIONES</v>
      </c>
      <c r="F24" s="184" t="str">
        <f>+VLOOKUP(Tabla33[[#This Row],[CEDULA ]],'OCTUBRE 2025'!$C$8:$J$57,6,0)</f>
        <v>Matriz</v>
      </c>
      <c r="G24" s="650">
        <f>+VLOOKUP(Tabla33[[#This Row],[CEDULA ]],'OCTUBRE 2025'!$C$8:$J$57,8,0)</f>
        <v>473.88</v>
      </c>
      <c r="H24" s="324"/>
      <c r="I24" s="323"/>
      <c r="J24" s="65">
        <f>+Tabla33[[#This Row],[Cantidad]]*$J$6</f>
        <v>0</v>
      </c>
      <c r="K24" s="65">
        <f>+Tabla33[[#This Row],[Cantidad2]]*$K$6</f>
        <v>0</v>
      </c>
      <c r="L24" s="266">
        <f>+Tabla33[[#This Row],[US$]]+Tabla33[[#This Row],[US$,]]</f>
        <v>0</v>
      </c>
    </row>
    <row r="25" spans="2:12" ht="18.600000000000001" customHeight="1">
      <c r="B25" s="234">
        <v>18</v>
      </c>
      <c r="C25" s="363">
        <v>956796767</v>
      </c>
      <c r="D25" s="184" t="str">
        <f>+VLOOKUP(Tabla33[[#This Row],[CEDULA ]],'OCTUBRE 2025'!$C$8:$J$57,2,0)</f>
        <v>GUAYANLEMA RUIZ EDINSON DAVID</v>
      </c>
      <c r="E25" s="184" t="str">
        <f>+VLOOKUP(Tabla33[[#This Row],[CEDULA ]],'OCTUBRE 2025'!$C$8:$J$57,4,0)</f>
        <v>OFICIAL DE RECAUDACIONES</v>
      </c>
      <c r="F25" s="184" t="str">
        <f>+VLOOKUP(Tabla33[[#This Row],[CEDULA ]],'OCTUBRE 2025'!$C$8:$J$57,6,0)</f>
        <v>Norte</v>
      </c>
      <c r="G25" s="650">
        <f>+VLOOKUP(Tabla33[[#This Row],[CEDULA ]],'OCTUBRE 2025'!$C$8:$J$57,8,0)</f>
        <v>473.88</v>
      </c>
      <c r="H25" s="324"/>
      <c r="I25" s="323"/>
      <c r="J25" s="65">
        <f>+Tabla33[[#This Row],[Cantidad]]*$J$6</f>
        <v>0</v>
      </c>
      <c r="K25" s="65">
        <f>+Tabla33[[#This Row],[Cantidad2]]*$K$6</f>
        <v>0</v>
      </c>
      <c r="L25" s="266">
        <f>+Tabla33[[#This Row],[US$]]+Tabla33[[#This Row],[US$,]]</f>
        <v>0</v>
      </c>
    </row>
    <row r="26" spans="2:12" ht="18.600000000000001" customHeight="1">
      <c r="B26" s="234">
        <v>19</v>
      </c>
      <c r="C26" s="363" t="s">
        <v>427</v>
      </c>
      <c r="D26" s="184" t="str">
        <f>+VLOOKUP(Tabla33[[#This Row],[CEDULA ]],'OCTUBRE 2025'!$C$8:$J$57,2,0)</f>
        <v>HERRERA JIMENEZ CAROLINA ADELIHER</v>
      </c>
      <c r="E26" s="184" t="str">
        <f>+VLOOKUP(Tabla33[[#This Row],[CEDULA ]],'OCTUBRE 2025'!$C$8:$J$57,4,0)</f>
        <v>ASISTENTE DE OPERACIONES</v>
      </c>
      <c r="F26" s="184" t="str">
        <f>+VLOOKUP(Tabla33[[#This Row],[CEDULA ]],'OCTUBRE 2025'!$C$8:$J$57,6,0)</f>
        <v>Matriz</v>
      </c>
      <c r="G26" s="650">
        <f>+VLOOKUP(Tabla33[[#This Row],[CEDULA ]],'OCTUBRE 2025'!$C$8:$J$57,8,0)</f>
        <v>481</v>
      </c>
      <c r="H26" s="324"/>
      <c r="I26" s="323"/>
      <c r="J26" s="65">
        <f>+Tabla33[[#This Row],[Cantidad]]*$J$6</f>
        <v>0</v>
      </c>
      <c r="K26" s="65">
        <f>+Tabla33[[#This Row],[Cantidad2]]*$K$6</f>
        <v>0</v>
      </c>
      <c r="L26" s="266">
        <f>+Tabla33[[#This Row],[US$]]+Tabla33[[#This Row],[US$,]]</f>
        <v>0</v>
      </c>
    </row>
    <row r="27" spans="2:12" ht="18.600000000000001" customHeight="1">
      <c r="B27" s="234">
        <v>20</v>
      </c>
      <c r="C27" s="363">
        <v>1724102940</v>
      </c>
      <c r="D27" s="184" t="str">
        <f>+VLOOKUP(Tabla33[[#This Row],[CEDULA ]],'OCTUBRE 2025'!$C$8:$J$57,2,0)</f>
        <v>HIDALGO CHERRES NESTOR VLADIMIR</v>
      </c>
      <c r="E27" s="184" t="str">
        <f>+VLOOKUP(Tabla33[[#This Row],[CEDULA ]],'OCTUBRE 2025'!$C$8:$J$57,4,0)</f>
        <v>JEFE DE CREDITO</v>
      </c>
      <c r="F27" s="184" t="str">
        <f>+VLOOKUP(Tabla33[[#This Row],[CEDULA ]],'OCTUBRE 2025'!$C$8:$J$57,6,0)</f>
        <v>Durán</v>
      </c>
      <c r="G27" s="650">
        <f>+VLOOKUP(Tabla33[[#This Row],[CEDULA ]],'OCTUBRE 2025'!$C$8:$J$57,8,0)</f>
        <v>817.76</v>
      </c>
      <c r="H27" s="324"/>
      <c r="I27" s="323"/>
      <c r="J27" s="65">
        <f>+Tabla33[[#This Row],[Cantidad]]*$J$6</f>
        <v>0</v>
      </c>
      <c r="K27" s="65">
        <f>+Tabla33[[#This Row],[Cantidad2]]*$K$6</f>
        <v>0</v>
      </c>
      <c r="L27" s="266">
        <f>+Tabla33[[#This Row],[US$]]+Tabla33[[#This Row],[US$,]]</f>
        <v>0</v>
      </c>
    </row>
    <row r="28" spans="2:12" ht="18.600000000000001" customHeight="1">
      <c r="B28" s="234">
        <v>21</v>
      </c>
      <c r="C28" s="363">
        <v>943322974</v>
      </c>
      <c r="D28" s="184" t="str">
        <f>+VLOOKUP(Tabla33[[#This Row],[CEDULA ]],'OCTUBRE 2025'!$C$8:$J$57,2,0)</f>
        <v>JANETA RUIZ ALEXANDRA DEL ROCIO</v>
      </c>
      <c r="E28" s="184" t="str">
        <f>+VLOOKUP(Tabla33[[#This Row],[CEDULA ]],'OCTUBRE 2025'!$C$8:$J$57,4,0)</f>
        <v>OFICIAL DE RECAUDACIONES</v>
      </c>
      <c r="F28" s="184" t="str">
        <f>+VLOOKUP(Tabla33[[#This Row],[CEDULA ]],'OCTUBRE 2025'!$C$8:$J$57,6,0)</f>
        <v>Norte</v>
      </c>
      <c r="G28" s="650">
        <f>+VLOOKUP(Tabla33[[#This Row],[CEDULA ]],'OCTUBRE 2025'!$C$8:$J$57,8,0)</f>
        <v>473.88</v>
      </c>
      <c r="H28" s="324"/>
      <c r="I28" s="323"/>
      <c r="J28" s="65">
        <f>+Tabla33[[#This Row],[Cantidad]]*$J$6</f>
        <v>0</v>
      </c>
      <c r="K28" s="65">
        <f>+Tabla33[[#This Row],[Cantidad2]]*$K$6</f>
        <v>0</v>
      </c>
      <c r="L28" s="266">
        <f>+Tabla33[[#This Row],[US$]]+Tabla33[[#This Row],[US$,]]</f>
        <v>0</v>
      </c>
    </row>
    <row r="29" spans="2:12" ht="18.600000000000001" customHeight="1">
      <c r="B29" s="234">
        <v>22</v>
      </c>
      <c r="C29" s="363">
        <v>941096851</v>
      </c>
      <c r="D29" s="184" t="str">
        <f>+VLOOKUP(Tabla33[[#This Row],[CEDULA ]],'OCTUBRE 2025'!$C$8:$J$57,2,0)</f>
        <v>LEMA CHIRAU RAMONA MARIA</v>
      </c>
      <c r="E29" s="184" t="str">
        <f>+VLOOKUP(Tabla33[[#This Row],[CEDULA ]],'OCTUBRE 2025'!$C$8:$J$57,4,0)</f>
        <v>ASESOR DE CAPTACIONES</v>
      </c>
      <c r="F29" s="184" t="str">
        <f>+VLOOKUP(Tabla33[[#This Row],[CEDULA ]],'OCTUBRE 2025'!$C$8:$J$57,6,0)</f>
        <v>Durán</v>
      </c>
      <c r="G29" s="650">
        <f>+VLOOKUP(Tabla33[[#This Row],[CEDULA ]],'OCTUBRE 2025'!$C$8:$J$57,8,0)</f>
        <v>700</v>
      </c>
      <c r="H29" s="324"/>
      <c r="I29" s="323"/>
      <c r="J29" s="65">
        <f>+Tabla33[[#This Row],[Cantidad]]*$J$6</f>
        <v>0</v>
      </c>
      <c r="K29" s="65">
        <f>+Tabla33[[#This Row],[Cantidad2]]*$K$6</f>
        <v>0</v>
      </c>
      <c r="L29" s="266">
        <f>+Tabla33[[#This Row],[US$]]+Tabla33[[#This Row],[US$,]]</f>
        <v>0</v>
      </c>
    </row>
    <row r="30" spans="2:12" ht="18.600000000000001" customHeight="1">
      <c r="B30" s="234">
        <v>23</v>
      </c>
      <c r="C30" s="363">
        <v>957093800</v>
      </c>
      <c r="D30" s="184" t="str">
        <f>+VLOOKUP(Tabla33[[#This Row],[CEDULA ]],'OCTUBRE 2025'!$C$8:$J$57,2,0)</f>
        <v>LEMA TADAY BRAYAN WIDINSON</v>
      </c>
      <c r="E30" s="184" t="str">
        <f>+VLOOKUP(Tabla33[[#This Row],[CEDULA ]],'OCTUBRE 2025'!$C$8:$J$57,4,0)</f>
        <v>OFICIAL DE RECAUDACIONES</v>
      </c>
      <c r="F30" s="184" t="str">
        <f>+VLOOKUP(Tabla33[[#This Row],[CEDULA ]],'OCTUBRE 2025'!$C$8:$J$57,6,0)</f>
        <v>Durán</v>
      </c>
      <c r="G30" s="650">
        <f>+VLOOKUP(Tabla33[[#This Row],[CEDULA ]],'OCTUBRE 2025'!$C$8:$J$57,8,0)</f>
        <v>473.88</v>
      </c>
      <c r="H30" s="324"/>
      <c r="I30" s="323"/>
      <c r="J30" s="65">
        <f>+Tabla33[[#This Row],[Cantidad]]*$J$6</f>
        <v>0</v>
      </c>
      <c r="K30" s="65">
        <f>+Tabla33[[#This Row],[Cantidad2]]*$K$6</f>
        <v>0</v>
      </c>
      <c r="L30" s="266">
        <f>+Tabla33[[#This Row],[US$]]+Tabla33[[#This Row],[US$,]]</f>
        <v>0</v>
      </c>
    </row>
    <row r="31" spans="2:12" ht="18.600000000000001" customHeight="1">
      <c r="B31" s="234">
        <v>24</v>
      </c>
      <c r="C31" s="363">
        <v>957924350</v>
      </c>
      <c r="D31" s="184" t="str">
        <f>+VLOOKUP(Tabla33[[#This Row],[CEDULA ]],'OCTUBRE 2025'!$C$8:$J$57,2,0)</f>
        <v>LLUMI YUQUILEMA MAYCOOL DANNY</v>
      </c>
      <c r="E31" s="184" t="str">
        <f>+VLOOKUP(Tabla33[[#This Row],[CEDULA ]],'OCTUBRE 2025'!$C$8:$J$57,4,0)</f>
        <v>ASESOR DE NEGOCIOS</v>
      </c>
      <c r="F31" s="184" t="str">
        <f>+VLOOKUP(Tabla33[[#This Row],[CEDULA ]],'OCTUBRE 2025'!$C$8:$J$57,6,0)</f>
        <v>Matriz</v>
      </c>
      <c r="G31" s="650">
        <f>+VLOOKUP(Tabla33[[#This Row],[CEDULA ]],'OCTUBRE 2025'!$C$8:$J$57,8,0)</f>
        <v>481</v>
      </c>
      <c r="H31" s="324"/>
      <c r="I31" s="323"/>
      <c r="J31" s="65">
        <f>+Tabla33[[#This Row],[Cantidad]]*$J$6</f>
        <v>0</v>
      </c>
      <c r="K31" s="65">
        <f>+Tabla33[[#This Row],[Cantidad2]]*$K$6</f>
        <v>0</v>
      </c>
      <c r="L31" s="266">
        <f>+Tabla33[[#This Row],[US$]]+Tabla33[[#This Row],[US$,]]</f>
        <v>0</v>
      </c>
    </row>
    <row r="32" spans="2:12" ht="18.600000000000001" customHeight="1">
      <c r="B32" s="234">
        <v>25</v>
      </c>
      <c r="C32" s="363">
        <v>603838657</v>
      </c>
      <c r="D32" s="184" t="str">
        <f>+VLOOKUP(Tabla33[[#This Row],[CEDULA ]],'OCTUBRE 2025'!$C$8:$J$57,2,0)</f>
        <v>MALAN DELGADO JOSE ALBERTO</v>
      </c>
      <c r="E32" s="184" t="str">
        <f>+VLOOKUP(Tabla33[[#This Row],[CEDULA ]],'OCTUBRE 2025'!$C$8:$J$57,4,0)</f>
        <v>OFICIAL DE RECAUDACIONES</v>
      </c>
      <c r="F32" s="184" t="str">
        <f>+VLOOKUP(Tabla33[[#This Row],[CEDULA ]],'OCTUBRE 2025'!$C$8:$J$57,6,0)</f>
        <v>Durán</v>
      </c>
      <c r="G32" s="650">
        <f>+VLOOKUP(Tabla33[[#This Row],[CEDULA ]],'OCTUBRE 2025'!$C$8:$J$57,8,0)</f>
        <v>473.88</v>
      </c>
      <c r="H32" s="324"/>
      <c r="I32" s="323"/>
      <c r="J32" s="65">
        <f>+Tabla33[[#This Row],[Cantidad]]*$J$6</f>
        <v>0</v>
      </c>
      <c r="K32" s="65">
        <f>+Tabla33[[#This Row],[Cantidad2]]*$K$6</f>
        <v>0</v>
      </c>
      <c r="L32" s="266">
        <f>+Tabla33[[#This Row],[US$]]+Tabla33[[#This Row],[US$,]]</f>
        <v>0</v>
      </c>
    </row>
    <row r="33" spans="2:12" ht="18.600000000000001" customHeight="1">
      <c r="B33" s="234">
        <v>26</v>
      </c>
      <c r="C33" s="363">
        <v>925240525</v>
      </c>
      <c r="D33" s="184" t="str">
        <f>+VLOOKUP(Tabla33[[#This Row],[CEDULA ]],'OCTUBRE 2025'!$C$8:$J$57,2,0)</f>
        <v>MALAN YUQUILEMA RAUL ALBERTO</v>
      </c>
      <c r="E33" s="184" t="str">
        <f>+VLOOKUP(Tabla33[[#This Row],[CEDULA ]],'OCTUBRE 2025'!$C$8:$J$57,4,0)</f>
        <v>ASESOR LEGAL</v>
      </c>
      <c r="F33" s="184" t="str">
        <f>+VLOOKUP(Tabla33[[#This Row],[CEDULA ]],'OCTUBRE 2025'!$C$8:$J$57,6,0)</f>
        <v>Matriz</v>
      </c>
      <c r="G33" s="650">
        <f>+VLOOKUP(Tabla33[[#This Row],[CEDULA ]],'OCTUBRE 2025'!$C$8:$J$57,8,0)</f>
        <v>2700</v>
      </c>
      <c r="H33" s="324"/>
      <c r="I33" s="323"/>
      <c r="J33" s="65">
        <f>+Tabla33[[#This Row],[Cantidad]]*$J$6</f>
        <v>0</v>
      </c>
      <c r="K33" s="65">
        <f>+Tabla33[[#This Row],[Cantidad2]]*$K$6</f>
        <v>0</v>
      </c>
      <c r="L33" s="266">
        <f>+Tabla33[[#This Row],[US$]]+Tabla33[[#This Row],[US$,]]</f>
        <v>0</v>
      </c>
    </row>
    <row r="34" spans="2:12" ht="18.600000000000001" customHeight="1">
      <c r="B34" s="234">
        <v>27</v>
      </c>
      <c r="C34" s="363">
        <v>954520599</v>
      </c>
      <c r="D34" s="184" t="str">
        <f>+VLOOKUP(Tabla33[[#This Row],[CEDULA ]],'OCTUBRE 2025'!$C$8:$J$57,2,0)</f>
        <v>MARSHALL VEGA YULIANA LISSETT</v>
      </c>
      <c r="E34" s="184" t="str">
        <f>+VLOOKUP(Tabla33[[#This Row],[CEDULA ]],'OCTUBRE 2025'!$C$8:$J$57,4,0)</f>
        <v>ASESOR DE NEGOCIOS</v>
      </c>
      <c r="F34" s="184" t="str">
        <f>+VLOOKUP(Tabla33[[#This Row],[CEDULA ]],'OCTUBRE 2025'!$C$8:$J$57,6,0)</f>
        <v>Durán</v>
      </c>
      <c r="G34" s="650">
        <f>+VLOOKUP(Tabla33[[#This Row],[CEDULA ]],'OCTUBRE 2025'!$C$8:$J$57,8,0)</f>
        <v>613.32000000000005</v>
      </c>
      <c r="H34" s="324"/>
      <c r="I34" s="323"/>
      <c r="J34" s="65">
        <f>+Tabla33[[#This Row],[Cantidad]]*$J$6</f>
        <v>0</v>
      </c>
      <c r="K34" s="65">
        <f>+Tabla33[[#This Row],[Cantidad2]]*$K$6</f>
        <v>0</v>
      </c>
      <c r="L34" s="266">
        <f>+Tabla33[[#This Row],[US$]]+Tabla33[[#This Row],[US$,]]</f>
        <v>0</v>
      </c>
    </row>
    <row r="35" spans="2:12" ht="18.600000000000001" customHeight="1">
      <c r="B35" s="234">
        <v>28</v>
      </c>
      <c r="C35" s="363" t="s">
        <v>281</v>
      </c>
      <c r="D35" s="184" t="str">
        <f>+VLOOKUP(Tabla33[[#This Row],[CEDULA ]],'OCTUBRE 2025'!$C$8:$J$57,2,0)</f>
        <v>MEZA RODRIGUEZ MICHAEL FERNANDO</v>
      </c>
      <c r="E35" s="184" t="str">
        <f>+VLOOKUP(Tabla33[[#This Row],[CEDULA ]],'OCTUBRE 2025'!$C$8:$J$57,4,0)</f>
        <v>OFICIAL DE RECAUDACIONES</v>
      </c>
      <c r="F35" s="184" t="str">
        <f>+VLOOKUP(Tabla33[[#This Row],[CEDULA ]],'OCTUBRE 2025'!$C$8:$J$57,6,0)</f>
        <v>Norte</v>
      </c>
      <c r="G35" s="650">
        <f>+VLOOKUP(Tabla33[[#This Row],[CEDULA ]],'OCTUBRE 2025'!$C$8:$J$57,8,0)</f>
        <v>473.88</v>
      </c>
      <c r="H35" s="324"/>
      <c r="I35" s="323"/>
      <c r="J35" s="65">
        <f>+Tabla33[[#This Row],[Cantidad]]*$J$6</f>
        <v>0</v>
      </c>
      <c r="K35" s="65">
        <f>+Tabla33[[#This Row],[Cantidad2]]*$K$6</f>
        <v>0</v>
      </c>
      <c r="L35" s="266">
        <f>+Tabla33[[#This Row],[US$]]+Tabla33[[#This Row],[US$,]]</f>
        <v>0</v>
      </c>
    </row>
    <row r="36" spans="2:12" ht="18.600000000000001" customHeight="1">
      <c r="B36" s="234">
        <v>29</v>
      </c>
      <c r="C36" s="363" t="s">
        <v>245</v>
      </c>
      <c r="D36" s="184" t="str">
        <f>+VLOOKUP(Tabla33[[#This Row],[CEDULA ]],'OCTUBRE 2025'!$C$8:$J$57,2,0)</f>
        <v>MORAN GARCIA DANNY FAVIAN</v>
      </c>
      <c r="E36" s="184" t="str">
        <f>+VLOOKUP(Tabla33[[#This Row],[CEDULA ]],'OCTUBRE 2025'!$C$8:$J$57,4,0)</f>
        <v>OFICIAL DE CUMPLIMIENTO</v>
      </c>
      <c r="F36" s="184" t="str">
        <f>+VLOOKUP(Tabla33[[#This Row],[CEDULA ]],'OCTUBRE 2025'!$C$8:$J$57,6,0)</f>
        <v>Matriz</v>
      </c>
      <c r="G36" s="650">
        <f>+VLOOKUP(Tabla33[[#This Row],[CEDULA ]],'OCTUBRE 2025'!$C$8:$J$57,8,0)</f>
        <v>600</v>
      </c>
      <c r="H36" s="324"/>
      <c r="I36" s="323"/>
      <c r="J36" s="65">
        <f>+Tabla33[[#This Row],[Cantidad]]*$J$6</f>
        <v>0</v>
      </c>
      <c r="K36" s="65">
        <f>+Tabla33[[#This Row],[Cantidad2]]*$K$6</f>
        <v>0</v>
      </c>
      <c r="L36" s="266">
        <f>+Tabla33[[#This Row],[US$]]+Tabla33[[#This Row],[US$,]]</f>
        <v>0</v>
      </c>
    </row>
    <row r="37" spans="2:12" ht="18.600000000000001" customHeight="1">
      <c r="B37" s="234">
        <v>30</v>
      </c>
      <c r="C37" s="363" t="s">
        <v>332</v>
      </c>
      <c r="D37" s="184" t="str">
        <f>+VLOOKUP(Tabla33[[#This Row],[CEDULA ]],'OCTUBRE 2025'!$C$8:$J$57,2,0)</f>
        <v>MOREIRA ESPINOZA LINDA ELIZABETH</v>
      </c>
      <c r="E37" s="184" t="str">
        <f>+VLOOKUP(Tabla33[[#This Row],[CEDULA ]],'OCTUBRE 2025'!$C$8:$J$57,4,0)</f>
        <v>CAJERO FINANCIERO</v>
      </c>
      <c r="F37" s="184" t="str">
        <f>+VLOOKUP(Tabla33[[#This Row],[CEDULA ]],'OCTUBRE 2025'!$C$8:$J$57,6,0)</f>
        <v>Durán</v>
      </c>
      <c r="G37" s="650">
        <f>+VLOOKUP(Tabla33[[#This Row],[CEDULA ]],'OCTUBRE 2025'!$C$8:$J$57,8,0)</f>
        <v>481</v>
      </c>
      <c r="H37" s="324"/>
      <c r="I37" s="323"/>
      <c r="J37" s="65">
        <f>+Tabla33[[#This Row],[Cantidad]]*$J$6</f>
        <v>0</v>
      </c>
      <c r="K37" s="65">
        <f>+Tabla33[[#This Row],[Cantidad2]]*$K$6</f>
        <v>0</v>
      </c>
      <c r="L37" s="266">
        <f>+Tabla33[[#This Row],[US$]]+Tabla33[[#This Row],[US$,]]</f>
        <v>0</v>
      </c>
    </row>
    <row r="38" spans="2:12" ht="18.600000000000001" customHeight="1">
      <c r="B38" s="234">
        <v>31</v>
      </c>
      <c r="C38" s="363">
        <v>955395686</v>
      </c>
      <c r="D38" s="184" t="str">
        <f>+VLOOKUP(Tabla33[[#This Row],[CEDULA ]],'OCTUBRE 2025'!$C$8:$J$57,2,0)</f>
        <v>MOROCHO DUCHI SANDRA STEPHANIE</v>
      </c>
      <c r="E38" s="184" t="str">
        <f>+VLOOKUP(Tabla33[[#This Row],[CEDULA ]],'OCTUBRE 2025'!$C$8:$J$57,4,0)</f>
        <v>ASESOR DE NEGOCIOS</v>
      </c>
      <c r="F38" s="184" t="str">
        <f>+VLOOKUP(Tabla33[[#This Row],[CEDULA ]],'OCTUBRE 2025'!$C$8:$J$57,6,0)</f>
        <v>Norte</v>
      </c>
      <c r="G38" s="650">
        <f>+VLOOKUP(Tabla33[[#This Row],[CEDULA ]],'OCTUBRE 2025'!$C$8:$J$57,8,0)</f>
        <v>613.32000000000005</v>
      </c>
      <c r="H38" s="324"/>
      <c r="I38" s="323"/>
      <c r="J38" s="65">
        <f>+Tabla33[[#This Row],[Cantidad]]*$J$6</f>
        <v>0</v>
      </c>
      <c r="K38" s="65">
        <f>+Tabla33[[#This Row],[Cantidad2]]*$K$6</f>
        <v>0</v>
      </c>
      <c r="L38" s="266">
        <f>+Tabla33[[#This Row],[US$]]+Tabla33[[#This Row],[US$,]]</f>
        <v>0</v>
      </c>
    </row>
    <row r="39" spans="2:12" ht="18.600000000000001" customHeight="1">
      <c r="B39" s="234">
        <v>32</v>
      </c>
      <c r="C39" s="363">
        <v>940991987</v>
      </c>
      <c r="D39" s="184" t="str">
        <f>+VLOOKUP(Tabla33[[#This Row],[CEDULA ]],'OCTUBRE 2025'!$C$8:$J$57,2,0)</f>
        <v>MOROCHO YANTALEMA DINA MAGALY</v>
      </c>
      <c r="E39" s="184" t="str">
        <f>+VLOOKUP(Tabla33[[#This Row],[CEDULA ]],'OCTUBRE 2025'!$C$8:$J$57,4,0)</f>
        <v>TALENTO HUMANO</v>
      </c>
      <c r="F39" s="184" t="str">
        <f>+VLOOKUP(Tabla33[[#This Row],[CEDULA ]],'OCTUBRE 2025'!$C$8:$J$57,6,0)</f>
        <v>Matriz</v>
      </c>
      <c r="G39" s="650">
        <f>+VLOOKUP(Tabla33[[#This Row],[CEDULA ]],'OCTUBRE 2025'!$C$8:$J$57,8,0)</f>
        <v>766.65</v>
      </c>
      <c r="H39" s="324"/>
      <c r="I39" s="323"/>
      <c r="J39" s="65">
        <f>+Tabla33[[#This Row],[Cantidad]]*$J$6</f>
        <v>0</v>
      </c>
      <c r="K39" s="65">
        <f>+Tabla33[[#This Row],[Cantidad2]]*$K$6</f>
        <v>0</v>
      </c>
      <c r="L39" s="266">
        <f>+Tabla33[[#This Row],[US$]]+Tabla33[[#This Row],[US$,]]</f>
        <v>0</v>
      </c>
    </row>
    <row r="40" spans="2:12" ht="18.600000000000001" customHeight="1">
      <c r="B40" s="234">
        <v>33</v>
      </c>
      <c r="C40" s="363">
        <v>956929277</v>
      </c>
      <c r="D40" s="184" t="str">
        <f>+VLOOKUP(Tabla33[[#This Row],[CEDULA ]],'OCTUBRE 2025'!$C$8:$J$57,2,0)</f>
        <v>NAULA CRIOLLO CINTHYA ABIGAIL</v>
      </c>
      <c r="E40" s="184" t="str">
        <f>+VLOOKUP(Tabla33[[#This Row],[CEDULA ]],'OCTUBRE 2025'!$C$8:$J$57,4,0)</f>
        <v>CAJERO FINANCIERO</v>
      </c>
      <c r="F40" s="184" t="str">
        <f>+VLOOKUP(Tabla33[[#This Row],[CEDULA ]],'OCTUBRE 2025'!$C$8:$J$57,6,0)</f>
        <v>Matriz</v>
      </c>
      <c r="G40" s="650">
        <f>+VLOOKUP(Tabla33[[#This Row],[CEDULA ]],'OCTUBRE 2025'!$C$8:$J$57,8,0)</f>
        <v>481</v>
      </c>
      <c r="H40" s="324"/>
      <c r="I40" s="323"/>
      <c r="J40" s="65">
        <f>+Tabla33[[#This Row],[Cantidad]]*$J$6</f>
        <v>0</v>
      </c>
      <c r="K40" s="65">
        <f>+Tabla33[[#This Row],[Cantidad2]]*$K$6</f>
        <v>0</v>
      </c>
      <c r="L40" s="266">
        <f>+Tabla33[[#This Row],[US$]]+Tabla33[[#This Row],[US$,]]</f>
        <v>0</v>
      </c>
    </row>
    <row r="41" spans="2:12" ht="18.600000000000001" customHeight="1">
      <c r="B41" s="234">
        <v>34</v>
      </c>
      <c r="C41" s="363">
        <v>951763994</v>
      </c>
      <c r="D41" s="184" t="str">
        <f>+VLOOKUP(Tabla33[[#This Row],[CEDULA ]],'OCTUBRE 2025'!$C$8:$J$57,2,0)</f>
        <v>NEVAREZ PEÑAFIEL EVELYN JULEXY</v>
      </c>
      <c r="E41" s="184" t="str">
        <f>+VLOOKUP(Tabla33[[#This Row],[CEDULA ]],'OCTUBRE 2025'!$C$8:$J$57,4,0)</f>
        <v>ASESOR DE CAPTACIONES</v>
      </c>
      <c r="F41" s="184" t="str">
        <f>+VLOOKUP(Tabla33[[#This Row],[CEDULA ]],'OCTUBRE 2025'!$C$8:$J$57,6,0)</f>
        <v>Norte</v>
      </c>
      <c r="G41" s="650">
        <f>+VLOOKUP(Tabla33[[#This Row],[CEDULA ]],'OCTUBRE 2025'!$C$8:$J$57,8,0)</f>
        <v>475.85</v>
      </c>
      <c r="H41" s="324"/>
      <c r="I41" s="323"/>
      <c r="J41" s="65">
        <f>+Tabla33[[#This Row],[Cantidad]]*$J$6</f>
        <v>0</v>
      </c>
      <c r="K41" s="65">
        <f>+Tabla33[[#This Row],[Cantidad2]]*$K$6</f>
        <v>0</v>
      </c>
      <c r="L41" s="266">
        <f>+Tabla33[[#This Row],[US$]]+Tabla33[[#This Row],[US$,]]</f>
        <v>0</v>
      </c>
    </row>
    <row r="42" spans="2:12" ht="18.600000000000001" customHeight="1">
      <c r="B42" s="234">
        <v>35</v>
      </c>
      <c r="C42" s="363">
        <v>950703199</v>
      </c>
      <c r="D42" s="184" t="str">
        <f>+VLOOKUP(Tabla33[[#This Row],[CEDULA ]],'OCTUBRE 2025'!$C$8:$J$57,2,0)</f>
        <v>ÑAMO GUALACEO BRYAN JAVIER</v>
      </c>
      <c r="E42" s="184" t="str">
        <f>+VLOOKUP(Tabla33[[#This Row],[CEDULA ]],'OCTUBRE 2025'!$C$8:$J$57,4,0)</f>
        <v>OFICIAL DE RECAUDACIONES</v>
      </c>
      <c r="F42" s="184" t="str">
        <f>+VLOOKUP(Tabla33[[#This Row],[CEDULA ]],'OCTUBRE 2025'!$C$8:$J$57,6,0)</f>
        <v>Matriz</v>
      </c>
      <c r="G42" s="650">
        <f>+VLOOKUP(Tabla33[[#This Row],[CEDULA ]],'OCTUBRE 2025'!$C$8:$J$57,8,0)</f>
        <v>473.88</v>
      </c>
      <c r="H42" s="324"/>
      <c r="I42" s="323"/>
      <c r="J42" s="65">
        <f>+Tabla33[[#This Row],[Cantidad]]*$J$6</f>
        <v>0</v>
      </c>
      <c r="K42" s="65">
        <f>+Tabla33[[#This Row],[Cantidad2]]*$K$6</f>
        <v>0</v>
      </c>
      <c r="L42" s="266">
        <f>+Tabla33[[#This Row],[US$]]+Tabla33[[#This Row],[US$,]]</f>
        <v>0</v>
      </c>
    </row>
    <row r="43" spans="2:12" ht="18.600000000000001" customHeight="1">
      <c r="B43" s="234">
        <v>36</v>
      </c>
      <c r="C43" s="363" t="s">
        <v>434</v>
      </c>
      <c r="D43" s="184" t="str">
        <f>+VLOOKUP(Tabla33[[#This Row],[CEDULA ]],'OCTUBRE 2025'!$C$8:$J$57,2,0)</f>
        <v>ORELLANA MANZO WHITNEY YAILYN</v>
      </c>
      <c r="E43" s="184" t="str">
        <f>+VLOOKUP(Tabla33[[#This Row],[CEDULA ]],'OCTUBRE 2025'!$C$8:$J$57,4,0)</f>
        <v>OFICIAL DE SEGURIDAD DE LA INFORMACIÓN</v>
      </c>
      <c r="F43" s="184" t="str">
        <f>+VLOOKUP(Tabla33[[#This Row],[CEDULA ]],'OCTUBRE 2025'!$C$8:$J$57,6,0)</f>
        <v>Matriz</v>
      </c>
      <c r="G43" s="650">
        <f>+VLOOKUP(Tabla33[[#This Row],[CEDULA ]],'OCTUBRE 2025'!$C$8:$J$57,8,0)</f>
        <v>600</v>
      </c>
      <c r="H43" s="324"/>
      <c r="I43" s="323"/>
      <c r="J43" s="65">
        <f>+Tabla33[[#This Row],[Cantidad]]*$J$6</f>
        <v>0</v>
      </c>
      <c r="K43" s="65">
        <f>+Tabla33[[#This Row],[Cantidad2]]*$K$6</f>
        <v>0</v>
      </c>
      <c r="L43" s="266">
        <f>+Tabla33[[#This Row],[US$]]+Tabla33[[#This Row],[US$,]]</f>
        <v>0</v>
      </c>
    </row>
    <row r="44" spans="2:12" ht="18.600000000000001" customHeight="1">
      <c r="B44" s="234">
        <v>37</v>
      </c>
      <c r="C44" s="363">
        <v>925830689</v>
      </c>
      <c r="D44" s="184" t="str">
        <f>+VLOOKUP(Tabla33[[#This Row],[CEDULA ]],'OCTUBRE 2025'!$C$8:$J$57,2,0)</f>
        <v>PERALTA MENDEZ LINA LISSETTE</v>
      </c>
      <c r="E44" s="184" t="str">
        <f>+VLOOKUP(Tabla33[[#This Row],[CEDULA ]],'OCTUBRE 2025'!$C$8:$J$57,4,0)</f>
        <v>JEFE DE CRÉDITO</v>
      </c>
      <c r="F44" s="184" t="str">
        <f>+VLOOKUP(Tabla33[[#This Row],[CEDULA ]],'OCTUBRE 2025'!$C$8:$J$57,6,0)</f>
        <v>Matriz</v>
      </c>
      <c r="G44" s="650">
        <f>+VLOOKUP(Tabla33[[#This Row],[CEDULA ]],'OCTUBRE 2025'!$C$8:$J$57,8,0)</f>
        <v>1022.2</v>
      </c>
      <c r="H44" s="324"/>
      <c r="I44" s="323"/>
      <c r="J44" s="65">
        <f>+Tabla33[[#This Row],[Cantidad]]*$J$6</f>
        <v>0</v>
      </c>
      <c r="K44" s="65">
        <f>+Tabla33[[#This Row],[Cantidad2]]*$K$6</f>
        <v>0</v>
      </c>
      <c r="L44" s="266">
        <f>+Tabla33[[#This Row],[US$]]+Tabla33[[#This Row],[US$,]]</f>
        <v>0</v>
      </c>
    </row>
    <row r="45" spans="2:12" ht="18.600000000000001" customHeight="1">
      <c r="B45" s="234">
        <v>38</v>
      </c>
      <c r="C45" s="363">
        <v>944034842</v>
      </c>
      <c r="D45" s="184" t="str">
        <f>+VLOOKUP(Tabla33[[#This Row],[CEDULA ]],'OCTUBRE 2025'!$C$8:$J$57,2,0)</f>
        <v>PEREZ ZAMORA ANA DE LOS ANGELES</v>
      </c>
      <c r="E45" s="184" t="str">
        <f>+VLOOKUP(Tabla33[[#This Row],[CEDULA ]],'OCTUBRE 2025'!$C$8:$J$57,4,0)</f>
        <v>CAJERO FINANCIERO</v>
      </c>
      <c r="F45" s="184" t="str">
        <f>+VLOOKUP(Tabla33[[#This Row],[CEDULA ]],'OCTUBRE 2025'!$C$8:$J$57,6,0)</f>
        <v>Matriz</v>
      </c>
      <c r="G45" s="650">
        <f>+VLOOKUP(Tabla33[[#This Row],[CEDULA ]],'OCTUBRE 2025'!$C$8:$J$57,8,0)</f>
        <v>256.52999999999997</v>
      </c>
      <c r="H45" s="324"/>
      <c r="I45" s="323"/>
      <c r="J45" s="65">
        <f>+Tabla33[[#This Row],[Cantidad]]*$J$6</f>
        <v>0</v>
      </c>
      <c r="K45" s="65">
        <f>+Tabla33[[#This Row],[Cantidad2]]*$K$6</f>
        <v>0</v>
      </c>
      <c r="L45" s="266">
        <f>+Tabla33[[#This Row],[US$]]+Tabla33[[#This Row],[US$,]]</f>
        <v>0</v>
      </c>
    </row>
    <row r="46" spans="2:12" ht="18.600000000000001" customHeight="1">
      <c r="B46" s="234">
        <v>39</v>
      </c>
      <c r="C46" s="363">
        <v>951340702</v>
      </c>
      <c r="D46" s="184" t="str">
        <f>+VLOOKUP(Tabla33[[#This Row],[CEDULA ]],'OCTUBRE 2025'!$C$8:$J$57,2,0)</f>
        <v>QUITO CALDERON JONATHAN ENRIQUE</v>
      </c>
      <c r="E46" s="184" t="str">
        <f>+VLOOKUP(Tabla33[[#This Row],[CEDULA ]],'OCTUBRE 2025'!$C$8:$J$57,4,0)</f>
        <v>JEFE DE COBRANZAS</v>
      </c>
      <c r="F46" s="184" t="str">
        <f>+VLOOKUP(Tabla33[[#This Row],[CEDULA ]],'OCTUBRE 2025'!$C$8:$J$57,6,0)</f>
        <v>Matriz</v>
      </c>
      <c r="G46" s="650">
        <f>+VLOOKUP(Tabla33[[#This Row],[CEDULA ]],'OCTUBRE 2025'!$C$8:$J$57,8,0)</f>
        <v>817.76</v>
      </c>
      <c r="H46" s="324"/>
      <c r="I46" s="323"/>
      <c r="J46" s="65">
        <f>+Tabla33[[#This Row],[Cantidad]]*$J$6</f>
        <v>0</v>
      </c>
      <c r="K46" s="65">
        <f>+Tabla33[[#This Row],[Cantidad2]]*$K$6</f>
        <v>0</v>
      </c>
      <c r="L46" s="266">
        <f>+Tabla33[[#This Row],[US$]]+Tabla33[[#This Row],[US$,]]</f>
        <v>0</v>
      </c>
    </row>
    <row r="47" spans="2:12" ht="18.600000000000001" customHeight="1">
      <c r="B47" s="234">
        <v>40</v>
      </c>
      <c r="C47" s="363">
        <v>650112949</v>
      </c>
      <c r="D47" s="184" t="str">
        <f>+VLOOKUP(Tabla33[[#This Row],[CEDULA ]],'OCTUBRE 2025'!$C$8:$J$57,2,0)</f>
        <v>QUITO UCHUBANDA JANETH ALEXANDRA</v>
      </c>
      <c r="E47" s="184" t="str">
        <f>+VLOOKUP(Tabla33[[#This Row],[CEDULA ]],'OCTUBRE 2025'!$C$8:$J$57,4,0)</f>
        <v>OFICIAL DE RECAUDACIONES</v>
      </c>
      <c r="F47" s="184" t="str">
        <f>+VLOOKUP(Tabla33[[#This Row],[CEDULA ]],'OCTUBRE 2025'!$C$8:$J$57,6,0)</f>
        <v>Norte</v>
      </c>
      <c r="G47" s="650">
        <f>+VLOOKUP(Tabla33[[#This Row],[CEDULA ]],'OCTUBRE 2025'!$C$8:$J$57,8,0)</f>
        <v>473.88</v>
      </c>
      <c r="H47" s="324"/>
      <c r="I47" s="323"/>
      <c r="J47" s="65">
        <f>+Tabla33[[#This Row],[Cantidad]]*$J$6</f>
        <v>0</v>
      </c>
      <c r="K47" s="65">
        <f>+Tabla33[[#This Row],[Cantidad2]]*$K$6</f>
        <v>0</v>
      </c>
      <c r="L47" s="266">
        <f>+Tabla33[[#This Row],[US$]]+Tabla33[[#This Row],[US$,]]</f>
        <v>0</v>
      </c>
    </row>
    <row r="48" spans="2:12" ht="18.600000000000001" customHeight="1">
      <c r="B48" s="234">
        <v>41</v>
      </c>
      <c r="C48" s="363">
        <v>924232804</v>
      </c>
      <c r="D48" s="184" t="str">
        <f>+VLOOKUP(Tabla33[[#This Row],[CEDULA ]],'OCTUBRE 2025'!$C$8:$J$57,2,0)</f>
        <v>RECALDE NARANJO ANGEL ALEXIS</v>
      </c>
      <c r="E48" s="184" t="str">
        <f>+VLOOKUP(Tabla33[[#This Row],[CEDULA ]],'OCTUBRE 2025'!$C$8:$J$57,4,0)</f>
        <v>JEFE TI</v>
      </c>
      <c r="F48" s="184" t="str">
        <f>+VLOOKUP(Tabla33[[#This Row],[CEDULA ]],'OCTUBRE 2025'!$C$8:$J$57,6,0)</f>
        <v>Matriz</v>
      </c>
      <c r="G48" s="650">
        <f>+VLOOKUP(Tabla33[[#This Row],[CEDULA ]],'OCTUBRE 2025'!$C$8:$J$57,8,0)</f>
        <v>1022.2</v>
      </c>
      <c r="H48" s="324"/>
      <c r="I48" s="323"/>
      <c r="J48" s="65">
        <f>+Tabla33[[#This Row],[Cantidad]]*$J$6</f>
        <v>0</v>
      </c>
      <c r="K48" s="65">
        <f>+Tabla33[[#This Row],[Cantidad2]]*$K$6</f>
        <v>0</v>
      </c>
      <c r="L48" s="266">
        <f>+Tabla33[[#This Row],[US$]]+Tabla33[[#This Row],[US$,]]</f>
        <v>0</v>
      </c>
    </row>
    <row r="49" spans="2:22" ht="18.600000000000001" customHeight="1">
      <c r="B49" s="234">
        <v>42</v>
      </c>
      <c r="C49" s="363">
        <v>605031145</v>
      </c>
      <c r="D49" s="184" t="str">
        <f>+VLOOKUP(Tabla33[[#This Row],[CEDULA ]],'OCTUBRE 2025'!$C$8:$J$57,2,0)</f>
        <v>SALAO PEREZ GERMAN FABRICIO</v>
      </c>
      <c r="E49" s="184" t="str">
        <f>+VLOOKUP(Tabla33[[#This Row],[CEDULA ]],'OCTUBRE 2025'!$C$8:$J$57,4,0)</f>
        <v>ASESOR DE NEGOCIOS</v>
      </c>
      <c r="F49" s="184" t="str">
        <f>+VLOOKUP(Tabla33[[#This Row],[CEDULA ]],'OCTUBRE 2025'!$C$8:$J$57,6,0)</f>
        <v>Durán</v>
      </c>
      <c r="G49" s="650">
        <f>+VLOOKUP(Tabla33[[#This Row],[CEDULA ]],'OCTUBRE 2025'!$C$8:$J$57,8,0)</f>
        <v>613.32000000000005</v>
      </c>
      <c r="H49" s="324"/>
      <c r="I49" s="323"/>
      <c r="J49" s="65">
        <f>+Tabla33[[#This Row],[Cantidad]]*$J$6</f>
        <v>0</v>
      </c>
      <c r="K49" s="65">
        <f>+Tabla33[[#This Row],[Cantidad2]]*$K$6</f>
        <v>0</v>
      </c>
      <c r="L49" s="266">
        <f>+Tabla33[[#This Row],[US$]]+Tabla33[[#This Row],[US$,]]</f>
        <v>0</v>
      </c>
    </row>
    <row r="50" spans="2:22" ht="18.600000000000001" customHeight="1">
      <c r="B50" s="234">
        <v>43</v>
      </c>
      <c r="C50" s="363">
        <v>927257576</v>
      </c>
      <c r="D50" s="184" t="str">
        <f>+VLOOKUP(Tabla33[[#This Row],[CEDULA ]],'OCTUBRE 2025'!$C$8:$J$57,2,0)</f>
        <v>SANISACA MITE ISRAEL BENJAMIN</v>
      </c>
      <c r="E50" s="184" t="str">
        <f>+VLOOKUP(Tabla33[[#This Row],[CEDULA ]],'OCTUBRE 2025'!$C$8:$J$57,4,0)</f>
        <v>JEFE DE CRÉDITO</v>
      </c>
      <c r="F50" s="184" t="str">
        <f>+VLOOKUP(Tabla33[[#This Row],[CEDULA ]],'OCTUBRE 2025'!$C$8:$J$57,6,0)</f>
        <v>Norte</v>
      </c>
      <c r="G50" s="650">
        <f>+VLOOKUP(Tabla33[[#This Row],[CEDULA ]],'OCTUBRE 2025'!$C$8:$J$57,8,0)</f>
        <v>1022.2</v>
      </c>
      <c r="H50" s="324"/>
      <c r="I50" s="323"/>
      <c r="J50" s="65">
        <f>+Tabla33[[#This Row],[Cantidad]]*$J$6</f>
        <v>0</v>
      </c>
      <c r="K50" s="65">
        <f>+Tabla33[[#This Row],[Cantidad2]]*$K$6</f>
        <v>0</v>
      </c>
      <c r="L50" s="266">
        <f>+Tabla33[[#This Row],[US$]]+Tabla33[[#This Row],[US$,]]</f>
        <v>0</v>
      </c>
    </row>
    <row r="51" spans="2:22" ht="18.600000000000001" customHeight="1">
      <c r="B51" s="234">
        <v>44</v>
      </c>
      <c r="C51" s="363">
        <v>928901800</v>
      </c>
      <c r="D51" s="184" t="str">
        <f>+VLOOKUP(Tabla33[[#This Row],[CEDULA ]],'OCTUBRE 2025'!$C$8:$J$57,2,0)</f>
        <v>TADAY GUAMAN NÉSTOR ALONSO</v>
      </c>
      <c r="E51" s="184" t="str">
        <f>+VLOOKUP(Tabla33[[#This Row],[CEDULA ]],'OCTUBRE 2025'!$C$8:$J$57,4,0)</f>
        <v>JEFE DE BOVEDA</v>
      </c>
      <c r="F51" s="184" t="str">
        <f>+VLOOKUP(Tabla33[[#This Row],[CEDULA ]],'OCTUBRE 2025'!$C$8:$J$57,6,0)</f>
        <v>Matriz</v>
      </c>
      <c r="G51" s="650">
        <f>+VLOOKUP(Tabla33[[#This Row],[CEDULA ]],'OCTUBRE 2025'!$C$8:$J$57,8,0)</f>
        <v>511.1</v>
      </c>
      <c r="H51" s="324"/>
      <c r="I51" s="323"/>
      <c r="J51" s="65">
        <f>+Tabla33[[#This Row],[Cantidad]]*$J$6</f>
        <v>0</v>
      </c>
      <c r="K51" s="65">
        <f>+Tabla33[[#This Row],[Cantidad2]]*$K$6</f>
        <v>0</v>
      </c>
      <c r="L51" s="266">
        <f>+Tabla33[[#This Row],[US$]]+Tabla33[[#This Row],[US$,]]</f>
        <v>0</v>
      </c>
    </row>
    <row r="52" spans="2:22" ht="18.600000000000001" customHeight="1">
      <c r="B52" s="234">
        <v>45</v>
      </c>
      <c r="C52" s="363">
        <v>951315746</v>
      </c>
      <c r="D52" s="184" t="str">
        <f>+VLOOKUP(Tabla33[[#This Row],[CEDULA ]],'OCTUBRE 2025'!$C$8:$J$57,2,0)</f>
        <v>TIGUA MONTERO KAREN LISBETH</v>
      </c>
      <c r="E52" s="184" t="str">
        <f>+VLOOKUP(Tabla33[[#This Row],[CEDULA ]],'OCTUBRE 2025'!$C$8:$J$57,4,0)</f>
        <v>ASESOR DE NEGOCIOS</v>
      </c>
      <c r="F52" s="184" t="str">
        <f>+VLOOKUP(Tabla33[[#This Row],[CEDULA ]],'OCTUBRE 2025'!$C$8:$J$57,6,0)</f>
        <v>Matriz</v>
      </c>
      <c r="G52" s="650">
        <f>+VLOOKUP(Tabla33[[#This Row],[CEDULA ]],'OCTUBRE 2025'!$C$8:$J$57,8,0)</f>
        <v>613.32000000000005</v>
      </c>
      <c r="H52" s="324"/>
      <c r="I52" s="323"/>
      <c r="J52" s="65">
        <f>+Tabla33[[#This Row],[Cantidad]]*$J$6</f>
        <v>0</v>
      </c>
      <c r="K52" s="65">
        <f>+Tabla33[[#This Row],[Cantidad2]]*$K$6</f>
        <v>0</v>
      </c>
      <c r="L52" s="266">
        <f>+Tabla33[[#This Row],[US$]]+Tabla33[[#This Row],[US$,]]</f>
        <v>0</v>
      </c>
    </row>
    <row r="53" spans="2:22" ht="18.600000000000001" customHeight="1">
      <c r="B53" s="234">
        <v>46</v>
      </c>
      <c r="C53" s="363">
        <v>954184321</v>
      </c>
      <c r="D53" s="184" t="str">
        <f>+VLOOKUP(Tabla33[[#This Row],[CEDULA ]],'OCTUBRE 2025'!$C$8:$J$57,2,0)</f>
        <v>URQUIZO GUARANGA ALEX EFRAIN</v>
      </c>
      <c r="E53" s="184" t="str">
        <f>+VLOOKUP(Tabla33[[#This Row],[CEDULA ]],'OCTUBRE 2025'!$C$8:$J$57,4,0)</f>
        <v>OFICIAL DE RECAUDACIONES</v>
      </c>
      <c r="F53" s="184" t="str">
        <f>+VLOOKUP(Tabla33[[#This Row],[CEDULA ]],'OCTUBRE 2025'!$C$8:$J$57,6,0)</f>
        <v>Matriz</v>
      </c>
      <c r="G53" s="650">
        <f>+VLOOKUP(Tabla33[[#This Row],[CEDULA ]],'OCTUBRE 2025'!$C$8:$J$57,8,0)</f>
        <v>511.1</v>
      </c>
      <c r="H53" s="324"/>
      <c r="I53" s="323"/>
      <c r="J53" s="65">
        <f>+Tabla33[[#This Row],[Cantidad]]*$J$6</f>
        <v>0</v>
      </c>
      <c r="K53" s="65">
        <f>+Tabla33[[#This Row],[Cantidad2]]*$K$6</f>
        <v>0</v>
      </c>
      <c r="L53" s="266">
        <f>+Tabla33[[#This Row],[US$]]+Tabla33[[#This Row],[US$,]]</f>
        <v>0</v>
      </c>
    </row>
    <row r="54" spans="2:22" ht="18.600000000000001" customHeight="1">
      <c r="B54" s="234">
        <v>47</v>
      </c>
      <c r="C54" s="363">
        <v>922034772</v>
      </c>
      <c r="D54" s="184" t="str">
        <f>+VLOOKUP(Tabla33[[#This Row],[CEDULA ]],'OCTUBRE 2025'!$C$8:$J$57,2,0)</f>
        <v>VERA GUEVARA PAOLA KARINA</v>
      </c>
      <c r="E54" s="184" t="str">
        <f>+VLOOKUP(Tabla33[[#This Row],[CEDULA ]],'OCTUBRE 2025'!$C$8:$J$57,4,0)</f>
        <v>ASESOR DE CAPTACIONES</v>
      </c>
      <c r="F54" s="184" t="str">
        <f>+VLOOKUP(Tabla33[[#This Row],[CEDULA ]],'OCTUBRE 2025'!$C$8:$J$57,6,0)</f>
        <v>Matriz</v>
      </c>
      <c r="G54" s="650">
        <f>+VLOOKUP(Tabla33[[#This Row],[CEDULA ]],'OCTUBRE 2025'!$C$8:$J$57,8,0)</f>
        <v>700</v>
      </c>
      <c r="H54" s="324"/>
      <c r="I54" s="323"/>
      <c r="J54" s="65">
        <f>+Tabla33[[#This Row],[Cantidad]]*$J$6</f>
        <v>0</v>
      </c>
      <c r="K54" s="65">
        <f>+Tabla33[[#This Row],[Cantidad2]]*$K$6</f>
        <v>0</v>
      </c>
      <c r="L54" s="266">
        <f>+Tabla33[[#This Row],[US$]]+Tabla33[[#This Row],[US$,]]</f>
        <v>0</v>
      </c>
    </row>
    <row r="55" spans="2:22" ht="18.600000000000001" customHeight="1">
      <c r="B55" s="234">
        <v>48</v>
      </c>
      <c r="C55" s="363">
        <v>923837991</v>
      </c>
      <c r="D55" s="184" t="str">
        <f>+VLOOKUP(Tabla33[[#This Row],[CEDULA ]],'OCTUBRE 2025'!$C$8:$J$57,2,0)</f>
        <v>YUNDA CUJILEMA MARIA TERESA</v>
      </c>
      <c r="E55" s="184" t="str">
        <f>+VLOOKUP(Tabla33[[#This Row],[CEDULA ]],'OCTUBRE 2025'!$C$8:$J$57,4,0)</f>
        <v>CONTADOR GENERAL</v>
      </c>
      <c r="F55" s="184" t="str">
        <f>+VLOOKUP(Tabla33[[#This Row],[CEDULA ]],'OCTUBRE 2025'!$C$8:$J$57,6,0)</f>
        <v>Matriz</v>
      </c>
      <c r="G55" s="650">
        <f>+VLOOKUP(Tabla33[[#This Row],[CEDULA ]],'OCTUBRE 2025'!$C$8:$J$57,8,0)</f>
        <v>1022.2</v>
      </c>
      <c r="H55" s="324"/>
      <c r="I55" s="323"/>
      <c r="J55" s="65">
        <f>+Tabla33[[#This Row],[Cantidad]]*$J$6</f>
        <v>0</v>
      </c>
      <c r="K55" s="65">
        <f>+Tabla33[[#This Row],[Cantidad2]]*$K$6</f>
        <v>0</v>
      </c>
      <c r="L55" s="266">
        <f>+Tabla33[[#This Row],[US$]]+Tabla33[[#This Row],[US$,]]</f>
        <v>0</v>
      </c>
    </row>
    <row r="56" spans="2:22" ht="18.600000000000001" customHeight="1">
      <c r="B56" s="234">
        <v>49</v>
      </c>
      <c r="C56" s="363">
        <v>941508905</v>
      </c>
      <c r="D56" s="184" t="str">
        <f>+VLOOKUP(Tabla33[[#This Row],[CEDULA ]],'OCTUBRE 2025'!$C$8:$J$57,2,0)</f>
        <v>YUQUILEMA CACUANGO ANGEL JOSE</v>
      </c>
      <c r="E56" s="184" t="str">
        <f>+VLOOKUP(Tabla33[[#This Row],[CEDULA ]],'OCTUBRE 2025'!$C$8:$J$57,4,0)</f>
        <v>OFICIAL DE RECAUDACIONES</v>
      </c>
      <c r="F56" s="184" t="str">
        <f>+VLOOKUP(Tabla33[[#This Row],[CEDULA ]],'OCTUBRE 2025'!$C$8:$J$57,6,0)</f>
        <v>Matriz</v>
      </c>
      <c r="G56" s="650">
        <f>+VLOOKUP(Tabla33[[#This Row],[CEDULA ]],'OCTUBRE 2025'!$C$8:$J$57,8,0)</f>
        <v>511.1</v>
      </c>
      <c r="H56" s="324"/>
      <c r="I56" s="323"/>
      <c r="J56" s="65">
        <f>+Tabla33[[#This Row],[Cantidad]]*$J$6</f>
        <v>0</v>
      </c>
      <c r="K56" s="65">
        <f>+Tabla33[[#This Row],[Cantidad2]]*$K$6</f>
        <v>0</v>
      </c>
      <c r="L56" s="266">
        <f>+Tabla33[[#This Row],[US$]]+Tabla33[[#This Row],[US$,]]</f>
        <v>0</v>
      </c>
    </row>
    <row r="57" spans="2:22" ht="18.600000000000001" customHeight="1">
      <c r="B57" s="234">
        <v>50</v>
      </c>
      <c r="C57" s="363">
        <v>604154575</v>
      </c>
      <c r="D57" s="184" t="str">
        <f>+VLOOKUP(Tabla33[[#This Row],[CEDULA ]],'OCTUBRE 2025'!$C$8:$J$57,2,0)</f>
        <v>YUQUILEMA DELGADO PEDRO ANTONIO</v>
      </c>
      <c r="E57" s="184" t="str">
        <f>+VLOOKUP(Tabla33[[#This Row],[CEDULA ]],'OCTUBRE 2025'!$C$8:$J$57,4,0)</f>
        <v>JEFE DE CRÉDITO</v>
      </c>
      <c r="F57" s="184" t="str">
        <f>+VLOOKUP(Tabla33[[#This Row],[CEDULA ]],'OCTUBRE 2025'!$C$8:$J$57,6,0)</f>
        <v>Durán</v>
      </c>
      <c r="G57" s="650">
        <f>+VLOOKUP(Tabla33[[#This Row],[CEDULA ]],'OCTUBRE 2025'!$C$8:$J$57,8,0)</f>
        <v>1022.2</v>
      </c>
      <c r="H57" s="324"/>
      <c r="I57" s="323"/>
      <c r="J57" s="65">
        <f>+Tabla33[[#This Row],[Cantidad]]*$J$6</f>
        <v>0</v>
      </c>
      <c r="K57" s="65">
        <f>+Tabla33[[#This Row],[Cantidad2]]*$K$6</f>
        <v>0</v>
      </c>
      <c r="L57" s="266">
        <f>+Tabla33[[#This Row],[US$]]+Tabla33[[#This Row],[US$,]]</f>
        <v>0</v>
      </c>
    </row>
    <row r="58" spans="2:22" ht="18.600000000000001" customHeight="1">
      <c r="B58" s="64"/>
      <c r="C58" s="601"/>
      <c r="D58" s="189"/>
      <c r="E58" s="69"/>
      <c r="F58" s="245"/>
      <c r="G58" s="70"/>
      <c r="H58" s="265"/>
      <c r="I58" s="265"/>
      <c r="J58" s="65">
        <f>+Tabla33[[#This Row],[Cantidad]]*$J$6</f>
        <v>0</v>
      </c>
      <c r="K58" s="65">
        <f>+Tabla33[[#This Row],[Cantidad2]]*$K$6</f>
        <v>0</v>
      </c>
      <c r="L58" s="266">
        <f>+Tabla33[[#This Row],[US$]]+Tabla33[[#This Row],[US$,]]</f>
        <v>0</v>
      </c>
      <c r="O58" s="51"/>
    </row>
    <row r="59" spans="2:22" ht="21.6" customHeight="1">
      <c r="B59" s="71"/>
      <c r="C59" s="188"/>
      <c r="D59" s="72" t="s">
        <v>32</v>
      </c>
      <c r="E59" s="72"/>
      <c r="F59" s="246"/>
      <c r="G59" s="73">
        <f>SUBTOTAL(109,Tabla33[SUELDO])</f>
        <v>30990.649999999994</v>
      </c>
      <c r="H59" s="74"/>
      <c r="I59" s="75"/>
      <c r="J59" s="75">
        <f>SUBTOTAL(109,Tabla33[US$])</f>
        <v>0</v>
      </c>
      <c r="K59" s="76">
        <f>SUBTOTAL(109,Tabla33[US$,])</f>
        <v>0</v>
      </c>
      <c r="L59" s="75">
        <f>SUBTOTAL(109,Tabla33[US$,,])</f>
        <v>0</v>
      </c>
    </row>
    <row r="60" spans="2:22">
      <c r="O60" s="251"/>
      <c r="P60" s="251"/>
      <c r="Q60" s="252"/>
      <c r="R60" s="252"/>
      <c r="S60" s="251"/>
      <c r="T60" s="252"/>
      <c r="U60" s="252"/>
      <c r="V60" s="251"/>
    </row>
    <row r="61" spans="2:22">
      <c r="O61" s="253"/>
      <c r="P61" s="254"/>
      <c r="Q61" s="255"/>
      <c r="R61" s="256"/>
      <c r="S61" s="255"/>
      <c r="T61" s="257"/>
      <c r="U61" s="258"/>
      <c r="V61" s="113"/>
    </row>
    <row r="62" spans="2:22">
      <c r="O62" s="253"/>
      <c r="P62" s="254"/>
      <c r="Q62" s="255"/>
      <c r="R62" s="256"/>
      <c r="S62" s="255"/>
      <c r="T62" s="257"/>
      <c r="U62" s="258"/>
      <c r="V62" s="113"/>
    </row>
  </sheetData>
  <sheetProtection autoFilter="0"/>
  <mergeCells count="5">
    <mergeCell ref="B2:L2"/>
    <mergeCell ref="B3:L3"/>
    <mergeCell ref="H5:I5"/>
    <mergeCell ref="J5:K5"/>
    <mergeCell ref="L5:L6"/>
  </mergeCells>
  <conditionalFormatting sqref="T61:T62">
    <cfRule type="cellIs" dxfId="52" priority="1" operator="between">
      <formula>80</formula>
      <formula>85</formula>
    </cfRule>
  </conditionalFormatting>
  <dataValidations count="1">
    <dataValidation type="list" allowBlank="1" showInputMessage="1" showErrorMessage="1" sqref="V61" xr:uid="{C12B7ACE-5465-4454-9B85-86298363EB29}">
      <formula1>$AJ$6:$AJ$34</formula1>
    </dataValidation>
  </dataValidations>
  <pageMargins left="0.12" right="0.12" top="0.19" bottom="0.75" header="0.3" footer="0.12"/>
  <pageSetup scale="68" fitToWidth="0" fitToHeight="0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453D-12B3-4929-9E18-19D56A439A20}">
  <sheetPr codeName="Hoja15"/>
  <dimension ref="B1:R58"/>
  <sheetViews>
    <sheetView showGridLines="0" zoomScale="82" zoomScaleNormal="82" workbookViewId="0">
      <selection activeCell="I24" sqref="I24"/>
    </sheetView>
  </sheetViews>
  <sheetFormatPr baseColWidth="10" defaultRowHeight="13.8"/>
  <cols>
    <col min="1" max="1" width="6.6640625" style="81" customWidth="1"/>
    <col min="2" max="5" width="11.5546875" style="81"/>
    <col min="6" max="6" width="4.109375" style="81" customWidth="1"/>
    <col min="7" max="7" width="11.5546875" style="81"/>
    <col min="8" max="8" width="16" style="81" customWidth="1"/>
    <col min="9" max="246" width="11.5546875" style="81"/>
    <col min="247" max="247" width="2.109375" style="81" customWidth="1"/>
    <col min="248" max="248" width="10" style="81" bestFit="1" customWidth="1"/>
    <col min="249" max="249" width="13" style="81" customWidth="1"/>
    <col min="250" max="251" width="11.5546875" style="81"/>
    <col min="252" max="252" width="11" style="81" bestFit="1" customWidth="1"/>
    <col min="253" max="253" width="11.5546875" style="81"/>
    <col min="254" max="254" width="12.88671875" style="81" customWidth="1"/>
    <col min="255" max="255" width="11.5546875" style="81"/>
    <col min="256" max="256" width="12.33203125" style="81" bestFit="1" customWidth="1"/>
    <col min="257" max="257" width="18.88671875" style="81" customWidth="1"/>
    <col min="258" max="502" width="11.5546875" style="81"/>
    <col min="503" max="503" width="2.109375" style="81" customWidth="1"/>
    <col min="504" max="504" width="10" style="81" bestFit="1" customWidth="1"/>
    <col min="505" max="505" width="13" style="81" customWidth="1"/>
    <col min="506" max="507" width="11.5546875" style="81"/>
    <col min="508" max="508" width="11" style="81" bestFit="1" customWidth="1"/>
    <col min="509" max="509" width="11.5546875" style="81"/>
    <col min="510" max="510" width="12.88671875" style="81" customWidth="1"/>
    <col min="511" max="511" width="11.5546875" style="81"/>
    <col min="512" max="512" width="12.33203125" style="81" bestFit="1" customWidth="1"/>
    <col min="513" max="513" width="18.88671875" style="81" customWidth="1"/>
    <col min="514" max="758" width="11.5546875" style="81"/>
    <col min="759" max="759" width="2.109375" style="81" customWidth="1"/>
    <col min="760" max="760" width="10" style="81" bestFit="1" customWidth="1"/>
    <col min="761" max="761" width="13" style="81" customWidth="1"/>
    <col min="762" max="763" width="11.5546875" style="81"/>
    <col min="764" max="764" width="11" style="81" bestFit="1" customWidth="1"/>
    <col min="765" max="765" width="11.5546875" style="81"/>
    <col min="766" max="766" width="12.88671875" style="81" customWidth="1"/>
    <col min="767" max="767" width="11.5546875" style="81"/>
    <col min="768" max="768" width="12.33203125" style="81" bestFit="1" customWidth="1"/>
    <col min="769" max="769" width="18.88671875" style="81" customWidth="1"/>
    <col min="770" max="1014" width="11.5546875" style="81"/>
    <col min="1015" max="1015" width="2.109375" style="81" customWidth="1"/>
    <col min="1016" max="1016" width="10" style="81" bestFit="1" customWidth="1"/>
    <col min="1017" max="1017" width="13" style="81" customWidth="1"/>
    <col min="1018" max="1019" width="11.5546875" style="81"/>
    <col min="1020" max="1020" width="11" style="81" bestFit="1" customWidth="1"/>
    <col min="1021" max="1021" width="11.5546875" style="81"/>
    <col min="1022" max="1022" width="12.88671875" style="81" customWidth="1"/>
    <col min="1023" max="1023" width="11.5546875" style="81"/>
    <col min="1024" max="1024" width="12.33203125" style="81" bestFit="1" customWidth="1"/>
    <col min="1025" max="1025" width="18.88671875" style="81" customWidth="1"/>
    <col min="1026" max="1270" width="11.5546875" style="81"/>
    <col min="1271" max="1271" width="2.109375" style="81" customWidth="1"/>
    <col min="1272" max="1272" width="10" style="81" bestFit="1" customWidth="1"/>
    <col min="1273" max="1273" width="13" style="81" customWidth="1"/>
    <col min="1274" max="1275" width="11.5546875" style="81"/>
    <col min="1276" max="1276" width="11" style="81" bestFit="1" customWidth="1"/>
    <col min="1277" max="1277" width="11.5546875" style="81"/>
    <col min="1278" max="1278" width="12.88671875" style="81" customWidth="1"/>
    <col min="1279" max="1279" width="11.5546875" style="81"/>
    <col min="1280" max="1280" width="12.33203125" style="81" bestFit="1" customWidth="1"/>
    <col min="1281" max="1281" width="18.88671875" style="81" customWidth="1"/>
    <col min="1282" max="1526" width="11.5546875" style="81"/>
    <col min="1527" max="1527" width="2.109375" style="81" customWidth="1"/>
    <col min="1528" max="1528" width="10" style="81" bestFit="1" customWidth="1"/>
    <col min="1529" max="1529" width="13" style="81" customWidth="1"/>
    <col min="1530" max="1531" width="11.5546875" style="81"/>
    <col min="1532" max="1532" width="11" style="81" bestFit="1" customWidth="1"/>
    <col min="1533" max="1533" width="11.5546875" style="81"/>
    <col min="1534" max="1534" width="12.88671875" style="81" customWidth="1"/>
    <col min="1535" max="1535" width="11.5546875" style="81"/>
    <col min="1536" max="1536" width="12.33203125" style="81" bestFit="1" customWidth="1"/>
    <col min="1537" max="1537" width="18.88671875" style="81" customWidth="1"/>
    <col min="1538" max="1782" width="11.5546875" style="81"/>
    <col min="1783" max="1783" width="2.109375" style="81" customWidth="1"/>
    <col min="1784" max="1784" width="10" style="81" bestFit="1" customWidth="1"/>
    <col min="1785" max="1785" width="13" style="81" customWidth="1"/>
    <col min="1786" max="1787" width="11.5546875" style="81"/>
    <col min="1788" max="1788" width="11" style="81" bestFit="1" customWidth="1"/>
    <col min="1789" max="1789" width="11.5546875" style="81"/>
    <col min="1790" max="1790" width="12.88671875" style="81" customWidth="1"/>
    <col min="1791" max="1791" width="11.5546875" style="81"/>
    <col min="1792" max="1792" width="12.33203125" style="81" bestFit="1" customWidth="1"/>
    <col min="1793" max="1793" width="18.88671875" style="81" customWidth="1"/>
    <col min="1794" max="2038" width="11.5546875" style="81"/>
    <col min="2039" max="2039" width="2.109375" style="81" customWidth="1"/>
    <col min="2040" max="2040" width="10" style="81" bestFit="1" customWidth="1"/>
    <col min="2041" max="2041" width="13" style="81" customWidth="1"/>
    <col min="2042" max="2043" width="11.5546875" style="81"/>
    <col min="2044" max="2044" width="11" style="81" bestFit="1" customWidth="1"/>
    <col min="2045" max="2045" width="11.5546875" style="81"/>
    <col min="2046" max="2046" width="12.88671875" style="81" customWidth="1"/>
    <col min="2047" max="2047" width="11.5546875" style="81"/>
    <col min="2048" max="2048" width="12.33203125" style="81" bestFit="1" customWidth="1"/>
    <col min="2049" max="2049" width="18.88671875" style="81" customWidth="1"/>
    <col min="2050" max="2294" width="11.5546875" style="81"/>
    <col min="2295" max="2295" width="2.109375" style="81" customWidth="1"/>
    <col min="2296" max="2296" width="10" style="81" bestFit="1" customWidth="1"/>
    <col min="2297" max="2297" width="13" style="81" customWidth="1"/>
    <col min="2298" max="2299" width="11.5546875" style="81"/>
    <col min="2300" max="2300" width="11" style="81" bestFit="1" customWidth="1"/>
    <col min="2301" max="2301" width="11.5546875" style="81"/>
    <col min="2302" max="2302" width="12.88671875" style="81" customWidth="1"/>
    <col min="2303" max="2303" width="11.5546875" style="81"/>
    <col min="2304" max="2304" width="12.33203125" style="81" bestFit="1" customWidth="1"/>
    <col min="2305" max="2305" width="18.88671875" style="81" customWidth="1"/>
    <col min="2306" max="2550" width="11.5546875" style="81"/>
    <col min="2551" max="2551" width="2.109375" style="81" customWidth="1"/>
    <col min="2552" max="2552" width="10" style="81" bestFit="1" customWidth="1"/>
    <col min="2553" max="2553" width="13" style="81" customWidth="1"/>
    <col min="2554" max="2555" width="11.5546875" style="81"/>
    <col min="2556" max="2556" width="11" style="81" bestFit="1" customWidth="1"/>
    <col min="2557" max="2557" width="11.5546875" style="81"/>
    <col min="2558" max="2558" width="12.88671875" style="81" customWidth="1"/>
    <col min="2559" max="2559" width="11.5546875" style="81"/>
    <col min="2560" max="2560" width="12.33203125" style="81" bestFit="1" customWidth="1"/>
    <col min="2561" max="2561" width="18.88671875" style="81" customWidth="1"/>
    <col min="2562" max="2806" width="11.5546875" style="81"/>
    <col min="2807" max="2807" width="2.109375" style="81" customWidth="1"/>
    <col min="2808" max="2808" width="10" style="81" bestFit="1" customWidth="1"/>
    <col min="2809" max="2809" width="13" style="81" customWidth="1"/>
    <col min="2810" max="2811" width="11.5546875" style="81"/>
    <col min="2812" max="2812" width="11" style="81" bestFit="1" customWidth="1"/>
    <col min="2813" max="2813" width="11.5546875" style="81"/>
    <col min="2814" max="2814" width="12.88671875" style="81" customWidth="1"/>
    <col min="2815" max="2815" width="11.5546875" style="81"/>
    <col min="2816" max="2816" width="12.33203125" style="81" bestFit="1" customWidth="1"/>
    <col min="2817" max="2817" width="18.88671875" style="81" customWidth="1"/>
    <col min="2818" max="3062" width="11.5546875" style="81"/>
    <col min="3063" max="3063" width="2.109375" style="81" customWidth="1"/>
    <col min="3064" max="3064" width="10" style="81" bestFit="1" customWidth="1"/>
    <col min="3065" max="3065" width="13" style="81" customWidth="1"/>
    <col min="3066" max="3067" width="11.5546875" style="81"/>
    <col min="3068" max="3068" width="11" style="81" bestFit="1" customWidth="1"/>
    <col min="3069" max="3069" width="11.5546875" style="81"/>
    <col min="3070" max="3070" width="12.88671875" style="81" customWidth="1"/>
    <col min="3071" max="3071" width="11.5546875" style="81"/>
    <col min="3072" max="3072" width="12.33203125" style="81" bestFit="1" customWidth="1"/>
    <col min="3073" max="3073" width="18.88671875" style="81" customWidth="1"/>
    <col min="3074" max="3318" width="11.5546875" style="81"/>
    <col min="3319" max="3319" width="2.109375" style="81" customWidth="1"/>
    <col min="3320" max="3320" width="10" style="81" bestFit="1" customWidth="1"/>
    <col min="3321" max="3321" width="13" style="81" customWidth="1"/>
    <col min="3322" max="3323" width="11.5546875" style="81"/>
    <col min="3324" max="3324" width="11" style="81" bestFit="1" customWidth="1"/>
    <col min="3325" max="3325" width="11.5546875" style="81"/>
    <col min="3326" max="3326" width="12.88671875" style="81" customWidth="1"/>
    <col min="3327" max="3327" width="11.5546875" style="81"/>
    <col min="3328" max="3328" width="12.33203125" style="81" bestFit="1" customWidth="1"/>
    <col min="3329" max="3329" width="18.88671875" style="81" customWidth="1"/>
    <col min="3330" max="3574" width="11.5546875" style="81"/>
    <col min="3575" max="3575" width="2.109375" style="81" customWidth="1"/>
    <col min="3576" max="3576" width="10" style="81" bestFit="1" customWidth="1"/>
    <col min="3577" max="3577" width="13" style="81" customWidth="1"/>
    <col min="3578" max="3579" width="11.5546875" style="81"/>
    <col min="3580" max="3580" width="11" style="81" bestFit="1" customWidth="1"/>
    <col min="3581" max="3581" width="11.5546875" style="81"/>
    <col min="3582" max="3582" width="12.88671875" style="81" customWidth="1"/>
    <col min="3583" max="3583" width="11.5546875" style="81"/>
    <col min="3584" max="3584" width="12.33203125" style="81" bestFit="1" customWidth="1"/>
    <col min="3585" max="3585" width="18.88671875" style="81" customWidth="1"/>
    <col min="3586" max="3830" width="11.5546875" style="81"/>
    <col min="3831" max="3831" width="2.109375" style="81" customWidth="1"/>
    <col min="3832" max="3832" width="10" style="81" bestFit="1" customWidth="1"/>
    <col min="3833" max="3833" width="13" style="81" customWidth="1"/>
    <col min="3834" max="3835" width="11.5546875" style="81"/>
    <col min="3836" max="3836" width="11" style="81" bestFit="1" customWidth="1"/>
    <col min="3837" max="3837" width="11.5546875" style="81"/>
    <col min="3838" max="3838" width="12.88671875" style="81" customWidth="1"/>
    <col min="3839" max="3839" width="11.5546875" style="81"/>
    <col min="3840" max="3840" width="12.33203125" style="81" bestFit="1" customWidth="1"/>
    <col min="3841" max="3841" width="18.88671875" style="81" customWidth="1"/>
    <col min="3842" max="4086" width="11.5546875" style="81"/>
    <col min="4087" max="4087" width="2.109375" style="81" customWidth="1"/>
    <col min="4088" max="4088" width="10" style="81" bestFit="1" customWidth="1"/>
    <col min="4089" max="4089" width="13" style="81" customWidth="1"/>
    <col min="4090" max="4091" width="11.5546875" style="81"/>
    <col min="4092" max="4092" width="11" style="81" bestFit="1" customWidth="1"/>
    <col min="4093" max="4093" width="11.5546875" style="81"/>
    <col min="4094" max="4094" width="12.88671875" style="81" customWidth="1"/>
    <col min="4095" max="4095" width="11.5546875" style="81"/>
    <col min="4096" max="4096" width="12.33203125" style="81" bestFit="1" customWidth="1"/>
    <col min="4097" max="4097" width="18.88671875" style="81" customWidth="1"/>
    <col min="4098" max="4342" width="11.5546875" style="81"/>
    <col min="4343" max="4343" width="2.109375" style="81" customWidth="1"/>
    <col min="4344" max="4344" width="10" style="81" bestFit="1" customWidth="1"/>
    <col min="4345" max="4345" width="13" style="81" customWidth="1"/>
    <col min="4346" max="4347" width="11.5546875" style="81"/>
    <col min="4348" max="4348" width="11" style="81" bestFit="1" customWidth="1"/>
    <col min="4349" max="4349" width="11.5546875" style="81"/>
    <col min="4350" max="4350" width="12.88671875" style="81" customWidth="1"/>
    <col min="4351" max="4351" width="11.5546875" style="81"/>
    <col min="4352" max="4352" width="12.33203125" style="81" bestFit="1" customWidth="1"/>
    <col min="4353" max="4353" width="18.88671875" style="81" customWidth="1"/>
    <col min="4354" max="4598" width="11.5546875" style="81"/>
    <col min="4599" max="4599" width="2.109375" style="81" customWidth="1"/>
    <col min="4600" max="4600" width="10" style="81" bestFit="1" customWidth="1"/>
    <col min="4601" max="4601" width="13" style="81" customWidth="1"/>
    <col min="4602" max="4603" width="11.5546875" style="81"/>
    <col min="4604" max="4604" width="11" style="81" bestFit="1" customWidth="1"/>
    <col min="4605" max="4605" width="11.5546875" style="81"/>
    <col min="4606" max="4606" width="12.88671875" style="81" customWidth="1"/>
    <col min="4607" max="4607" width="11.5546875" style="81"/>
    <col min="4608" max="4608" width="12.33203125" style="81" bestFit="1" customWidth="1"/>
    <col min="4609" max="4609" width="18.88671875" style="81" customWidth="1"/>
    <col min="4610" max="4854" width="11.5546875" style="81"/>
    <col min="4855" max="4855" width="2.109375" style="81" customWidth="1"/>
    <col min="4856" max="4856" width="10" style="81" bestFit="1" customWidth="1"/>
    <col min="4857" max="4857" width="13" style="81" customWidth="1"/>
    <col min="4858" max="4859" width="11.5546875" style="81"/>
    <col min="4860" max="4860" width="11" style="81" bestFit="1" customWidth="1"/>
    <col min="4861" max="4861" width="11.5546875" style="81"/>
    <col min="4862" max="4862" width="12.88671875" style="81" customWidth="1"/>
    <col min="4863" max="4863" width="11.5546875" style="81"/>
    <col min="4864" max="4864" width="12.33203125" style="81" bestFit="1" customWidth="1"/>
    <col min="4865" max="4865" width="18.88671875" style="81" customWidth="1"/>
    <col min="4866" max="5110" width="11.5546875" style="81"/>
    <col min="5111" max="5111" width="2.109375" style="81" customWidth="1"/>
    <col min="5112" max="5112" width="10" style="81" bestFit="1" customWidth="1"/>
    <col min="5113" max="5113" width="13" style="81" customWidth="1"/>
    <col min="5114" max="5115" width="11.5546875" style="81"/>
    <col min="5116" max="5116" width="11" style="81" bestFit="1" customWidth="1"/>
    <col min="5117" max="5117" width="11.5546875" style="81"/>
    <col min="5118" max="5118" width="12.88671875" style="81" customWidth="1"/>
    <col min="5119" max="5119" width="11.5546875" style="81"/>
    <col min="5120" max="5120" width="12.33203125" style="81" bestFit="1" customWidth="1"/>
    <col min="5121" max="5121" width="18.88671875" style="81" customWidth="1"/>
    <col min="5122" max="5366" width="11.5546875" style="81"/>
    <col min="5367" max="5367" width="2.109375" style="81" customWidth="1"/>
    <col min="5368" max="5368" width="10" style="81" bestFit="1" customWidth="1"/>
    <col min="5369" max="5369" width="13" style="81" customWidth="1"/>
    <col min="5370" max="5371" width="11.5546875" style="81"/>
    <col min="5372" max="5372" width="11" style="81" bestFit="1" customWidth="1"/>
    <col min="5373" max="5373" width="11.5546875" style="81"/>
    <col min="5374" max="5374" width="12.88671875" style="81" customWidth="1"/>
    <col min="5375" max="5375" width="11.5546875" style="81"/>
    <col min="5376" max="5376" width="12.33203125" style="81" bestFit="1" customWidth="1"/>
    <col min="5377" max="5377" width="18.88671875" style="81" customWidth="1"/>
    <col min="5378" max="5622" width="11.5546875" style="81"/>
    <col min="5623" max="5623" width="2.109375" style="81" customWidth="1"/>
    <col min="5624" max="5624" width="10" style="81" bestFit="1" customWidth="1"/>
    <col min="5625" max="5625" width="13" style="81" customWidth="1"/>
    <col min="5626" max="5627" width="11.5546875" style="81"/>
    <col min="5628" max="5628" width="11" style="81" bestFit="1" customWidth="1"/>
    <col min="5629" max="5629" width="11.5546875" style="81"/>
    <col min="5630" max="5630" width="12.88671875" style="81" customWidth="1"/>
    <col min="5631" max="5631" width="11.5546875" style="81"/>
    <col min="5632" max="5632" width="12.33203125" style="81" bestFit="1" customWidth="1"/>
    <col min="5633" max="5633" width="18.88671875" style="81" customWidth="1"/>
    <col min="5634" max="5878" width="11.5546875" style="81"/>
    <col min="5879" max="5879" width="2.109375" style="81" customWidth="1"/>
    <col min="5880" max="5880" width="10" style="81" bestFit="1" customWidth="1"/>
    <col min="5881" max="5881" width="13" style="81" customWidth="1"/>
    <col min="5882" max="5883" width="11.5546875" style="81"/>
    <col min="5884" max="5884" width="11" style="81" bestFit="1" customWidth="1"/>
    <col min="5885" max="5885" width="11.5546875" style="81"/>
    <col min="5886" max="5886" width="12.88671875" style="81" customWidth="1"/>
    <col min="5887" max="5887" width="11.5546875" style="81"/>
    <col min="5888" max="5888" width="12.33203125" style="81" bestFit="1" customWidth="1"/>
    <col min="5889" max="5889" width="18.88671875" style="81" customWidth="1"/>
    <col min="5890" max="6134" width="11.5546875" style="81"/>
    <col min="6135" max="6135" width="2.109375" style="81" customWidth="1"/>
    <col min="6136" max="6136" width="10" style="81" bestFit="1" customWidth="1"/>
    <col min="6137" max="6137" width="13" style="81" customWidth="1"/>
    <col min="6138" max="6139" width="11.5546875" style="81"/>
    <col min="6140" max="6140" width="11" style="81" bestFit="1" customWidth="1"/>
    <col min="6141" max="6141" width="11.5546875" style="81"/>
    <col min="6142" max="6142" width="12.88671875" style="81" customWidth="1"/>
    <col min="6143" max="6143" width="11.5546875" style="81"/>
    <col min="6144" max="6144" width="12.33203125" style="81" bestFit="1" customWidth="1"/>
    <col min="6145" max="6145" width="18.88671875" style="81" customWidth="1"/>
    <col min="6146" max="6390" width="11.5546875" style="81"/>
    <col min="6391" max="6391" width="2.109375" style="81" customWidth="1"/>
    <col min="6392" max="6392" width="10" style="81" bestFit="1" customWidth="1"/>
    <col min="6393" max="6393" width="13" style="81" customWidth="1"/>
    <col min="6394" max="6395" width="11.5546875" style="81"/>
    <col min="6396" max="6396" width="11" style="81" bestFit="1" customWidth="1"/>
    <col min="6397" max="6397" width="11.5546875" style="81"/>
    <col min="6398" max="6398" width="12.88671875" style="81" customWidth="1"/>
    <col min="6399" max="6399" width="11.5546875" style="81"/>
    <col min="6400" max="6400" width="12.33203125" style="81" bestFit="1" customWidth="1"/>
    <col min="6401" max="6401" width="18.88671875" style="81" customWidth="1"/>
    <col min="6402" max="6646" width="11.5546875" style="81"/>
    <col min="6647" max="6647" width="2.109375" style="81" customWidth="1"/>
    <col min="6648" max="6648" width="10" style="81" bestFit="1" customWidth="1"/>
    <col min="6649" max="6649" width="13" style="81" customWidth="1"/>
    <col min="6650" max="6651" width="11.5546875" style="81"/>
    <col min="6652" max="6652" width="11" style="81" bestFit="1" customWidth="1"/>
    <col min="6653" max="6653" width="11.5546875" style="81"/>
    <col min="6654" max="6654" width="12.88671875" style="81" customWidth="1"/>
    <col min="6655" max="6655" width="11.5546875" style="81"/>
    <col min="6656" max="6656" width="12.33203125" style="81" bestFit="1" customWidth="1"/>
    <col min="6657" max="6657" width="18.88671875" style="81" customWidth="1"/>
    <col min="6658" max="6902" width="11.5546875" style="81"/>
    <col min="6903" max="6903" width="2.109375" style="81" customWidth="1"/>
    <col min="6904" max="6904" width="10" style="81" bestFit="1" customWidth="1"/>
    <col min="6905" max="6905" width="13" style="81" customWidth="1"/>
    <col min="6906" max="6907" width="11.5546875" style="81"/>
    <col min="6908" max="6908" width="11" style="81" bestFit="1" customWidth="1"/>
    <col min="6909" max="6909" width="11.5546875" style="81"/>
    <col min="6910" max="6910" width="12.88671875" style="81" customWidth="1"/>
    <col min="6911" max="6911" width="11.5546875" style="81"/>
    <col min="6912" max="6912" width="12.33203125" style="81" bestFit="1" customWidth="1"/>
    <col min="6913" max="6913" width="18.88671875" style="81" customWidth="1"/>
    <col min="6914" max="7158" width="11.5546875" style="81"/>
    <col min="7159" max="7159" width="2.109375" style="81" customWidth="1"/>
    <col min="7160" max="7160" width="10" style="81" bestFit="1" customWidth="1"/>
    <col min="7161" max="7161" width="13" style="81" customWidth="1"/>
    <col min="7162" max="7163" width="11.5546875" style="81"/>
    <col min="7164" max="7164" width="11" style="81" bestFit="1" customWidth="1"/>
    <col min="7165" max="7165" width="11.5546875" style="81"/>
    <col min="7166" max="7166" width="12.88671875" style="81" customWidth="1"/>
    <col min="7167" max="7167" width="11.5546875" style="81"/>
    <col min="7168" max="7168" width="12.33203125" style="81" bestFit="1" customWidth="1"/>
    <col min="7169" max="7169" width="18.88671875" style="81" customWidth="1"/>
    <col min="7170" max="7414" width="11.5546875" style="81"/>
    <col min="7415" max="7415" width="2.109375" style="81" customWidth="1"/>
    <col min="7416" max="7416" width="10" style="81" bestFit="1" customWidth="1"/>
    <col min="7417" max="7417" width="13" style="81" customWidth="1"/>
    <col min="7418" max="7419" width="11.5546875" style="81"/>
    <col min="7420" max="7420" width="11" style="81" bestFit="1" customWidth="1"/>
    <col min="7421" max="7421" width="11.5546875" style="81"/>
    <col min="7422" max="7422" width="12.88671875" style="81" customWidth="1"/>
    <col min="7423" max="7423" width="11.5546875" style="81"/>
    <col min="7424" max="7424" width="12.33203125" style="81" bestFit="1" customWidth="1"/>
    <col min="7425" max="7425" width="18.88671875" style="81" customWidth="1"/>
    <col min="7426" max="7670" width="11.5546875" style="81"/>
    <col min="7671" max="7671" width="2.109375" style="81" customWidth="1"/>
    <col min="7672" max="7672" width="10" style="81" bestFit="1" customWidth="1"/>
    <col min="7673" max="7673" width="13" style="81" customWidth="1"/>
    <col min="7674" max="7675" width="11.5546875" style="81"/>
    <col min="7676" max="7676" width="11" style="81" bestFit="1" customWidth="1"/>
    <col min="7677" max="7677" width="11.5546875" style="81"/>
    <col min="7678" max="7678" width="12.88671875" style="81" customWidth="1"/>
    <col min="7679" max="7679" width="11.5546875" style="81"/>
    <col min="7680" max="7680" width="12.33203125" style="81" bestFit="1" customWidth="1"/>
    <col min="7681" max="7681" width="18.88671875" style="81" customWidth="1"/>
    <col min="7682" max="7926" width="11.5546875" style="81"/>
    <col min="7927" max="7927" width="2.109375" style="81" customWidth="1"/>
    <col min="7928" max="7928" width="10" style="81" bestFit="1" customWidth="1"/>
    <col min="7929" max="7929" width="13" style="81" customWidth="1"/>
    <col min="7930" max="7931" width="11.5546875" style="81"/>
    <col min="7932" max="7932" width="11" style="81" bestFit="1" customWidth="1"/>
    <col min="7933" max="7933" width="11.5546875" style="81"/>
    <col min="7934" max="7934" width="12.88671875" style="81" customWidth="1"/>
    <col min="7935" max="7935" width="11.5546875" style="81"/>
    <col min="7936" max="7936" width="12.33203125" style="81" bestFit="1" customWidth="1"/>
    <col min="7937" max="7937" width="18.88671875" style="81" customWidth="1"/>
    <col min="7938" max="8182" width="11.5546875" style="81"/>
    <col min="8183" max="8183" width="2.109375" style="81" customWidth="1"/>
    <col min="8184" max="8184" width="10" style="81" bestFit="1" customWidth="1"/>
    <col min="8185" max="8185" width="13" style="81" customWidth="1"/>
    <col min="8186" max="8187" width="11.5546875" style="81"/>
    <col min="8188" max="8188" width="11" style="81" bestFit="1" customWidth="1"/>
    <col min="8189" max="8189" width="11.5546875" style="81"/>
    <col min="8190" max="8190" width="12.88671875" style="81" customWidth="1"/>
    <col min="8191" max="8191" width="11.5546875" style="81"/>
    <col min="8192" max="8192" width="12.33203125" style="81" bestFit="1" customWidth="1"/>
    <col min="8193" max="8193" width="18.88671875" style="81" customWidth="1"/>
    <col min="8194" max="8438" width="11.5546875" style="81"/>
    <col min="8439" max="8439" width="2.109375" style="81" customWidth="1"/>
    <col min="8440" max="8440" width="10" style="81" bestFit="1" customWidth="1"/>
    <col min="8441" max="8441" width="13" style="81" customWidth="1"/>
    <col min="8442" max="8443" width="11.5546875" style="81"/>
    <col min="8444" max="8444" width="11" style="81" bestFit="1" customWidth="1"/>
    <col min="8445" max="8445" width="11.5546875" style="81"/>
    <col min="8446" max="8446" width="12.88671875" style="81" customWidth="1"/>
    <col min="8447" max="8447" width="11.5546875" style="81"/>
    <col min="8448" max="8448" width="12.33203125" style="81" bestFit="1" customWidth="1"/>
    <col min="8449" max="8449" width="18.88671875" style="81" customWidth="1"/>
    <col min="8450" max="8694" width="11.5546875" style="81"/>
    <col min="8695" max="8695" width="2.109375" style="81" customWidth="1"/>
    <col min="8696" max="8696" width="10" style="81" bestFit="1" customWidth="1"/>
    <col min="8697" max="8697" width="13" style="81" customWidth="1"/>
    <col min="8698" max="8699" width="11.5546875" style="81"/>
    <col min="8700" max="8700" width="11" style="81" bestFit="1" customWidth="1"/>
    <col min="8701" max="8701" width="11.5546875" style="81"/>
    <col min="8702" max="8702" width="12.88671875" style="81" customWidth="1"/>
    <col min="8703" max="8703" width="11.5546875" style="81"/>
    <col min="8704" max="8704" width="12.33203125" style="81" bestFit="1" customWidth="1"/>
    <col min="8705" max="8705" width="18.88671875" style="81" customWidth="1"/>
    <col min="8706" max="8950" width="11.5546875" style="81"/>
    <col min="8951" max="8951" width="2.109375" style="81" customWidth="1"/>
    <col min="8952" max="8952" width="10" style="81" bestFit="1" customWidth="1"/>
    <col min="8953" max="8953" width="13" style="81" customWidth="1"/>
    <col min="8954" max="8955" width="11.5546875" style="81"/>
    <col min="8956" max="8956" width="11" style="81" bestFit="1" customWidth="1"/>
    <col min="8957" max="8957" width="11.5546875" style="81"/>
    <col min="8958" max="8958" width="12.88671875" style="81" customWidth="1"/>
    <col min="8959" max="8959" width="11.5546875" style="81"/>
    <col min="8960" max="8960" width="12.33203125" style="81" bestFit="1" customWidth="1"/>
    <col min="8961" max="8961" width="18.88671875" style="81" customWidth="1"/>
    <col min="8962" max="9206" width="11.5546875" style="81"/>
    <col min="9207" max="9207" width="2.109375" style="81" customWidth="1"/>
    <col min="9208" max="9208" width="10" style="81" bestFit="1" customWidth="1"/>
    <col min="9209" max="9209" width="13" style="81" customWidth="1"/>
    <col min="9210" max="9211" width="11.5546875" style="81"/>
    <col min="9212" max="9212" width="11" style="81" bestFit="1" customWidth="1"/>
    <col min="9213" max="9213" width="11.5546875" style="81"/>
    <col min="9214" max="9214" width="12.88671875" style="81" customWidth="1"/>
    <col min="9215" max="9215" width="11.5546875" style="81"/>
    <col min="9216" max="9216" width="12.33203125" style="81" bestFit="1" customWidth="1"/>
    <col min="9217" max="9217" width="18.88671875" style="81" customWidth="1"/>
    <col min="9218" max="9462" width="11.5546875" style="81"/>
    <col min="9463" max="9463" width="2.109375" style="81" customWidth="1"/>
    <col min="9464" max="9464" width="10" style="81" bestFit="1" customWidth="1"/>
    <col min="9465" max="9465" width="13" style="81" customWidth="1"/>
    <col min="9466" max="9467" width="11.5546875" style="81"/>
    <col min="9468" max="9468" width="11" style="81" bestFit="1" customWidth="1"/>
    <col min="9469" max="9469" width="11.5546875" style="81"/>
    <col min="9470" max="9470" width="12.88671875" style="81" customWidth="1"/>
    <col min="9471" max="9471" width="11.5546875" style="81"/>
    <col min="9472" max="9472" width="12.33203125" style="81" bestFit="1" customWidth="1"/>
    <col min="9473" max="9473" width="18.88671875" style="81" customWidth="1"/>
    <col min="9474" max="9718" width="11.5546875" style="81"/>
    <col min="9719" max="9719" width="2.109375" style="81" customWidth="1"/>
    <col min="9720" max="9720" width="10" style="81" bestFit="1" customWidth="1"/>
    <col min="9721" max="9721" width="13" style="81" customWidth="1"/>
    <col min="9722" max="9723" width="11.5546875" style="81"/>
    <col min="9724" max="9724" width="11" style="81" bestFit="1" customWidth="1"/>
    <col min="9725" max="9725" width="11.5546875" style="81"/>
    <col min="9726" max="9726" width="12.88671875" style="81" customWidth="1"/>
    <col min="9727" max="9727" width="11.5546875" style="81"/>
    <col min="9728" max="9728" width="12.33203125" style="81" bestFit="1" customWidth="1"/>
    <col min="9729" max="9729" width="18.88671875" style="81" customWidth="1"/>
    <col min="9730" max="9974" width="11.5546875" style="81"/>
    <col min="9975" max="9975" width="2.109375" style="81" customWidth="1"/>
    <col min="9976" max="9976" width="10" style="81" bestFit="1" customWidth="1"/>
    <col min="9977" max="9977" width="13" style="81" customWidth="1"/>
    <col min="9978" max="9979" width="11.5546875" style="81"/>
    <col min="9980" max="9980" width="11" style="81" bestFit="1" customWidth="1"/>
    <col min="9981" max="9981" width="11.5546875" style="81"/>
    <col min="9982" max="9982" width="12.88671875" style="81" customWidth="1"/>
    <col min="9983" max="9983" width="11.5546875" style="81"/>
    <col min="9984" max="9984" width="12.33203125" style="81" bestFit="1" customWidth="1"/>
    <col min="9985" max="9985" width="18.88671875" style="81" customWidth="1"/>
    <col min="9986" max="10230" width="11.5546875" style="81"/>
    <col min="10231" max="10231" width="2.109375" style="81" customWidth="1"/>
    <col min="10232" max="10232" width="10" style="81" bestFit="1" customWidth="1"/>
    <col min="10233" max="10233" width="13" style="81" customWidth="1"/>
    <col min="10234" max="10235" width="11.5546875" style="81"/>
    <col min="10236" max="10236" width="11" style="81" bestFit="1" customWidth="1"/>
    <col min="10237" max="10237" width="11.5546875" style="81"/>
    <col min="10238" max="10238" width="12.88671875" style="81" customWidth="1"/>
    <col min="10239" max="10239" width="11.5546875" style="81"/>
    <col min="10240" max="10240" width="12.33203125" style="81" bestFit="1" customWidth="1"/>
    <col min="10241" max="10241" width="18.88671875" style="81" customWidth="1"/>
    <col min="10242" max="10486" width="11.5546875" style="81"/>
    <col min="10487" max="10487" width="2.109375" style="81" customWidth="1"/>
    <col min="10488" max="10488" width="10" style="81" bestFit="1" customWidth="1"/>
    <col min="10489" max="10489" width="13" style="81" customWidth="1"/>
    <col min="10490" max="10491" width="11.5546875" style="81"/>
    <col min="10492" max="10492" width="11" style="81" bestFit="1" customWidth="1"/>
    <col min="10493" max="10493" width="11.5546875" style="81"/>
    <col min="10494" max="10494" width="12.88671875" style="81" customWidth="1"/>
    <col min="10495" max="10495" width="11.5546875" style="81"/>
    <col min="10496" max="10496" width="12.33203125" style="81" bestFit="1" customWidth="1"/>
    <col min="10497" max="10497" width="18.88671875" style="81" customWidth="1"/>
    <col min="10498" max="10742" width="11.5546875" style="81"/>
    <col min="10743" max="10743" width="2.109375" style="81" customWidth="1"/>
    <col min="10744" max="10744" width="10" style="81" bestFit="1" customWidth="1"/>
    <col min="10745" max="10745" width="13" style="81" customWidth="1"/>
    <col min="10746" max="10747" width="11.5546875" style="81"/>
    <col min="10748" max="10748" width="11" style="81" bestFit="1" customWidth="1"/>
    <col min="10749" max="10749" width="11.5546875" style="81"/>
    <col min="10750" max="10750" width="12.88671875" style="81" customWidth="1"/>
    <col min="10751" max="10751" width="11.5546875" style="81"/>
    <col min="10752" max="10752" width="12.33203125" style="81" bestFit="1" customWidth="1"/>
    <col min="10753" max="10753" width="18.88671875" style="81" customWidth="1"/>
    <col min="10754" max="10998" width="11.5546875" style="81"/>
    <col min="10999" max="10999" width="2.109375" style="81" customWidth="1"/>
    <col min="11000" max="11000" width="10" style="81" bestFit="1" customWidth="1"/>
    <col min="11001" max="11001" width="13" style="81" customWidth="1"/>
    <col min="11002" max="11003" width="11.5546875" style="81"/>
    <col min="11004" max="11004" width="11" style="81" bestFit="1" customWidth="1"/>
    <col min="11005" max="11005" width="11.5546875" style="81"/>
    <col min="11006" max="11006" width="12.88671875" style="81" customWidth="1"/>
    <col min="11007" max="11007" width="11.5546875" style="81"/>
    <col min="11008" max="11008" width="12.33203125" style="81" bestFit="1" customWidth="1"/>
    <col min="11009" max="11009" width="18.88671875" style="81" customWidth="1"/>
    <col min="11010" max="11254" width="11.5546875" style="81"/>
    <col min="11255" max="11255" width="2.109375" style="81" customWidth="1"/>
    <col min="11256" max="11256" width="10" style="81" bestFit="1" customWidth="1"/>
    <col min="11257" max="11257" width="13" style="81" customWidth="1"/>
    <col min="11258" max="11259" width="11.5546875" style="81"/>
    <col min="11260" max="11260" width="11" style="81" bestFit="1" customWidth="1"/>
    <col min="11261" max="11261" width="11.5546875" style="81"/>
    <col min="11262" max="11262" width="12.88671875" style="81" customWidth="1"/>
    <col min="11263" max="11263" width="11.5546875" style="81"/>
    <col min="11264" max="11264" width="12.33203125" style="81" bestFit="1" customWidth="1"/>
    <col min="11265" max="11265" width="18.88671875" style="81" customWidth="1"/>
    <col min="11266" max="11510" width="11.5546875" style="81"/>
    <col min="11511" max="11511" width="2.109375" style="81" customWidth="1"/>
    <col min="11512" max="11512" width="10" style="81" bestFit="1" customWidth="1"/>
    <col min="11513" max="11513" width="13" style="81" customWidth="1"/>
    <col min="11514" max="11515" width="11.5546875" style="81"/>
    <col min="11516" max="11516" width="11" style="81" bestFit="1" customWidth="1"/>
    <col min="11517" max="11517" width="11.5546875" style="81"/>
    <col min="11518" max="11518" width="12.88671875" style="81" customWidth="1"/>
    <col min="11519" max="11519" width="11.5546875" style="81"/>
    <col min="11520" max="11520" width="12.33203125" style="81" bestFit="1" customWidth="1"/>
    <col min="11521" max="11521" width="18.88671875" style="81" customWidth="1"/>
    <col min="11522" max="11766" width="11.5546875" style="81"/>
    <col min="11767" max="11767" width="2.109375" style="81" customWidth="1"/>
    <col min="11768" max="11768" width="10" style="81" bestFit="1" customWidth="1"/>
    <col min="11769" max="11769" width="13" style="81" customWidth="1"/>
    <col min="11770" max="11771" width="11.5546875" style="81"/>
    <col min="11772" max="11772" width="11" style="81" bestFit="1" customWidth="1"/>
    <col min="11773" max="11773" width="11.5546875" style="81"/>
    <col min="11774" max="11774" width="12.88671875" style="81" customWidth="1"/>
    <col min="11775" max="11775" width="11.5546875" style="81"/>
    <col min="11776" max="11776" width="12.33203125" style="81" bestFit="1" customWidth="1"/>
    <col min="11777" max="11777" width="18.88671875" style="81" customWidth="1"/>
    <col min="11778" max="12022" width="11.5546875" style="81"/>
    <col min="12023" max="12023" width="2.109375" style="81" customWidth="1"/>
    <col min="12024" max="12024" width="10" style="81" bestFit="1" customWidth="1"/>
    <col min="12025" max="12025" width="13" style="81" customWidth="1"/>
    <col min="12026" max="12027" width="11.5546875" style="81"/>
    <col min="12028" max="12028" width="11" style="81" bestFit="1" customWidth="1"/>
    <col min="12029" max="12029" width="11.5546875" style="81"/>
    <col min="12030" max="12030" width="12.88671875" style="81" customWidth="1"/>
    <col min="12031" max="12031" width="11.5546875" style="81"/>
    <col min="12032" max="12032" width="12.33203125" style="81" bestFit="1" customWidth="1"/>
    <col min="12033" max="12033" width="18.88671875" style="81" customWidth="1"/>
    <col min="12034" max="12278" width="11.5546875" style="81"/>
    <col min="12279" max="12279" width="2.109375" style="81" customWidth="1"/>
    <col min="12280" max="12280" width="10" style="81" bestFit="1" customWidth="1"/>
    <col min="12281" max="12281" width="13" style="81" customWidth="1"/>
    <col min="12282" max="12283" width="11.5546875" style="81"/>
    <col min="12284" max="12284" width="11" style="81" bestFit="1" customWidth="1"/>
    <col min="12285" max="12285" width="11.5546875" style="81"/>
    <col min="12286" max="12286" width="12.88671875" style="81" customWidth="1"/>
    <col min="12287" max="12287" width="11.5546875" style="81"/>
    <col min="12288" max="12288" width="12.33203125" style="81" bestFit="1" customWidth="1"/>
    <col min="12289" max="12289" width="18.88671875" style="81" customWidth="1"/>
    <col min="12290" max="12534" width="11.5546875" style="81"/>
    <col min="12535" max="12535" width="2.109375" style="81" customWidth="1"/>
    <col min="12536" max="12536" width="10" style="81" bestFit="1" customWidth="1"/>
    <col min="12537" max="12537" width="13" style="81" customWidth="1"/>
    <col min="12538" max="12539" width="11.5546875" style="81"/>
    <col min="12540" max="12540" width="11" style="81" bestFit="1" customWidth="1"/>
    <col min="12541" max="12541" width="11.5546875" style="81"/>
    <col min="12542" max="12542" width="12.88671875" style="81" customWidth="1"/>
    <col min="12543" max="12543" width="11.5546875" style="81"/>
    <col min="12544" max="12544" width="12.33203125" style="81" bestFit="1" customWidth="1"/>
    <col min="12545" max="12545" width="18.88671875" style="81" customWidth="1"/>
    <col min="12546" max="12790" width="11.5546875" style="81"/>
    <col min="12791" max="12791" width="2.109375" style="81" customWidth="1"/>
    <col min="12792" max="12792" width="10" style="81" bestFit="1" customWidth="1"/>
    <col min="12793" max="12793" width="13" style="81" customWidth="1"/>
    <col min="12794" max="12795" width="11.5546875" style="81"/>
    <col min="12796" max="12796" width="11" style="81" bestFit="1" customWidth="1"/>
    <col min="12797" max="12797" width="11.5546875" style="81"/>
    <col min="12798" max="12798" width="12.88671875" style="81" customWidth="1"/>
    <col min="12799" max="12799" width="11.5546875" style="81"/>
    <col min="12800" max="12800" width="12.33203125" style="81" bestFit="1" customWidth="1"/>
    <col min="12801" max="12801" width="18.88671875" style="81" customWidth="1"/>
    <col min="12802" max="13046" width="11.5546875" style="81"/>
    <col min="13047" max="13047" width="2.109375" style="81" customWidth="1"/>
    <col min="13048" max="13048" width="10" style="81" bestFit="1" customWidth="1"/>
    <col min="13049" max="13049" width="13" style="81" customWidth="1"/>
    <col min="13050" max="13051" width="11.5546875" style="81"/>
    <col min="13052" max="13052" width="11" style="81" bestFit="1" customWidth="1"/>
    <col min="13053" max="13053" width="11.5546875" style="81"/>
    <col min="13054" max="13054" width="12.88671875" style="81" customWidth="1"/>
    <col min="13055" max="13055" width="11.5546875" style="81"/>
    <col min="13056" max="13056" width="12.33203125" style="81" bestFit="1" customWidth="1"/>
    <col min="13057" max="13057" width="18.88671875" style="81" customWidth="1"/>
    <col min="13058" max="13302" width="11.5546875" style="81"/>
    <col min="13303" max="13303" width="2.109375" style="81" customWidth="1"/>
    <col min="13304" max="13304" width="10" style="81" bestFit="1" customWidth="1"/>
    <col min="13305" max="13305" width="13" style="81" customWidth="1"/>
    <col min="13306" max="13307" width="11.5546875" style="81"/>
    <col min="13308" max="13308" width="11" style="81" bestFit="1" customWidth="1"/>
    <col min="13309" max="13309" width="11.5546875" style="81"/>
    <col min="13310" max="13310" width="12.88671875" style="81" customWidth="1"/>
    <col min="13311" max="13311" width="11.5546875" style="81"/>
    <col min="13312" max="13312" width="12.33203125" style="81" bestFit="1" customWidth="1"/>
    <col min="13313" max="13313" width="18.88671875" style="81" customWidth="1"/>
    <col min="13314" max="13558" width="11.5546875" style="81"/>
    <col min="13559" max="13559" width="2.109375" style="81" customWidth="1"/>
    <col min="13560" max="13560" width="10" style="81" bestFit="1" customWidth="1"/>
    <col min="13561" max="13561" width="13" style="81" customWidth="1"/>
    <col min="13562" max="13563" width="11.5546875" style="81"/>
    <col min="13564" max="13564" width="11" style="81" bestFit="1" customWidth="1"/>
    <col min="13565" max="13565" width="11.5546875" style="81"/>
    <col min="13566" max="13566" width="12.88671875" style="81" customWidth="1"/>
    <col min="13567" max="13567" width="11.5546875" style="81"/>
    <col min="13568" max="13568" width="12.33203125" style="81" bestFit="1" customWidth="1"/>
    <col min="13569" max="13569" width="18.88671875" style="81" customWidth="1"/>
    <col min="13570" max="13814" width="11.5546875" style="81"/>
    <col min="13815" max="13815" width="2.109375" style="81" customWidth="1"/>
    <col min="13816" max="13816" width="10" style="81" bestFit="1" customWidth="1"/>
    <col min="13817" max="13817" width="13" style="81" customWidth="1"/>
    <col min="13818" max="13819" width="11.5546875" style="81"/>
    <col min="13820" max="13820" width="11" style="81" bestFit="1" customWidth="1"/>
    <col min="13821" max="13821" width="11.5546875" style="81"/>
    <col min="13822" max="13822" width="12.88671875" style="81" customWidth="1"/>
    <col min="13823" max="13823" width="11.5546875" style="81"/>
    <col min="13824" max="13824" width="12.33203125" style="81" bestFit="1" customWidth="1"/>
    <col min="13825" max="13825" width="18.88671875" style="81" customWidth="1"/>
    <col min="13826" max="14070" width="11.5546875" style="81"/>
    <col min="14071" max="14071" width="2.109375" style="81" customWidth="1"/>
    <col min="14072" max="14072" width="10" style="81" bestFit="1" customWidth="1"/>
    <col min="14073" max="14073" width="13" style="81" customWidth="1"/>
    <col min="14074" max="14075" width="11.5546875" style="81"/>
    <col min="14076" max="14076" width="11" style="81" bestFit="1" customWidth="1"/>
    <col min="14077" max="14077" width="11.5546875" style="81"/>
    <col min="14078" max="14078" width="12.88671875" style="81" customWidth="1"/>
    <col min="14079" max="14079" width="11.5546875" style="81"/>
    <col min="14080" max="14080" width="12.33203125" style="81" bestFit="1" customWidth="1"/>
    <col min="14081" max="14081" width="18.88671875" style="81" customWidth="1"/>
    <col min="14082" max="14326" width="11.5546875" style="81"/>
    <col min="14327" max="14327" width="2.109375" style="81" customWidth="1"/>
    <col min="14328" max="14328" width="10" style="81" bestFit="1" customWidth="1"/>
    <col min="14329" max="14329" width="13" style="81" customWidth="1"/>
    <col min="14330" max="14331" width="11.5546875" style="81"/>
    <col min="14332" max="14332" width="11" style="81" bestFit="1" customWidth="1"/>
    <col min="14333" max="14333" width="11.5546875" style="81"/>
    <col min="14334" max="14334" width="12.88671875" style="81" customWidth="1"/>
    <col min="14335" max="14335" width="11.5546875" style="81"/>
    <col min="14336" max="14336" width="12.33203125" style="81" bestFit="1" customWidth="1"/>
    <col min="14337" max="14337" width="18.88671875" style="81" customWidth="1"/>
    <col min="14338" max="14582" width="11.5546875" style="81"/>
    <col min="14583" max="14583" width="2.109375" style="81" customWidth="1"/>
    <col min="14584" max="14584" width="10" style="81" bestFit="1" customWidth="1"/>
    <col min="14585" max="14585" width="13" style="81" customWidth="1"/>
    <col min="14586" max="14587" width="11.5546875" style="81"/>
    <col min="14588" max="14588" width="11" style="81" bestFit="1" customWidth="1"/>
    <col min="14589" max="14589" width="11.5546875" style="81"/>
    <col min="14590" max="14590" width="12.88671875" style="81" customWidth="1"/>
    <col min="14591" max="14591" width="11.5546875" style="81"/>
    <col min="14592" max="14592" width="12.33203125" style="81" bestFit="1" customWidth="1"/>
    <col min="14593" max="14593" width="18.88671875" style="81" customWidth="1"/>
    <col min="14594" max="14838" width="11.5546875" style="81"/>
    <col min="14839" max="14839" width="2.109375" style="81" customWidth="1"/>
    <col min="14840" max="14840" width="10" style="81" bestFit="1" customWidth="1"/>
    <col min="14841" max="14841" width="13" style="81" customWidth="1"/>
    <col min="14842" max="14843" width="11.5546875" style="81"/>
    <col min="14844" max="14844" width="11" style="81" bestFit="1" customWidth="1"/>
    <col min="14845" max="14845" width="11.5546875" style="81"/>
    <col min="14846" max="14846" width="12.88671875" style="81" customWidth="1"/>
    <col min="14847" max="14847" width="11.5546875" style="81"/>
    <col min="14848" max="14848" width="12.33203125" style="81" bestFit="1" customWidth="1"/>
    <col min="14849" max="14849" width="18.88671875" style="81" customWidth="1"/>
    <col min="14850" max="15094" width="11.5546875" style="81"/>
    <col min="15095" max="15095" width="2.109375" style="81" customWidth="1"/>
    <col min="15096" max="15096" width="10" style="81" bestFit="1" customWidth="1"/>
    <col min="15097" max="15097" width="13" style="81" customWidth="1"/>
    <col min="15098" max="15099" width="11.5546875" style="81"/>
    <col min="15100" max="15100" width="11" style="81" bestFit="1" customWidth="1"/>
    <col min="15101" max="15101" width="11.5546875" style="81"/>
    <col min="15102" max="15102" width="12.88671875" style="81" customWidth="1"/>
    <col min="15103" max="15103" width="11.5546875" style="81"/>
    <col min="15104" max="15104" width="12.33203125" style="81" bestFit="1" customWidth="1"/>
    <col min="15105" max="15105" width="18.88671875" style="81" customWidth="1"/>
    <col min="15106" max="15350" width="11.5546875" style="81"/>
    <col min="15351" max="15351" width="2.109375" style="81" customWidth="1"/>
    <col min="15352" max="15352" width="10" style="81" bestFit="1" customWidth="1"/>
    <col min="15353" max="15353" width="13" style="81" customWidth="1"/>
    <col min="15354" max="15355" width="11.5546875" style="81"/>
    <col min="15356" max="15356" width="11" style="81" bestFit="1" customWidth="1"/>
    <col min="15357" max="15357" width="11.5546875" style="81"/>
    <col min="15358" max="15358" width="12.88671875" style="81" customWidth="1"/>
    <col min="15359" max="15359" width="11.5546875" style="81"/>
    <col min="15360" max="15360" width="12.33203125" style="81" bestFit="1" customWidth="1"/>
    <col min="15361" max="15361" width="18.88671875" style="81" customWidth="1"/>
    <col min="15362" max="15606" width="11.5546875" style="81"/>
    <col min="15607" max="15607" width="2.109375" style="81" customWidth="1"/>
    <col min="15608" max="15608" width="10" style="81" bestFit="1" customWidth="1"/>
    <col min="15609" max="15609" width="13" style="81" customWidth="1"/>
    <col min="15610" max="15611" width="11.5546875" style="81"/>
    <col min="15612" max="15612" width="11" style="81" bestFit="1" customWidth="1"/>
    <col min="15613" max="15613" width="11.5546875" style="81"/>
    <col min="15614" max="15614" width="12.88671875" style="81" customWidth="1"/>
    <col min="15615" max="15615" width="11.5546875" style="81"/>
    <col min="15616" max="15616" width="12.33203125" style="81" bestFit="1" customWidth="1"/>
    <col min="15617" max="15617" width="18.88671875" style="81" customWidth="1"/>
    <col min="15618" max="15862" width="11.5546875" style="81"/>
    <col min="15863" max="15863" width="2.109375" style="81" customWidth="1"/>
    <col min="15864" max="15864" width="10" style="81" bestFit="1" customWidth="1"/>
    <col min="15865" max="15865" width="13" style="81" customWidth="1"/>
    <col min="15866" max="15867" width="11.5546875" style="81"/>
    <col min="15868" max="15868" width="11" style="81" bestFit="1" customWidth="1"/>
    <col min="15869" max="15869" width="11.5546875" style="81"/>
    <col min="15870" max="15870" width="12.88671875" style="81" customWidth="1"/>
    <col min="15871" max="15871" width="11.5546875" style="81"/>
    <col min="15872" max="15872" width="12.33203125" style="81" bestFit="1" customWidth="1"/>
    <col min="15873" max="15873" width="18.88671875" style="81" customWidth="1"/>
    <col min="15874" max="16118" width="11.5546875" style="81"/>
    <col min="16119" max="16119" width="2.109375" style="81" customWidth="1"/>
    <col min="16120" max="16120" width="10" style="81" bestFit="1" customWidth="1"/>
    <col min="16121" max="16121" width="13" style="81" customWidth="1"/>
    <col min="16122" max="16123" width="11.5546875" style="81"/>
    <col min="16124" max="16124" width="11" style="81" bestFit="1" customWidth="1"/>
    <col min="16125" max="16125" width="11.5546875" style="81"/>
    <col min="16126" max="16126" width="12.88671875" style="81" customWidth="1"/>
    <col min="16127" max="16127" width="11.5546875" style="81"/>
    <col min="16128" max="16128" width="12.33203125" style="81" bestFit="1" customWidth="1"/>
    <col min="16129" max="16129" width="18.88671875" style="81" customWidth="1"/>
    <col min="16130" max="16384" width="11.5546875" style="81"/>
  </cols>
  <sheetData>
    <row r="1" spans="2:18" ht="17.25" customHeight="1"/>
    <row r="2" spans="2:18" ht="98.25" customHeight="1">
      <c r="C2" s="903"/>
      <c r="D2" s="904"/>
      <c r="E2" s="904"/>
      <c r="F2" s="904"/>
      <c r="G2" s="904"/>
      <c r="H2" s="904"/>
      <c r="I2" s="904"/>
      <c r="J2" s="904"/>
      <c r="K2" s="904"/>
      <c r="L2" s="904"/>
    </row>
    <row r="3" spans="2:18" ht="26.25" customHeight="1" thickBot="1"/>
    <row r="4" spans="2:18" customFormat="1" ht="14.4">
      <c r="C4" s="905" t="s">
        <v>166</v>
      </c>
      <c r="D4" s="906"/>
      <c r="E4" s="906"/>
      <c r="F4" s="906"/>
      <c r="G4" s="906"/>
      <c r="H4" s="906"/>
      <c r="I4" s="906"/>
      <c r="J4" s="906"/>
      <c r="K4" s="906"/>
      <c r="L4" s="907"/>
    </row>
    <row r="5" spans="2:18" customFormat="1" ht="15" thickBot="1">
      <c r="C5" s="908"/>
      <c r="D5" s="909"/>
      <c r="E5" s="909"/>
      <c r="F5" s="909"/>
      <c r="G5" s="909"/>
      <c r="H5" s="909"/>
      <c r="I5" s="909"/>
      <c r="J5" s="909"/>
      <c r="K5" s="909"/>
      <c r="L5" s="910"/>
    </row>
    <row r="6" spans="2:18" customFormat="1" ht="29.25" customHeight="1" thickBot="1"/>
    <row r="7" spans="2:18" customFormat="1" ht="15" thickBot="1">
      <c r="C7" s="82" t="s">
        <v>145</v>
      </c>
      <c r="D7" s="83"/>
      <c r="E7" s="911">
        <f ca="1">TODAY()-8</f>
        <v>45982</v>
      </c>
      <c r="F7" s="912"/>
      <c r="G7" s="84" t="s">
        <v>146</v>
      </c>
      <c r="H7" s="913" t="s">
        <v>242</v>
      </c>
      <c r="I7" s="914"/>
      <c r="J7" s="914"/>
      <c r="K7" s="914"/>
      <c r="L7" s="915"/>
    </row>
    <row r="8" spans="2:18" customFormat="1" ht="15" thickBot="1">
      <c r="C8" s="82" t="s">
        <v>147</v>
      </c>
      <c r="D8" s="86"/>
      <c r="E8" s="916">
        <v>473.88</v>
      </c>
      <c r="F8" s="917"/>
      <c r="G8" s="87" t="s">
        <v>148</v>
      </c>
      <c r="H8" s="918" t="s">
        <v>350</v>
      </c>
      <c r="I8" s="919"/>
      <c r="J8" s="919"/>
      <c r="K8" s="919"/>
      <c r="L8" s="920"/>
    </row>
    <row r="9" spans="2:18" customFormat="1" ht="15" thickBot="1">
      <c r="C9" s="82" t="s">
        <v>149</v>
      </c>
      <c r="D9" s="88"/>
      <c r="E9" s="927" t="s">
        <v>364</v>
      </c>
      <c r="F9" s="928"/>
      <c r="G9" s="90" t="s">
        <v>231</v>
      </c>
      <c r="H9" s="913" t="s">
        <v>104</v>
      </c>
      <c r="I9" s="914"/>
      <c r="J9" s="914"/>
      <c r="K9" s="914"/>
      <c r="L9" s="915"/>
    </row>
    <row r="10" spans="2:18" customFormat="1" ht="31.5" customHeight="1" thickBot="1"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R10" s="407"/>
    </row>
    <row r="11" spans="2:18" customFormat="1" ht="15" thickBot="1">
      <c r="C11" s="929" t="s">
        <v>150</v>
      </c>
      <c r="D11" s="930"/>
      <c r="E11" s="930"/>
      <c r="F11" s="930"/>
      <c r="G11" s="930"/>
      <c r="H11" s="930"/>
      <c r="I11" s="930"/>
      <c r="J11" s="91"/>
      <c r="K11" s="91"/>
      <c r="L11" s="92"/>
    </row>
    <row r="12" spans="2:18" customFormat="1" ht="15" customHeight="1" thickBot="1">
      <c r="C12" s="93"/>
      <c r="J12" s="893" t="s">
        <v>151</v>
      </c>
      <c r="K12" s="894"/>
      <c r="L12" s="931"/>
    </row>
    <row r="13" spans="2:18" customFormat="1" ht="15" customHeight="1" thickBot="1">
      <c r="C13" s="93"/>
      <c r="D13" s="932" t="s">
        <v>152</v>
      </c>
      <c r="E13" s="933"/>
      <c r="F13" s="94"/>
      <c r="G13" s="85"/>
      <c r="H13" s="442"/>
      <c r="J13" s="443" t="s">
        <v>153</v>
      </c>
      <c r="K13" s="445" t="s">
        <v>154</v>
      </c>
      <c r="L13" s="444" t="s">
        <v>87</v>
      </c>
    </row>
    <row r="14" spans="2:18" customFormat="1" ht="15" thickBot="1">
      <c r="C14" s="95"/>
      <c r="D14" s="932" t="s">
        <v>155</v>
      </c>
      <c r="E14" s="933"/>
      <c r="F14" s="94"/>
      <c r="G14" s="96"/>
      <c r="H14" s="446">
        <v>149.35</v>
      </c>
      <c r="I14" s="51"/>
      <c r="J14" s="447">
        <v>1</v>
      </c>
      <c r="K14" s="451">
        <v>45597</v>
      </c>
      <c r="L14" s="448">
        <f>+H17</f>
        <v>74.674999999999997</v>
      </c>
    </row>
    <row r="15" spans="2:18" customFormat="1" ht="18.75" customHeight="1" thickBot="1">
      <c r="C15" s="93"/>
      <c r="D15" s="934" t="s">
        <v>156</v>
      </c>
      <c r="E15" s="935"/>
      <c r="F15" s="935"/>
      <c r="G15" s="936"/>
      <c r="H15" s="267">
        <v>2</v>
      </c>
      <c r="I15" s="51"/>
      <c r="J15" s="447">
        <v>2</v>
      </c>
      <c r="K15" s="451">
        <v>45627</v>
      </c>
      <c r="L15" s="448">
        <f>+H17</f>
        <v>74.674999999999997</v>
      </c>
    </row>
    <row r="16" spans="2:18" customFormat="1" ht="15" thickBot="1">
      <c r="C16" s="95"/>
      <c r="D16" s="97"/>
      <c r="E16" s="97"/>
      <c r="F16" s="97"/>
      <c r="G16" s="97"/>
      <c r="H16" s="98"/>
      <c r="I16" s="51"/>
      <c r="J16" s="447">
        <v>3</v>
      </c>
      <c r="K16" s="451"/>
      <c r="L16" s="449"/>
    </row>
    <row r="17" spans="3:15" customFormat="1" ht="14.4">
      <c r="C17" s="95"/>
      <c r="D17" s="905" t="s">
        <v>87</v>
      </c>
      <c r="E17" s="906"/>
      <c r="F17" s="906"/>
      <c r="G17" s="907"/>
      <c r="H17" s="940">
        <f>+H14/H15</f>
        <v>74.674999999999997</v>
      </c>
      <c r="I17" s="51"/>
      <c r="J17" s="447">
        <v>4</v>
      </c>
      <c r="K17" s="452"/>
      <c r="L17" s="449"/>
      <c r="O17" s="80"/>
    </row>
    <row r="18" spans="3:15" customFormat="1" ht="14.4">
      <c r="C18" s="95"/>
      <c r="D18" s="937"/>
      <c r="E18" s="938"/>
      <c r="F18" s="938"/>
      <c r="G18" s="939"/>
      <c r="H18" s="941"/>
      <c r="I18" s="51"/>
      <c r="J18" s="447">
        <v>5</v>
      </c>
      <c r="K18" s="452"/>
      <c r="L18" s="450"/>
    </row>
    <row r="19" spans="3:15" customFormat="1" ht="15" thickBot="1">
      <c r="C19" s="95"/>
      <c r="D19" s="908"/>
      <c r="E19" s="909"/>
      <c r="F19" s="909"/>
      <c r="G19" s="910"/>
      <c r="H19" s="942"/>
      <c r="I19" s="51"/>
      <c r="J19" s="447">
        <v>6</v>
      </c>
      <c r="K19" s="452"/>
      <c r="L19" s="450"/>
    </row>
    <row r="20" spans="3:15" customFormat="1" ht="14.4">
      <c r="C20" s="95"/>
      <c r="D20" s="99"/>
      <c r="E20" s="100"/>
      <c r="F20" s="100"/>
      <c r="G20" s="100"/>
      <c r="H20" s="100"/>
      <c r="I20" s="51"/>
      <c r="J20" s="447">
        <v>7</v>
      </c>
      <c r="K20" s="452"/>
      <c r="L20" s="450"/>
    </row>
    <row r="21" spans="3:15" customFormat="1" ht="14.4">
      <c r="C21" s="95"/>
      <c r="D21" s="99"/>
      <c r="E21" s="100"/>
      <c r="F21" s="100"/>
      <c r="G21" s="100"/>
      <c r="H21" s="100"/>
      <c r="I21" s="51"/>
      <c r="J21" s="447">
        <v>8</v>
      </c>
      <c r="K21" s="452"/>
      <c r="L21" s="450"/>
    </row>
    <row r="22" spans="3:15" customFormat="1" ht="14.4">
      <c r="C22" s="95"/>
      <c r="D22" s="99"/>
      <c r="E22" s="100"/>
      <c r="F22" s="100"/>
      <c r="G22" s="100"/>
      <c r="H22" s="100"/>
      <c r="I22" s="51"/>
      <c r="J22" s="447">
        <v>9</v>
      </c>
      <c r="K22" s="452"/>
      <c r="L22" s="450"/>
    </row>
    <row r="23" spans="3:15" customFormat="1" ht="15" thickBot="1">
      <c r="C23" s="95"/>
      <c r="D23" s="99"/>
      <c r="E23" s="100"/>
      <c r="F23" s="100"/>
      <c r="G23" s="100"/>
      <c r="H23" s="100"/>
      <c r="I23" s="51"/>
      <c r="J23" s="453">
        <v>10</v>
      </c>
      <c r="K23" s="454"/>
      <c r="L23" s="455"/>
    </row>
    <row r="24" spans="3:15" customFormat="1" ht="15" customHeight="1" thickBot="1">
      <c r="C24" s="95"/>
      <c r="F24" s="33"/>
      <c r="G24" s="33"/>
      <c r="H24" s="33"/>
      <c r="I24" s="33"/>
      <c r="J24" s="943" t="s">
        <v>21</v>
      </c>
      <c r="K24" s="944"/>
      <c r="L24" s="101">
        <f>SUM(L14:L23)</f>
        <v>149.35</v>
      </c>
    </row>
    <row r="25" spans="3:15" customFormat="1" ht="15" thickBot="1">
      <c r="C25" s="102"/>
      <c r="D25" s="89"/>
      <c r="E25" s="89"/>
      <c r="F25" s="103"/>
      <c r="G25" s="103"/>
      <c r="H25" s="103"/>
      <c r="I25" s="103"/>
      <c r="J25" s="103"/>
      <c r="K25" s="103"/>
      <c r="L25" s="104"/>
    </row>
    <row r="26" spans="3:15" customFormat="1" ht="15.75" customHeight="1"/>
    <row r="27" spans="3:15" customFormat="1" ht="19.5" customHeight="1" thickBot="1"/>
    <row r="28" spans="3:15" s="33" customFormat="1" ht="27.75" customHeight="1" thickBot="1">
      <c r="C28" s="893" t="s">
        <v>157</v>
      </c>
      <c r="D28" s="894"/>
      <c r="E28" s="894"/>
      <c r="F28" s="894"/>
      <c r="G28" s="894"/>
      <c r="H28" s="894"/>
      <c r="I28" s="894"/>
      <c r="J28" s="894"/>
      <c r="K28" s="894"/>
      <c r="L28" s="931"/>
    </row>
    <row r="29" spans="3:15" customFormat="1" ht="8.25" customHeight="1" thickBot="1"/>
    <row r="30" spans="3:15" customFormat="1" ht="16.5" customHeight="1">
      <c r="C30" s="921" t="s">
        <v>266</v>
      </c>
      <c r="D30" s="922"/>
      <c r="E30" s="922"/>
      <c r="F30" s="922"/>
      <c r="G30" s="922"/>
      <c r="H30" s="922"/>
      <c r="I30" s="922"/>
      <c r="J30" s="922"/>
      <c r="K30" s="922"/>
      <c r="L30" s="923"/>
    </row>
    <row r="31" spans="3:15" customFormat="1" ht="35.25" customHeight="1" thickBot="1">
      <c r="C31" s="924"/>
      <c r="D31" s="925"/>
      <c r="E31" s="925"/>
      <c r="F31" s="925"/>
      <c r="G31" s="925"/>
      <c r="H31" s="925"/>
      <c r="I31" s="925"/>
      <c r="J31" s="925"/>
      <c r="K31" s="925"/>
      <c r="L31" s="926"/>
    </row>
    <row r="32" spans="3:15" customFormat="1" ht="18" customHeight="1" thickBot="1"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3:12" s="33" customFormat="1" ht="39.75" customHeight="1" thickBot="1">
      <c r="C33" s="893" t="s">
        <v>267</v>
      </c>
      <c r="D33" s="894"/>
      <c r="E33" s="894"/>
      <c r="F33" s="894"/>
      <c r="G33" s="894"/>
      <c r="H33" s="894"/>
      <c r="I33" s="894"/>
      <c r="J33" s="894"/>
      <c r="K33" s="894"/>
      <c r="L33" s="931"/>
    </row>
    <row r="34" spans="3:12" customFormat="1" ht="14.4">
      <c r="C34" s="105"/>
      <c r="D34" s="91"/>
      <c r="E34" s="91"/>
      <c r="F34" s="91"/>
      <c r="G34" s="91"/>
      <c r="H34" s="91"/>
      <c r="I34" s="91"/>
      <c r="J34" s="91"/>
      <c r="K34" s="91"/>
      <c r="L34" s="92"/>
    </row>
    <row r="35" spans="3:12" customFormat="1" ht="14.4">
      <c r="C35" s="947" t="s">
        <v>268</v>
      </c>
      <c r="D35" s="948"/>
      <c r="E35" s="948"/>
      <c r="F35" s="948"/>
      <c r="G35" s="948"/>
      <c r="H35" s="948"/>
      <c r="I35" s="948"/>
      <c r="J35" s="948"/>
      <c r="K35" s="948"/>
      <c r="L35" s="949"/>
    </row>
    <row r="36" spans="3:12" customFormat="1" ht="14.4">
      <c r="C36" s="947"/>
      <c r="D36" s="948"/>
      <c r="E36" s="948"/>
      <c r="F36" s="948"/>
      <c r="G36" s="948"/>
      <c r="H36" s="948"/>
      <c r="I36" s="948"/>
      <c r="J36" s="948"/>
      <c r="K36" s="948"/>
      <c r="L36" s="949"/>
    </row>
    <row r="37" spans="3:12" customFormat="1" ht="14.4">
      <c r="C37" s="947"/>
      <c r="D37" s="948"/>
      <c r="E37" s="948"/>
      <c r="F37" s="948"/>
      <c r="G37" s="948"/>
      <c r="H37" s="948"/>
      <c r="I37" s="948"/>
      <c r="J37" s="948"/>
      <c r="K37" s="948"/>
      <c r="L37" s="949"/>
    </row>
    <row r="38" spans="3:12" customFormat="1" ht="14.4">
      <c r="C38" s="95"/>
      <c r="L38" s="106"/>
    </row>
    <row r="39" spans="3:12" customFormat="1" ht="14.4">
      <c r="C39" s="95"/>
      <c r="L39" s="106"/>
    </row>
    <row r="40" spans="3:12" customFormat="1" ht="14.4">
      <c r="C40" s="95"/>
      <c r="L40" s="106"/>
    </row>
    <row r="41" spans="3:12" customFormat="1" ht="14.4">
      <c r="C41" s="95"/>
      <c r="L41" s="106"/>
    </row>
    <row r="42" spans="3:12" customFormat="1" ht="14.4">
      <c r="C42" s="95"/>
      <c r="D42" s="950"/>
      <c r="E42" s="950"/>
      <c r="F42" s="950"/>
      <c r="G42" s="950"/>
      <c r="L42" s="106"/>
    </row>
    <row r="43" spans="3:12" customFormat="1" ht="14.4">
      <c r="C43" s="95"/>
      <c r="D43" s="945" t="s">
        <v>158</v>
      </c>
      <c r="E43" s="945"/>
      <c r="F43" s="945"/>
      <c r="I43" s="945" t="s">
        <v>159</v>
      </c>
      <c r="J43" s="945"/>
      <c r="K43" s="945"/>
      <c r="L43" s="106"/>
    </row>
    <row r="44" spans="3:12" customFormat="1" ht="14.4">
      <c r="C44" s="95"/>
      <c r="D44" s="107" t="s">
        <v>160</v>
      </c>
      <c r="E44" s="108"/>
      <c r="F44" s="109"/>
      <c r="I44" s="946" t="s">
        <v>161</v>
      </c>
      <c r="J44" s="946"/>
      <c r="K44" s="946"/>
      <c r="L44" s="106"/>
    </row>
    <row r="45" spans="3:12" customFormat="1" ht="14.4">
      <c r="C45" s="95"/>
      <c r="L45" s="106"/>
    </row>
    <row r="46" spans="3:12" customFormat="1" ht="14.4">
      <c r="C46" s="95"/>
      <c r="L46" s="106"/>
    </row>
    <row r="47" spans="3:12" customFormat="1" ht="14.4">
      <c r="C47" s="95"/>
      <c r="L47" s="106"/>
    </row>
    <row r="48" spans="3:12" customFormat="1" ht="14.4">
      <c r="C48" s="95"/>
      <c r="L48" s="106"/>
    </row>
    <row r="49" spans="3:12" customFormat="1" ht="14.4">
      <c r="C49" s="95"/>
      <c r="L49" s="106"/>
    </row>
    <row r="50" spans="3:12" customFormat="1" ht="14.4">
      <c r="C50" s="95"/>
      <c r="D50" s="51"/>
      <c r="E50" s="51"/>
      <c r="F50" s="51"/>
      <c r="G50" s="110"/>
      <c r="H50" s="110"/>
      <c r="I50" s="110"/>
      <c r="L50" s="106"/>
    </row>
    <row r="51" spans="3:12" customFormat="1" ht="14.4">
      <c r="C51" s="95"/>
      <c r="D51" s="51"/>
      <c r="E51" s="51"/>
      <c r="F51" s="51"/>
      <c r="G51" s="110"/>
      <c r="H51" s="110"/>
      <c r="I51" s="110"/>
      <c r="L51" s="106"/>
    </row>
    <row r="52" spans="3:12" customFormat="1" ht="14.4">
      <c r="C52" s="95"/>
      <c r="D52" s="110"/>
      <c r="E52" s="110"/>
      <c r="F52" s="110"/>
      <c r="I52" s="110"/>
      <c r="J52" s="110"/>
      <c r="K52" s="110"/>
      <c r="L52" s="106"/>
    </row>
    <row r="53" spans="3:12" customFormat="1" ht="14.4">
      <c r="C53" s="95"/>
      <c r="D53" s="110"/>
      <c r="E53" s="110"/>
      <c r="F53" s="110"/>
      <c r="I53" s="110"/>
      <c r="J53" s="110"/>
      <c r="K53" s="110"/>
      <c r="L53" s="106"/>
    </row>
    <row r="54" spans="3:12" customFormat="1" ht="14.4">
      <c r="C54" s="95"/>
      <c r="D54" s="110"/>
      <c r="E54" s="110"/>
      <c r="F54" s="110"/>
      <c r="I54" s="110"/>
      <c r="J54" s="110"/>
      <c r="K54" s="110"/>
      <c r="L54" s="106"/>
    </row>
    <row r="55" spans="3:12" customFormat="1" ht="14.4">
      <c r="C55" s="95"/>
      <c r="D55" s="110"/>
      <c r="E55" s="110"/>
      <c r="F55" s="110"/>
      <c r="I55" s="110"/>
      <c r="J55" s="110"/>
      <c r="K55" s="110"/>
      <c r="L55" s="106"/>
    </row>
    <row r="56" spans="3:12" customFormat="1" ht="14.4">
      <c r="C56" s="95"/>
      <c r="D56" s="110"/>
      <c r="E56" s="110"/>
      <c r="F56" s="110"/>
      <c r="G56" s="945" t="s">
        <v>162</v>
      </c>
      <c r="H56" s="945"/>
      <c r="I56" s="945"/>
      <c r="J56" s="110"/>
      <c r="K56" s="110"/>
      <c r="L56" s="106"/>
    </row>
    <row r="57" spans="3:12" customFormat="1" ht="14.4">
      <c r="C57" s="95"/>
      <c r="D57" s="110"/>
      <c r="E57" s="110"/>
      <c r="F57" s="110"/>
      <c r="G57" s="946" t="s">
        <v>163</v>
      </c>
      <c r="H57" s="946"/>
      <c r="I57" s="946"/>
      <c r="J57" s="110"/>
      <c r="K57" s="110"/>
      <c r="L57" s="106"/>
    </row>
    <row r="58" spans="3:12" customFormat="1" ht="15" thickBot="1">
      <c r="C58" s="102"/>
      <c r="D58" s="89"/>
      <c r="E58" s="89"/>
      <c r="F58" s="89"/>
      <c r="G58" s="89"/>
      <c r="H58" s="89"/>
      <c r="I58" s="89"/>
      <c r="J58" s="89"/>
      <c r="K58" s="89"/>
      <c r="L58" s="111"/>
    </row>
  </sheetData>
  <mergeCells count="26">
    <mergeCell ref="G56:I56"/>
    <mergeCell ref="G57:I57"/>
    <mergeCell ref="C33:L33"/>
    <mergeCell ref="C35:L37"/>
    <mergeCell ref="D42:G42"/>
    <mergeCell ref="D43:F43"/>
    <mergeCell ref="I43:K43"/>
    <mergeCell ref="I44:K44"/>
    <mergeCell ref="C30:L31"/>
    <mergeCell ref="E9:F9"/>
    <mergeCell ref="H9:L9"/>
    <mergeCell ref="C11:I11"/>
    <mergeCell ref="J12:L12"/>
    <mergeCell ref="D13:E13"/>
    <mergeCell ref="D14:E14"/>
    <mergeCell ref="D15:G15"/>
    <mergeCell ref="D17:G19"/>
    <mergeCell ref="H17:H19"/>
    <mergeCell ref="J24:K24"/>
    <mergeCell ref="C28:L28"/>
    <mergeCell ref="C2:L2"/>
    <mergeCell ref="C4:L5"/>
    <mergeCell ref="E7:F7"/>
    <mergeCell ref="H7:L7"/>
    <mergeCell ref="E8:F8"/>
    <mergeCell ref="H8:L8"/>
  </mergeCells>
  <pageMargins left="0.70866141732283472" right="0.70866141732283472" top="0.74803149606299213" bottom="0.74803149606299213" header="0.31496062992125984" footer="0.31496062992125984"/>
  <pageSetup scale="6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512F-2912-4054-B058-DB6B2E31E904}">
  <sheetPr codeName="Hoja7">
    <tabColor rgb="FFFFFF00"/>
    <pageSetUpPr fitToPage="1"/>
  </sheetPr>
  <dimension ref="B1:V62"/>
  <sheetViews>
    <sheetView showGridLines="0" zoomScale="70" zoomScaleNormal="70" workbookViewId="0">
      <pane xSplit="1" ySplit="7" topLeftCell="B50" activePane="bottomRight" state="frozen"/>
      <selection pane="topRight" activeCell="B1" sqref="B1"/>
      <selection pane="bottomLeft" activeCell="A9" sqref="A9"/>
      <selection pane="bottomRight" activeCell="Q30" sqref="Q30"/>
    </sheetView>
  </sheetViews>
  <sheetFormatPr baseColWidth="10" defaultRowHeight="14.4"/>
  <cols>
    <col min="1" max="1" width="2.88671875" customWidth="1"/>
    <col min="2" max="2" width="4.88671875" style="17" customWidth="1"/>
    <col min="3" max="3" width="12.88671875" style="18" customWidth="1"/>
    <col min="4" max="4" width="36.44140625" style="10" customWidth="1"/>
    <col min="5" max="5" width="30.77734375" customWidth="1"/>
    <col min="6" max="6" width="9" customWidth="1"/>
    <col min="7" max="7" width="13.44140625" customWidth="1"/>
    <col min="8" max="9" width="9.6640625" customWidth="1"/>
    <col min="10" max="10" width="8.88671875" customWidth="1"/>
    <col min="11" max="11" width="13.21875" customWidth="1"/>
    <col min="12" max="12" width="17.21875" style="33" customWidth="1"/>
    <col min="13" max="13" width="4.77734375" customWidth="1"/>
    <col min="15" max="15" width="14.5546875" customWidth="1"/>
    <col min="16" max="16" width="35.109375" customWidth="1"/>
    <col min="17" max="17" width="17.5546875" customWidth="1"/>
    <col min="22" max="22" width="27.33203125" customWidth="1"/>
  </cols>
  <sheetData>
    <row r="1" spans="2:13" ht="10.5" customHeight="1"/>
    <row r="2" spans="2:13" ht="15.75" customHeight="1">
      <c r="B2" s="896" t="s">
        <v>256</v>
      </c>
      <c r="C2" s="896"/>
      <c r="D2" s="896"/>
      <c r="E2" s="896"/>
      <c r="F2" s="896"/>
      <c r="G2" s="896"/>
      <c r="H2" s="896"/>
      <c r="I2" s="896"/>
      <c r="J2" s="896"/>
      <c r="K2" s="896"/>
      <c r="L2" s="896"/>
    </row>
    <row r="3" spans="2:13" ht="15" customHeight="1">
      <c r="B3" s="897" t="s">
        <v>441</v>
      </c>
      <c r="C3" s="897"/>
      <c r="D3" s="897"/>
      <c r="E3" s="897"/>
      <c r="F3" s="897"/>
      <c r="G3" s="897"/>
      <c r="H3" s="897"/>
      <c r="I3" s="897"/>
      <c r="J3" s="897"/>
      <c r="K3" s="897"/>
      <c r="L3" s="897"/>
    </row>
    <row r="4" spans="2:13" ht="7.5" customHeight="1" thickBot="1"/>
    <row r="5" spans="2:13" ht="18" customHeight="1" thickTop="1" thickBot="1">
      <c r="D5" s="54"/>
      <c r="E5" s="54"/>
      <c r="F5" s="243"/>
      <c r="G5" s="54"/>
      <c r="H5" s="951" t="s">
        <v>126</v>
      </c>
      <c r="I5" s="952"/>
      <c r="J5" s="951" t="s">
        <v>87</v>
      </c>
      <c r="K5" s="952"/>
      <c r="L5" s="901" t="s">
        <v>127</v>
      </c>
      <c r="M5" s="51"/>
    </row>
    <row r="6" spans="2:13" ht="13.5" customHeight="1" thickTop="1" thickBot="1">
      <c r="C6" s="186"/>
      <c r="D6" s="54"/>
      <c r="E6" s="54"/>
      <c r="F6" s="243"/>
      <c r="G6" s="54"/>
      <c r="H6" s="326">
        <v>0.5</v>
      </c>
      <c r="I6" s="327">
        <v>1</v>
      </c>
      <c r="J6" s="326">
        <v>0.5</v>
      </c>
      <c r="K6" s="327">
        <v>1</v>
      </c>
      <c r="L6" s="902"/>
    </row>
    <row r="7" spans="2:13" ht="19.95" customHeight="1" thickTop="1">
      <c r="B7" s="354" t="s">
        <v>128</v>
      </c>
      <c r="C7" s="355" t="s">
        <v>129</v>
      </c>
      <c r="D7" s="355" t="s">
        <v>2</v>
      </c>
      <c r="E7" s="356" t="s">
        <v>103</v>
      </c>
      <c r="F7" s="357" t="s">
        <v>130</v>
      </c>
      <c r="G7" s="358" t="s">
        <v>120</v>
      </c>
      <c r="H7" s="359" t="s">
        <v>131</v>
      </c>
      <c r="I7" s="360" t="s">
        <v>132</v>
      </c>
      <c r="J7" s="361" t="s">
        <v>133</v>
      </c>
      <c r="K7" s="362" t="s">
        <v>203</v>
      </c>
      <c r="L7" s="362" t="s">
        <v>204</v>
      </c>
    </row>
    <row r="8" spans="2:13" ht="18.600000000000001" customHeight="1">
      <c r="B8" s="234">
        <v>1</v>
      </c>
      <c r="C8" s="184">
        <v>925813685</v>
      </c>
      <c r="D8" s="184" t="str">
        <f>+VLOOKUP(Tabla3[[#This Row],[CEDULA ]],'OCTUBRE 2025'!$C$8:$J$57,2,0)</f>
        <v>ASITIMBAY CRIOLLO JOHN ANDERSON</v>
      </c>
      <c r="E8" s="184" t="str">
        <f>+VLOOKUP(Tabla3[[#This Row],[CEDULA ]],'OCTUBRE 2025'!$C$8:$J$57,4,0)</f>
        <v xml:space="preserve"> JEFE DE MARKETING</v>
      </c>
      <c r="F8" s="363" t="str">
        <f>+VLOOKUP(Tabla3[[#This Row],[CEDULA ]],'OCTUBRE 2025'!$C$8:$J$57,6,0)</f>
        <v>Matriz</v>
      </c>
      <c r="G8" s="650">
        <f>+VLOOKUP(Tabla3[[#This Row],[CEDULA ]],'OCTUBRE 2025'!$C$8:$J$57,8,0)</f>
        <v>817.76</v>
      </c>
      <c r="H8" s="602">
        <f>+VLOOKUP(Tabla3[[#This Row],[CEDULA ]],'Conversión-HE'!$C$20:$I$70,6,0)</f>
        <v>0</v>
      </c>
      <c r="I8" s="602">
        <f>+VLOOKUP(Tabla3[[#This Row],[CEDULA ]],'Conversión-HE'!$C$20:$I$70,7,0)</f>
        <v>0</v>
      </c>
      <c r="J8" s="328">
        <f t="shared" ref="J8:J58" si="0">((G8/240)*1.5)*H8</f>
        <v>0</v>
      </c>
      <c r="K8" s="328">
        <f t="shared" ref="K8:K58" si="1">+((G8/240)*2)*I8</f>
        <v>0</v>
      </c>
      <c r="L8" s="329">
        <f>+Tabla3[[#This Row],[US$]]+Tabla3[[#This Row],[US$,]]</f>
        <v>0</v>
      </c>
    </row>
    <row r="9" spans="2:13" ht="18.600000000000001" customHeight="1">
      <c r="B9" s="234">
        <v>2</v>
      </c>
      <c r="C9" s="184">
        <v>944405737</v>
      </c>
      <c r="D9" s="184" t="str">
        <f>+VLOOKUP(Tabla3[[#This Row],[CEDULA ]],'OCTUBRE 2025'!$C$8:$J$57,2,0)</f>
        <v>BARAHONA ZAMBRANO DAYANA NICOLE</v>
      </c>
      <c r="E9" s="184" t="str">
        <f>+VLOOKUP(Tabla3[[#This Row],[CEDULA ]],'OCTUBRE 2025'!$C$8:$J$57,4,0)</f>
        <v>CAJERO FINANCIERO</v>
      </c>
      <c r="F9" s="363" t="str">
        <f>+VLOOKUP(Tabla3[[#This Row],[CEDULA ]],'OCTUBRE 2025'!$C$8:$J$57,6,0)</f>
        <v>Matriz</v>
      </c>
      <c r="G9" s="650">
        <f>+VLOOKUP(Tabla3[[#This Row],[CEDULA ]],'OCTUBRE 2025'!$C$8:$J$57,8,0)</f>
        <v>15.86</v>
      </c>
      <c r="H9" s="602">
        <f>+VLOOKUP(Tabla3[[#This Row],[CEDULA ]],'Conversión-HE'!$C$20:$I$70,6,0)</f>
        <v>0</v>
      </c>
      <c r="I9" s="602">
        <f>+VLOOKUP(Tabla3[[#This Row],[CEDULA ]],'Conversión-HE'!$C$20:$I$70,7,0)</f>
        <v>0</v>
      </c>
      <c r="J9" s="328">
        <f t="shared" si="0"/>
        <v>0</v>
      </c>
      <c r="K9" s="328">
        <f t="shared" si="1"/>
        <v>0</v>
      </c>
      <c r="L9" s="329">
        <f>+Tabla3[[#This Row],[US$]]+Tabla3[[#This Row],[US$,]]</f>
        <v>0</v>
      </c>
    </row>
    <row r="10" spans="2:13" ht="18.600000000000001" customHeight="1">
      <c r="B10" s="234">
        <v>3</v>
      </c>
      <c r="C10" s="184">
        <v>604394502</v>
      </c>
      <c r="D10" s="184" t="str">
        <f>+VLOOKUP(Tabla3[[#This Row],[CEDULA ]],'OCTUBRE 2025'!$C$8:$J$57,2,0)</f>
        <v>BETUN CHAFLA JULIO CESAR</v>
      </c>
      <c r="E10" s="184" t="str">
        <f>+VLOOKUP(Tabla3[[#This Row],[CEDULA ]],'OCTUBRE 2025'!$C$8:$J$57,4,0)</f>
        <v>ASESOR DE NEGOCIOS</v>
      </c>
      <c r="F10" s="363" t="str">
        <f>+VLOOKUP(Tabla3[[#This Row],[CEDULA ]],'OCTUBRE 2025'!$C$8:$J$57,6,0)</f>
        <v>Matriz</v>
      </c>
      <c r="G10" s="650">
        <f>+VLOOKUP(Tabla3[[#This Row],[CEDULA ]],'OCTUBRE 2025'!$C$8:$J$57,8,0)</f>
        <v>613.32000000000005</v>
      </c>
      <c r="H10" s="602">
        <f>+VLOOKUP(Tabla3[[#This Row],[CEDULA ]],'Conversión-HE'!$C$20:$I$70,6,0)</f>
        <v>0</v>
      </c>
      <c r="I10" s="602">
        <f>+VLOOKUP(Tabla3[[#This Row],[CEDULA ]],'Conversión-HE'!$C$20:$I$70,7,0)</f>
        <v>0</v>
      </c>
      <c r="J10" s="328">
        <f t="shared" si="0"/>
        <v>0</v>
      </c>
      <c r="K10" s="328">
        <f t="shared" si="1"/>
        <v>0</v>
      </c>
      <c r="L10" s="329">
        <f>+Tabla3[[#This Row],[US$]]+Tabla3[[#This Row],[US$,]]</f>
        <v>0</v>
      </c>
    </row>
    <row r="11" spans="2:13" ht="18.600000000000001" customHeight="1">
      <c r="B11" s="234">
        <v>4</v>
      </c>
      <c r="C11" s="184">
        <v>955741970</v>
      </c>
      <c r="D11" s="184" t="str">
        <f>+VLOOKUP(Tabla3[[#This Row],[CEDULA ]],'OCTUBRE 2025'!$C$8:$J$57,2,0)</f>
        <v>CHACAGUASAY CHACAGUASAY ROBERTH CRISTHIAN</v>
      </c>
      <c r="E11" s="184" t="str">
        <f>+VLOOKUP(Tabla3[[#This Row],[CEDULA ]],'OCTUBRE 2025'!$C$8:$J$57,4,0)</f>
        <v>OFICIAL DE RECAUDACIONES</v>
      </c>
      <c r="F11" s="363" t="str">
        <f>+VLOOKUP(Tabla3[[#This Row],[CEDULA ]],'OCTUBRE 2025'!$C$8:$J$57,6,0)</f>
        <v>Matriz</v>
      </c>
      <c r="G11" s="650">
        <f>+VLOOKUP(Tabla3[[#This Row],[CEDULA ]],'OCTUBRE 2025'!$C$8:$J$57,8,0)</f>
        <v>473.88</v>
      </c>
      <c r="H11" s="602">
        <f>+VLOOKUP(Tabla3[[#This Row],[CEDULA ]],'Conversión-HE'!$C$20:$I$70,6,0)</f>
        <v>0</v>
      </c>
      <c r="I11" s="602">
        <f>+VLOOKUP(Tabla3[[#This Row],[CEDULA ]],'Conversión-HE'!$C$20:$I$70,7,0)</f>
        <v>0</v>
      </c>
      <c r="J11" s="328">
        <f t="shared" si="0"/>
        <v>0</v>
      </c>
      <c r="K11" s="328">
        <f t="shared" si="1"/>
        <v>0</v>
      </c>
      <c r="L11" s="329">
        <f>+Tabla3[[#This Row],[US$]]+Tabla3[[#This Row],[US$,]]</f>
        <v>0</v>
      </c>
    </row>
    <row r="12" spans="2:13" ht="18.600000000000001" customHeight="1">
      <c r="B12" s="234">
        <v>5</v>
      </c>
      <c r="C12" s="184" t="s">
        <v>481</v>
      </c>
      <c r="D12" s="184" t="str">
        <f>+VLOOKUP(Tabla3[[#This Row],[CEDULA ]],'OCTUBRE 2025'!$C$8:$J$57,2,0)</f>
        <v>CHACAGUASAY GUAMAN KEVIN NEHEMIAS</v>
      </c>
      <c r="E12" s="184" t="str">
        <f>+VLOOKUP(Tabla3[[#This Row],[CEDULA ]],'OCTUBRE 2025'!$C$8:$J$57,4,0)</f>
        <v>ASESOR DE NEGOCIOS</v>
      </c>
      <c r="F12" s="363" t="str">
        <f>+VLOOKUP(Tabla3[[#This Row],[CEDULA ]],'OCTUBRE 2025'!$C$8:$J$57,6,0)</f>
        <v>Matriz</v>
      </c>
      <c r="G12" s="650">
        <f>+VLOOKUP(Tabla3[[#This Row],[CEDULA ]],'OCTUBRE 2025'!$C$8:$J$57,8,0)</f>
        <v>256.52999999999997</v>
      </c>
      <c r="H12" s="602">
        <f>+VLOOKUP(Tabla3[[#This Row],[CEDULA ]],'Conversión-HE'!$C$20:$I$70,6,0)</f>
        <v>0</v>
      </c>
      <c r="I12" s="602">
        <f>+VLOOKUP(Tabla3[[#This Row],[CEDULA ]],'Conversión-HE'!$C$20:$I$70,7,0)</f>
        <v>0</v>
      </c>
      <c r="J12" s="328">
        <f t="shared" ref="J12" si="2">((G12/240)*1.5)*H12</f>
        <v>0</v>
      </c>
      <c r="K12" s="328">
        <f t="shared" ref="K12" si="3">+((G12/240)*2)*I12</f>
        <v>0</v>
      </c>
      <c r="L12" s="329">
        <f>+Tabla3[[#This Row],[US$]]+Tabla3[[#This Row],[US$,]]</f>
        <v>0</v>
      </c>
    </row>
    <row r="13" spans="2:13" ht="18.600000000000001" customHeight="1">
      <c r="B13" s="234">
        <v>6</v>
      </c>
      <c r="C13" s="184">
        <v>944143148</v>
      </c>
      <c r="D13" s="184" t="str">
        <f>+VLOOKUP(Tabla3[[#This Row],[CEDULA ]],'OCTUBRE 2025'!$C$8:$J$57,2,0)</f>
        <v>CHIMBOLEMA YUNGAN MARIO EFRAIN</v>
      </c>
      <c r="E13" s="184" t="str">
        <f>+VLOOKUP(Tabla3[[#This Row],[CEDULA ]],'OCTUBRE 2025'!$C$8:$J$57,4,0)</f>
        <v>OFICIAL DE RECAUDACIONES</v>
      </c>
      <c r="F13" s="363" t="str">
        <f>+VLOOKUP(Tabla3[[#This Row],[CEDULA ]],'OCTUBRE 2025'!$C$8:$J$57,6,0)</f>
        <v>Durán</v>
      </c>
      <c r="G13" s="650">
        <f>+VLOOKUP(Tabla3[[#This Row],[CEDULA ]],'OCTUBRE 2025'!$C$8:$J$57,8,0)</f>
        <v>142.16</v>
      </c>
      <c r="H13" s="602">
        <f>+VLOOKUP(Tabla3[[#This Row],[CEDULA ]],'Conversión-HE'!$C$20:$I$70,6,0)</f>
        <v>0</v>
      </c>
      <c r="I13" s="602">
        <f>+VLOOKUP(Tabla3[[#This Row],[CEDULA ]],'Conversión-HE'!$C$20:$I$70,7,0)</f>
        <v>0</v>
      </c>
      <c r="J13" s="328">
        <f t="shared" ref="J13" si="4">((G13/240)*1.5)*H13</f>
        <v>0</v>
      </c>
      <c r="K13" s="328">
        <f>+((G13/240)*2)*I13</f>
        <v>0</v>
      </c>
      <c r="L13" s="329">
        <f>+Tabla3[[#This Row],[US$]]+Tabla3[[#This Row],[US$,]]</f>
        <v>0</v>
      </c>
    </row>
    <row r="14" spans="2:13" ht="18.600000000000001" customHeight="1">
      <c r="B14" s="234">
        <v>7</v>
      </c>
      <c r="C14" s="184">
        <v>955325238</v>
      </c>
      <c r="D14" s="184" t="str">
        <f>+VLOOKUP(Tabla3[[#This Row],[CEDULA ]],'OCTUBRE 2025'!$C$8:$J$57,2,0)</f>
        <v>CHOCA CEPEDA INES VIVIANA</v>
      </c>
      <c r="E14" s="184" t="str">
        <f>+VLOOKUP(Tabla3[[#This Row],[CEDULA ]],'OCTUBRE 2025'!$C$8:$J$57,4,0)</f>
        <v>CAJERA FINANCIERA</v>
      </c>
      <c r="F14" s="363" t="str">
        <f>+VLOOKUP(Tabla3[[#This Row],[CEDULA ]],'OCTUBRE 2025'!$C$8:$J$57,6,0)</f>
        <v>Matriz</v>
      </c>
      <c r="G14" s="650">
        <f>+VLOOKUP(Tabla3[[#This Row],[CEDULA ]],'OCTUBRE 2025'!$C$8:$J$57,8,0)</f>
        <v>256.52999999999997</v>
      </c>
      <c r="H14" s="602">
        <f>+VLOOKUP(Tabla3[[#This Row],[CEDULA ]],'Conversión-HE'!$C$20:$I$70,6,0)</f>
        <v>0</v>
      </c>
      <c r="I14" s="602">
        <f>+VLOOKUP(Tabla3[[#This Row],[CEDULA ]],'Conversión-HE'!$C$20:$I$70,7,0)</f>
        <v>0</v>
      </c>
      <c r="J14" s="328">
        <f t="shared" ref="J14" si="5">((G14/240)*1.5)*H14</f>
        <v>0</v>
      </c>
      <c r="K14" s="328">
        <f>+((G14/240)*2)*I14</f>
        <v>0</v>
      </c>
      <c r="L14" s="329">
        <f>+Tabla3[[#This Row],[US$]]+Tabla3[[#This Row],[US$,]]</f>
        <v>0</v>
      </c>
    </row>
    <row r="15" spans="2:13" ht="18.600000000000001" customHeight="1">
      <c r="B15" s="234">
        <v>8</v>
      </c>
      <c r="C15" s="184">
        <v>914163654</v>
      </c>
      <c r="D15" s="184" t="str">
        <f>+VLOOKUP(Tabla3[[#This Row],[CEDULA ]],'OCTUBRE 2025'!$C$8:$J$57,2,0)</f>
        <v>COCA BENITEZ JORGE MANUEL</v>
      </c>
      <c r="E15" s="184" t="str">
        <f>+VLOOKUP(Tabla3[[#This Row],[CEDULA ]],'OCTUBRE 2025'!$C$8:$J$57,4,0)</f>
        <v>ANALISTA DE RIESGO</v>
      </c>
      <c r="F15" s="363" t="str">
        <f>+VLOOKUP(Tabla3[[#This Row],[CEDULA ]],'OCTUBRE 2025'!$C$8:$J$57,6,0)</f>
        <v>Matriz</v>
      </c>
      <c r="G15" s="650">
        <f>+VLOOKUP(Tabla3[[#This Row],[CEDULA ]],'OCTUBRE 2025'!$C$8:$J$57,8,0)</f>
        <v>1200</v>
      </c>
      <c r="H15" s="602">
        <f>+VLOOKUP(Tabla3[[#This Row],[CEDULA ]],'Conversión-HE'!$C$20:$I$70,6,0)</f>
        <v>0</v>
      </c>
      <c r="I15" s="602">
        <f>+VLOOKUP(Tabla3[[#This Row],[CEDULA ]],'Conversión-HE'!$C$20:$I$70,7,0)</f>
        <v>0</v>
      </c>
      <c r="J15" s="328">
        <f>((G15/240)*1.5)*H15</f>
        <v>0</v>
      </c>
      <c r="K15" s="328">
        <f t="shared" ref="K15" si="6">+((G15/240)*2)*I15</f>
        <v>0</v>
      </c>
      <c r="L15" s="329">
        <f>+Tabla3[[#This Row],[US$]]+Tabla3[[#This Row],[US$,]]</f>
        <v>0</v>
      </c>
    </row>
    <row r="16" spans="2:13" ht="18.600000000000001" customHeight="1">
      <c r="B16" s="234">
        <v>9</v>
      </c>
      <c r="C16" s="184">
        <v>956668305</v>
      </c>
      <c r="D16" s="184" t="str">
        <f>+VLOOKUP(Tabla3[[#This Row],[CEDULA ]],'OCTUBRE 2025'!$C$8:$J$57,2,0)</f>
        <v>CORO YUQUILEMA RUTH NOEMI</v>
      </c>
      <c r="E16" s="184" t="str">
        <f>+VLOOKUP(Tabla3[[#This Row],[CEDULA ]],'OCTUBRE 2025'!$C$8:$J$57,4,0)</f>
        <v>OFICIAL DE RECAUDACIONES</v>
      </c>
      <c r="F16" s="363" t="str">
        <f>+VLOOKUP(Tabla3[[#This Row],[CEDULA ]],'OCTUBRE 2025'!$C$8:$J$57,6,0)</f>
        <v>Matriz</v>
      </c>
      <c r="G16" s="650">
        <f>+VLOOKUP(Tabla3[[#This Row],[CEDULA ]],'OCTUBRE 2025'!$C$8:$J$57,8,0)</f>
        <v>252.74</v>
      </c>
      <c r="H16" s="602">
        <f>+VLOOKUP(Tabla3[[#This Row],[CEDULA ]],'Conversión-HE'!$C$20:$I$70,6,0)</f>
        <v>0</v>
      </c>
      <c r="I16" s="602">
        <f>+VLOOKUP(Tabla3[[#This Row],[CEDULA ]],'Conversión-HE'!$C$20:$I$70,7,0)</f>
        <v>0</v>
      </c>
      <c r="J16" s="328">
        <f t="shared" ref="J16:J17" si="7">((G16/240)*1.5)*H16</f>
        <v>0</v>
      </c>
      <c r="K16" s="328">
        <f t="shared" ref="K16:K17" si="8">+((G16/240)*2)*I16</f>
        <v>0</v>
      </c>
      <c r="L16" s="329">
        <f>+Tabla3[[#This Row],[US$]]+Tabla3[[#This Row],[US$,]]</f>
        <v>0</v>
      </c>
    </row>
    <row r="17" spans="2:14" ht="18.600000000000001" customHeight="1">
      <c r="B17" s="234">
        <v>10</v>
      </c>
      <c r="C17" s="184" t="s">
        <v>485</v>
      </c>
      <c r="D17" s="184" t="str">
        <f>+VLOOKUP(Tabla3[[#This Row],[CEDULA ]],'OCTUBRE 2025'!$C$8:$J$57,2,0)</f>
        <v>DEFAS CHICAIZA JOEL ALBERTO</v>
      </c>
      <c r="E17" s="184" t="str">
        <f>+VLOOKUP(Tabla3[[#This Row],[CEDULA ]],'OCTUBRE 2025'!$C$8:$J$57,4,0)</f>
        <v>ASESOR DE NEGOCIOS</v>
      </c>
      <c r="F17" s="363" t="str">
        <f>+VLOOKUP(Tabla3[[#This Row],[CEDULA ]],'OCTUBRE 2025'!$C$8:$J$57,6,0)</f>
        <v>Norte</v>
      </c>
      <c r="G17" s="650">
        <f>+VLOOKUP(Tabla3[[#This Row],[CEDULA ]],'OCTUBRE 2025'!$C$8:$J$57,8,0)</f>
        <v>626.65</v>
      </c>
      <c r="H17" s="602">
        <f>+VLOOKUP(Tabla3[[#This Row],[CEDULA ]],'Conversión-HE'!$C$20:$I$70,6,0)</f>
        <v>0</v>
      </c>
      <c r="I17" s="602">
        <f>+VLOOKUP(Tabla3[[#This Row],[CEDULA ]],'Conversión-HE'!$C$20:$I$70,7,0)</f>
        <v>0</v>
      </c>
      <c r="J17" s="328">
        <f t="shared" si="7"/>
        <v>0</v>
      </c>
      <c r="K17" s="328">
        <f t="shared" si="8"/>
        <v>0</v>
      </c>
      <c r="L17" s="329">
        <f>+Tabla3[[#This Row],[US$]]+Tabla3[[#This Row],[US$,]]</f>
        <v>0</v>
      </c>
    </row>
    <row r="18" spans="2:14" ht="18.600000000000001" customHeight="1">
      <c r="B18" s="234">
        <v>11</v>
      </c>
      <c r="C18" s="184">
        <v>931097620</v>
      </c>
      <c r="D18" s="184" t="str">
        <f>+VLOOKUP(Tabla3[[#This Row],[CEDULA ]],'OCTUBRE 2025'!$C$8:$J$57,2,0)</f>
        <v>DEL ROSARIO RODRIGUEZ JUDY ANGELICA</v>
      </c>
      <c r="E18" s="184" t="str">
        <f>+VLOOKUP(Tabla3[[#This Row],[CEDULA ]],'OCTUBRE 2025'!$C$8:$J$57,4,0)</f>
        <v>CAJERA FINANCIERA</v>
      </c>
      <c r="F18" s="363" t="str">
        <f>+VLOOKUP(Tabla3[[#This Row],[CEDULA ]],'OCTUBRE 2025'!$C$8:$J$57,6,0)</f>
        <v>Norte</v>
      </c>
      <c r="G18" s="650">
        <f>+VLOOKUP(Tabla3[[#This Row],[CEDULA ]],'OCTUBRE 2025'!$C$8:$J$57,8,0)</f>
        <v>256.52999999999997</v>
      </c>
      <c r="H18" s="602">
        <f>+VLOOKUP(Tabla3[[#This Row],[CEDULA ]],'Conversión-HE'!$C$20:$I$70,6,0)</f>
        <v>0</v>
      </c>
      <c r="I18" s="602">
        <f>+VLOOKUP(Tabla3[[#This Row],[CEDULA ]],'Conversión-HE'!$C$20:$I$70,7,0)</f>
        <v>0</v>
      </c>
      <c r="J18" s="328">
        <f t="shared" ref="J18" si="9">((G18/240)*1.5)*H18</f>
        <v>0</v>
      </c>
      <c r="K18" s="328">
        <f t="shared" ref="K18" si="10">+((G18/240)*2)*I18</f>
        <v>0</v>
      </c>
      <c r="L18" s="329">
        <f>+Tabla3[[#This Row],[US$]]+Tabla3[[#This Row],[US$,]]</f>
        <v>0</v>
      </c>
    </row>
    <row r="19" spans="2:14" ht="18.600000000000001" customHeight="1">
      <c r="B19" s="234">
        <v>12</v>
      </c>
      <c r="C19" s="184">
        <v>1105483422</v>
      </c>
      <c r="D19" s="184" t="str">
        <f>+VLOOKUP(Tabla3[[#This Row],[CEDULA ]],'OCTUBRE 2025'!$C$8:$J$57,2,0)</f>
        <v>FLORES HERRERA WENDY DEL CISNE</v>
      </c>
      <c r="E19" s="184" t="str">
        <f>+VLOOKUP(Tabla3[[#This Row],[CEDULA ]],'OCTUBRE 2025'!$C$8:$J$57,4,0)</f>
        <v>CAJERO FINANCIERO</v>
      </c>
      <c r="F19" s="363" t="str">
        <f>+VLOOKUP(Tabla3[[#This Row],[CEDULA ]],'OCTUBRE 2025'!$C$8:$J$57,6,0)</f>
        <v>Durán</v>
      </c>
      <c r="G19" s="650">
        <f>+VLOOKUP(Tabla3[[#This Row],[CEDULA ]],'OCTUBRE 2025'!$C$8:$J$57,8,0)</f>
        <v>650</v>
      </c>
      <c r="H19" s="602">
        <f>+VLOOKUP(Tabla3[[#This Row],[CEDULA ]],'Conversión-HE'!$C$20:$I$70,6,0)</f>
        <v>0</v>
      </c>
      <c r="I19" s="602">
        <f>+VLOOKUP(Tabla3[[#This Row],[CEDULA ]],'Conversión-HE'!$C$20:$I$70,7,0)</f>
        <v>0</v>
      </c>
      <c r="J19" s="328">
        <f t="shared" si="0"/>
        <v>0</v>
      </c>
      <c r="K19" s="328">
        <f t="shared" si="1"/>
        <v>0</v>
      </c>
      <c r="L19" s="329">
        <f>+Tabla3[[#This Row],[US$]]+Tabla3[[#This Row],[US$,]]</f>
        <v>0</v>
      </c>
    </row>
    <row r="20" spans="2:14" ht="18.600000000000001" customHeight="1">
      <c r="B20" s="234">
        <v>13</v>
      </c>
      <c r="C20" s="184">
        <v>942614645</v>
      </c>
      <c r="D20" s="184" t="str">
        <f>+VLOOKUP(Tabla3[[#This Row],[CEDULA ]],'OCTUBRE 2025'!$C$8:$J$57,2,0)</f>
        <v>FUELA TOABANDA JOSUE CHRISTIAN</v>
      </c>
      <c r="E20" s="184" t="str">
        <f>+VLOOKUP(Tabla3[[#This Row],[CEDULA ]],'OCTUBRE 2025'!$C$8:$J$57,4,0)</f>
        <v>ASISTENTE CONTABLE</v>
      </c>
      <c r="F20" s="363" t="str">
        <f>+VLOOKUP(Tabla3[[#This Row],[CEDULA ]],'OCTUBRE 2025'!$C$8:$J$57,6,0)</f>
        <v>Matriz</v>
      </c>
      <c r="G20" s="650">
        <f>+VLOOKUP(Tabla3[[#This Row],[CEDULA ]],'OCTUBRE 2025'!$C$8:$J$57,8,0)</f>
        <v>481</v>
      </c>
      <c r="H20" s="602">
        <f>+VLOOKUP(Tabla3[[#This Row],[CEDULA ]],'Conversión-HE'!$C$20:$I$70,6,0)</f>
        <v>0</v>
      </c>
      <c r="I20" s="602">
        <f>+VLOOKUP(Tabla3[[#This Row],[CEDULA ]],'Conversión-HE'!$C$20:$I$70,7,0)</f>
        <v>0</v>
      </c>
      <c r="J20" s="328">
        <f t="shared" si="0"/>
        <v>0</v>
      </c>
      <c r="K20" s="328">
        <f t="shared" si="1"/>
        <v>0</v>
      </c>
      <c r="L20" s="329">
        <f>+Tabla3[[#This Row],[US$]]+Tabla3[[#This Row],[US$,]]</f>
        <v>0</v>
      </c>
    </row>
    <row r="21" spans="2:14" ht="18.600000000000001" customHeight="1">
      <c r="B21" s="234">
        <v>14</v>
      </c>
      <c r="C21" s="184">
        <v>951200062</v>
      </c>
      <c r="D21" s="184" t="str">
        <f>+VLOOKUP(Tabla3[[#This Row],[CEDULA ]],'OCTUBRE 2025'!$C$8:$J$57,2,0)</f>
        <v>GALAN LEMACHE INGRID GISELA</v>
      </c>
      <c r="E21" s="184" t="str">
        <f>+VLOOKUP(Tabla3[[#This Row],[CEDULA ]],'OCTUBRE 2025'!$C$8:$J$57,4,0)</f>
        <v>BACK UP ADMINISTRATIVO  FINANCIERO</v>
      </c>
      <c r="F21" s="363" t="str">
        <f>+VLOOKUP(Tabla3[[#This Row],[CEDULA ]],'OCTUBRE 2025'!$C$8:$J$57,6,0)</f>
        <v>Norte</v>
      </c>
      <c r="G21" s="650">
        <f>+VLOOKUP(Tabla3[[#This Row],[CEDULA ]],'OCTUBRE 2025'!$C$8:$J$57,8,0)</f>
        <v>473.88</v>
      </c>
      <c r="H21" s="602">
        <f>+VLOOKUP(Tabla3[[#This Row],[CEDULA ]],'Conversión-HE'!$C$20:$I$70,6,0)</f>
        <v>0</v>
      </c>
      <c r="I21" s="602">
        <f>+VLOOKUP(Tabla3[[#This Row],[CEDULA ]],'Conversión-HE'!$C$20:$I$70,7,0)</f>
        <v>0</v>
      </c>
      <c r="J21" s="328">
        <f t="shared" ref="J21:J22" si="11">((G21/240)*1.5)*H21</f>
        <v>0</v>
      </c>
      <c r="K21" s="328">
        <f t="shared" ref="K21:K22" si="12">+((G21/240)*2)*I21</f>
        <v>0</v>
      </c>
      <c r="L21" s="329">
        <f>+Tabla3[[#This Row],[US$]]+Tabla3[[#This Row],[US$,]]</f>
        <v>0</v>
      </c>
    </row>
    <row r="22" spans="2:14" ht="18.600000000000001" customHeight="1">
      <c r="B22" s="234">
        <v>15</v>
      </c>
      <c r="C22" s="184">
        <v>950929232</v>
      </c>
      <c r="D22" s="184" t="str">
        <f>+VLOOKUP(Tabla3[[#This Row],[CEDULA ]],'OCTUBRE 2025'!$C$8:$J$57,2,0)</f>
        <v>GARCIA VERA HENRY  LUIS</v>
      </c>
      <c r="E22" s="184" t="str">
        <f>+VLOOKUP(Tabla3[[#This Row],[CEDULA ]],'OCTUBRE 2025'!$C$8:$J$57,4,0)</f>
        <v>OFICIAL DE RECAUDACIONES</v>
      </c>
      <c r="F22" s="363" t="str">
        <f>+VLOOKUP(Tabla3[[#This Row],[CEDULA ]],'OCTUBRE 2025'!$C$8:$J$57,6,0)</f>
        <v>Norte</v>
      </c>
      <c r="G22" s="650">
        <f>+VLOOKUP(Tabla3[[#This Row],[CEDULA ]],'OCTUBRE 2025'!$C$8:$J$57,8,0)</f>
        <v>715.54</v>
      </c>
      <c r="H22" s="602">
        <f>+VLOOKUP(Tabla3[[#This Row],[CEDULA ]],'Conversión-HE'!$C$20:$I$70,6,0)</f>
        <v>0</v>
      </c>
      <c r="I22" s="602">
        <f>+VLOOKUP(Tabla3[[#This Row],[CEDULA ]],'Conversión-HE'!$C$20:$I$70,7,0)</f>
        <v>0</v>
      </c>
      <c r="J22" s="328">
        <f t="shared" si="11"/>
        <v>0</v>
      </c>
      <c r="K22" s="328">
        <f t="shared" si="12"/>
        <v>0</v>
      </c>
      <c r="L22" s="329">
        <f>+Tabla3[[#This Row],[US$]]+Tabla3[[#This Row],[US$,]]</f>
        <v>0</v>
      </c>
    </row>
    <row r="23" spans="2:14" ht="18.600000000000001" customHeight="1">
      <c r="B23" s="234">
        <v>16</v>
      </c>
      <c r="C23" s="184">
        <v>953819646</v>
      </c>
      <c r="D23" s="184" t="str">
        <f>+VLOOKUP(Tabla3[[#This Row],[CEDULA ]],'OCTUBRE 2025'!$C$8:$J$57,2,0)</f>
        <v>GUALACEO ÑAMO JONATHAN IVÁN</v>
      </c>
      <c r="E23" s="184" t="str">
        <f>+VLOOKUP(Tabla3[[#This Row],[CEDULA ]],'OCTUBRE 2025'!$C$8:$J$57,4,0)</f>
        <v>OFICIAL DE RECAUDACIONES</v>
      </c>
      <c r="F23" s="363" t="str">
        <f>+VLOOKUP(Tabla3[[#This Row],[CEDULA ]],'OCTUBRE 2025'!$C$8:$J$57,6,0)</f>
        <v>Matriz</v>
      </c>
      <c r="G23" s="650">
        <f>+VLOOKUP(Tabla3[[#This Row],[CEDULA ]],'OCTUBRE 2025'!$C$8:$J$57,8,0)</f>
        <v>511.1</v>
      </c>
      <c r="H23" s="602">
        <f>+VLOOKUP(Tabla3[[#This Row],[CEDULA ]],'Conversión-HE'!$C$20:$I$70,6,0)</f>
        <v>0</v>
      </c>
      <c r="I23" s="602">
        <f>+VLOOKUP(Tabla3[[#This Row],[CEDULA ]],'Conversión-HE'!$C$20:$I$70,7,0)</f>
        <v>0</v>
      </c>
      <c r="J23" s="328">
        <f t="shared" si="0"/>
        <v>0</v>
      </c>
      <c r="K23" s="328">
        <f t="shared" si="1"/>
        <v>0</v>
      </c>
      <c r="L23" s="329">
        <f>+Tabla3[[#This Row],[US$]]+Tabla3[[#This Row],[US$,]]</f>
        <v>0</v>
      </c>
      <c r="N23" s="397"/>
    </row>
    <row r="24" spans="2:14" ht="18.600000000000001" customHeight="1">
      <c r="B24" s="234">
        <v>17</v>
      </c>
      <c r="C24" s="184">
        <v>956953392</v>
      </c>
      <c r="D24" s="184" t="str">
        <f>+VLOOKUP(Tabla3[[#This Row],[CEDULA ]],'OCTUBRE 2025'!$C$8:$J$57,2,0)</f>
        <v>GUAPI YUMAGLLA OSCAR EDUARDO</v>
      </c>
      <c r="E24" s="184" t="str">
        <f>+VLOOKUP(Tabla3[[#This Row],[CEDULA ]],'OCTUBRE 2025'!$C$8:$J$57,4,0)</f>
        <v>OFICIAL DE RECAUDACIONES</v>
      </c>
      <c r="F24" s="363" t="str">
        <f>+VLOOKUP(Tabla3[[#This Row],[CEDULA ]],'OCTUBRE 2025'!$C$8:$J$57,6,0)</f>
        <v>Matriz</v>
      </c>
      <c r="G24" s="650">
        <f>+VLOOKUP(Tabla3[[#This Row],[CEDULA ]],'OCTUBRE 2025'!$C$8:$J$57,8,0)</f>
        <v>473.88</v>
      </c>
      <c r="H24" s="602">
        <f>+VLOOKUP(Tabla3[[#This Row],[CEDULA ]],'Conversión-HE'!$C$20:$I$70,6,0)</f>
        <v>0</v>
      </c>
      <c r="I24" s="602">
        <f>+VLOOKUP(Tabla3[[#This Row],[CEDULA ]],'Conversión-HE'!$C$20:$I$70,7,0)</f>
        <v>0</v>
      </c>
      <c r="J24" s="328">
        <f t="shared" si="0"/>
        <v>0</v>
      </c>
      <c r="K24" s="328">
        <f t="shared" si="1"/>
        <v>0</v>
      </c>
      <c r="L24" s="329">
        <f>+Tabla3[[#This Row],[US$]]+Tabla3[[#This Row],[US$,]]</f>
        <v>0</v>
      </c>
    </row>
    <row r="25" spans="2:14" ht="18.600000000000001" customHeight="1">
      <c r="B25" s="234">
        <v>18</v>
      </c>
      <c r="C25" s="184">
        <v>956796767</v>
      </c>
      <c r="D25" s="184" t="str">
        <f>+VLOOKUP(Tabla3[[#This Row],[CEDULA ]],'OCTUBRE 2025'!$C$8:$J$57,2,0)</f>
        <v>GUAYANLEMA RUIZ EDINSON DAVID</v>
      </c>
      <c r="E25" s="184" t="str">
        <f>+VLOOKUP(Tabla3[[#This Row],[CEDULA ]],'OCTUBRE 2025'!$C$8:$J$57,4,0)</f>
        <v>OFICIAL DE RECAUDACIONES</v>
      </c>
      <c r="F25" s="363" t="str">
        <f>+VLOOKUP(Tabla3[[#This Row],[CEDULA ]],'OCTUBRE 2025'!$C$8:$J$57,6,0)</f>
        <v>Norte</v>
      </c>
      <c r="G25" s="650">
        <f>+VLOOKUP(Tabla3[[#This Row],[CEDULA ]],'OCTUBRE 2025'!$C$8:$J$57,8,0)</f>
        <v>473.88</v>
      </c>
      <c r="H25" s="602">
        <f>+VLOOKUP(Tabla3[[#This Row],[CEDULA ]],'Conversión-HE'!$C$20:$I$70,6,0)</f>
        <v>0</v>
      </c>
      <c r="I25" s="602">
        <f>+VLOOKUP(Tabla3[[#This Row],[CEDULA ]],'Conversión-HE'!$C$20:$I$70,7,0)</f>
        <v>0</v>
      </c>
      <c r="J25" s="328">
        <f t="shared" si="0"/>
        <v>0</v>
      </c>
      <c r="K25" s="328">
        <f t="shared" si="1"/>
        <v>0</v>
      </c>
      <c r="L25" s="329">
        <f>+Tabla3[[#This Row],[US$]]+Tabla3[[#This Row],[US$,]]</f>
        <v>0</v>
      </c>
    </row>
    <row r="26" spans="2:14" ht="18.600000000000001" customHeight="1">
      <c r="B26" s="234">
        <v>19</v>
      </c>
      <c r="C26" s="184" t="s">
        <v>427</v>
      </c>
      <c r="D26" s="184" t="str">
        <f>+VLOOKUP(Tabla3[[#This Row],[CEDULA ]],'OCTUBRE 2025'!$C$8:$J$57,2,0)</f>
        <v>HERRERA JIMENEZ CAROLINA ADELIHER</v>
      </c>
      <c r="E26" s="184" t="str">
        <f>+VLOOKUP(Tabla3[[#This Row],[CEDULA ]],'OCTUBRE 2025'!$C$8:$J$57,4,0)</f>
        <v>ASISTENTE DE OPERACIONES</v>
      </c>
      <c r="F26" s="363" t="str">
        <f>+VLOOKUP(Tabla3[[#This Row],[CEDULA ]],'OCTUBRE 2025'!$C$8:$J$57,6,0)</f>
        <v>Matriz</v>
      </c>
      <c r="G26" s="650">
        <f>+VLOOKUP(Tabla3[[#This Row],[CEDULA ]],'OCTUBRE 2025'!$C$8:$J$57,8,0)</f>
        <v>481</v>
      </c>
      <c r="H26" s="602">
        <f>+VLOOKUP(Tabla3[[#This Row],[CEDULA ]],'Conversión-HE'!$C$20:$I$70,6,0)</f>
        <v>0</v>
      </c>
      <c r="I26" s="602">
        <f>+VLOOKUP(Tabla3[[#This Row],[CEDULA ]],'Conversión-HE'!$C$20:$I$70,7,0)</f>
        <v>0</v>
      </c>
      <c r="J26" s="328">
        <f t="shared" ref="J26" si="13">((G26/240)*1.5)*H26</f>
        <v>0</v>
      </c>
      <c r="K26" s="328">
        <f t="shared" ref="K26" si="14">+((G26/240)*2)*I26</f>
        <v>0</v>
      </c>
      <c r="L26" s="329">
        <f>+Tabla3[[#This Row],[US$]]+Tabla3[[#This Row],[US$,]]</f>
        <v>0</v>
      </c>
    </row>
    <row r="27" spans="2:14" ht="18.600000000000001" customHeight="1">
      <c r="B27" s="234">
        <v>20</v>
      </c>
      <c r="C27" s="184">
        <v>1724102940</v>
      </c>
      <c r="D27" s="184" t="str">
        <f>+VLOOKUP(Tabla3[[#This Row],[CEDULA ]],'OCTUBRE 2025'!$C$8:$J$57,2,0)</f>
        <v>HIDALGO CHERRES NESTOR VLADIMIR</v>
      </c>
      <c r="E27" s="184" t="str">
        <f>+VLOOKUP(Tabla3[[#This Row],[CEDULA ]],'OCTUBRE 2025'!$C$8:$J$57,4,0)</f>
        <v>JEFE DE CREDITO</v>
      </c>
      <c r="F27" s="363" t="str">
        <f>+VLOOKUP(Tabla3[[#This Row],[CEDULA ]],'OCTUBRE 2025'!$C$8:$J$57,6,0)</f>
        <v>Durán</v>
      </c>
      <c r="G27" s="650">
        <f>+VLOOKUP(Tabla3[[#This Row],[CEDULA ]],'OCTUBRE 2025'!$C$8:$J$57,8,0)</f>
        <v>817.76</v>
      </c>
      <c r="H27" s="602">
        <f>+VLOOKUP(Tabla3[[#This Row],[CEDULA ]],'Conversión-HE'!$C$20:$I$70,6,0)</f>
        <v>0</v>
      </c>
      <c r="I27" s="602">
        <f>+VLOOKUP(Tabla3[[#This Row],[CEDULA ]],'Conversión-HE'!$C$20:$I$70,7,0)</f>
        <v>0</v>
      </c>
      <c r="J27" s="328">
        <f t="shared" si="0"/>
        <v>0</v>
      </c>
      <c r="K27" s="328">
        <f t="shared" si="1"/>
        <v>0</v>
      </c>
      <c r="L27" s="329">
        <f>+Tabla3[[#This Row],[US$]]+Tabla3[[#This Row],[US$,]]</f>
        <v>0</v>
      </c>
    </row>
    <row r="28" spans="2:14" ht="18.600000000000001" customHeight="1">
      <c r="B28" s="234">
        <v>21</v>
      </c>
      <c r="C28" s="184">
        <v>943322974</v>
      </c>
      <c r="D28" s="184" t="str">
        <f>+VLOOKUP(Tabla3[[#This Row],[CEDULA ]],'OCTUBRE 2025'!$C$8:$J$57,2,0)</f>
        <v>JANETA RUIZ ALEXANDRA DEL ROCIO</v>
      </c>
      <c r="E28" s="184" t="str">
        <f>+VLOOKUP(Tabla3[[#This Row],[CEDULA ]],'OCTUBRE 2025'!$C$8:$J$57,4,0)</f>
        <v>OFICIAL DE RECAUDACIONES</v>
      </c>
      <c r="F28" s="363" t="str">
        <f>+VLOOKUP(Tabla3[[#This Row],[CEDULA ]],'OCTUBRE 2025'!$C$8:$J$57,6,0)</f>
        <v>Norte</v>
      </c>
      <c r="G28" s="650">
        <f>+VLOOKUP(Tabla3[[#This Row],[CEDULA ]],'OCTUBRE 2025'!$C$8:$J$57,8,0)</f>
        <v>473.88</v>
      </c>
      <c r="H28" s="602">
        <f>+VLOOKUP(Tabla3[[#This Row],[CEDULA ]],'Conversión-HE'!$C$20:$I$70,6,0)</f>
        <v>0</v>
      </c>
      <c r="I28" s="602">
        <f>+VLOOKUP(Tabla3[[#This Row],[CEDULA ]],'Conversión-HE'!$C$20:$I$70,7,0)</f>
        <v>0</v>
      </c>
      <c r="J28" s="328">
        <f t="shared" si="0"/>
        <v>0</v>
      </c>
      <c r="K28" s="328">
        <f t="shared" si="1"/>
        <v>0</v>
      </c>
      <c r="L28" s="329">
        <f>+Tabla3[[#This Row],[US$]]+Tabla3[[#This Row],[US$,]]</f>
        <v>0</v>
      </c>
    </row>
    <row r="29" spans="2:14" ht="18.600000000000001" customHeight="1">
      <c r="B29" s="234">
        <v>22</v>
      </c>
      <c r="C29" s="184">
        <v>941096851</v>
      </c>
      <c r="D29" s="184" t="str">
        <f>+VLOOKUP(Tabla3[[#This Row],[CEDULA ]],'OCTUBRE 2025'!$C$8:$J$57,2,0)</f>
        <v>LEMA CHIRAU RAMONA MARIA</v>
      </c>
      <c r="E29" s="184" t="str">
        <f>+VLOOKUP(Tabla3[[#This Row],[CEDULA ]],'OCTUBRE 2025'!$C$8:$J$57,4,0)</f>
        <v>ASESOR DE CAPTACIONES</v>
      </c>
      <c r="F29" s="363" t="str">
        <f>+VLOOKUP(Tabla3[[#This Row],[CEDULA ]],'OCTUBRE 2025'!$C$8:$J$57,6,0)</f>
        <v>Durán</v>
      </c>
      <c r="G29" s="650">
        <f>+VLOOKUP(Tabla3[[#This Row],[CEDULA ]],'OCTUBRE 2025'!$C$8:$J$57,8,0)</f>
        <v>700</v>
      </c>
      <c r="H29" s="602">
        <f>+VLOOKUP(Tabla3[[#This Row],[CEDULA ]],'Conversión-HE'!$C$20:$I$70,6,0)</f>
        <v>0</v>
      </c>
      <c r="I29" s="602">
        <f>+VLOOKUP(Tabla3[[#This Row],[CEDULA ]],'Conversión-HE'!$C$20:$I$70,7,0)</f>
        <v>0</v>
      </c>
      <c r="J29" s="328">
        <f t="shared" si="0"/>
        <v>0</v>
      </c>
      <c r="K29" s="328">
        <f t="shared" si="1"/>
        <v>0</v>
      </c>
      <c r="L29" s="329">
        <f>+Tabla3[[#This Row],[US$]]+Tabla3[[#This Row],[US$,]]</f>
        <v>0</v>
      </c>
    </row>
    <row r="30" spans="2:14" ht="18.600000000000001" customHeight="1">
      <c r="B30" s="234">
        <v>23</v>
      </c>
      <c r="C30" s="184">
        <v>957093800</v>
      </c>
      <c r="D30" s="184" t="str">
        <f>+VLOOKUP(Tabla3[[#This Row],[CEDULA ]],'OCTUBRE 2025'!$C$8:$J$57,2,0)</f>
        <v>LEMA TADAY BRAYAN WIDINSON</v>
      </c>
      <c r="E30" s="184" t="str">
        <f>+VLOOKUP(Tabla3[[#This Row],[CEDULA ]],'OCTUBRE 2025'!$C$8:$J$57,4,0)</f>
        <v>OFICIAL DE RECAUDACIONES</v>
      </c>
      <c r="F30" s="363" t="str">
        <f>+VLOOKUP(Tabla3[[#This Row],[CEDULA ]],'OCTUBRE 2025'!$C$8:$J$57,6,0)</f>
        <v>Durán</v>
      </c>
      <c r="G30" s="650">
        <f>+VLOOKUP(Tabla3[[#This Row],[CEDULA ]],'OCTUBRE 2025'!$C$8:$J$57,8,0)</f>
        <v>473.88</v>
      </c>
      <c r="H30" s="602">
        <f>+VLOOKUP(Tabla3[[#This Row],[CEDULA ]],'Conversión-HE'!$C$20:$I$70,6,0)</f>
        <v>0</v>
      </c>
      <c r="I30" s="602">
        <f>+VLOOKUP(Tabla3[[#This Row],[CEDULA ]],'Conversión-HE'!$C$20:$I$70,7,0)</f>
        <v>0</v>
      </c>
      <c r="J30" s="328">
        <f t="shared" ref="J30" si="15">((G30/240)*1.5)*H30</f>
        <v>0</v>
      </c>
      <c r="K30" s="328">
        <f t="shared" ref="K30" si="16">+((G30/240)*2)*I30</f>
        <v>0</v>
      </c>
      <c r="L30" s="329">
        <f>+Tabla3[[#This Row],[US$]]+Tabla3[[#This Row],[US$,]]</f>
        <v>0</v>
      </c>
    </row>
    <row r="31" spans="2:14" ht="18.600000000000001" customHeight="1">
      <c r="B31" s="234">
        <v>24</v>
      </c>
      <c r="C31" s="184">
        <v>957924350</v>
      </c>
      <c r="D31" s="184" t="str">
        <f>+VLOOKUP(Tabla3[[#This Row],[CEDULA ]],'OCTUBRE 2025'!$C$8:$J$57,2,0)</f>
        <v>LLUMI YUQUILEMA MAYCOOL DANNY</v>
      </c>
      <c r="E31" s="184" t="str">
        <f>+VLOOKUP(Tabla3[[#This Row],[CEDULA ]],'OCTUBRE 2025'!$C$8:$J$57,4,0)</f>
        <v>ASESOR DE NEGOCIOS</v>
      </c>
      <c r="F31" s="363" t="str">
        <f>+VLOOKUP(Tabla3[[#This Row],[CEDULA ]],'OCTUBRE 2025'!$C$8:$J$57,6,0)</f>
        <v>Matriz</v>
      </c>
      <c r="G31" s="650">
        <f>+VLOOKUP(Tabla3[[#This Row],[CEDULA ]],'OCTUBRE 2025'!$C$8:$J$57,8,0)</f>
        <v>481</v>
      </c>
      <c r="H31" s="602">
        <f>+VLOOKUP(Tabla3[[#This Row],[CEDULA ]],'Conversión-HE'!$C$20:$I$70,6,0)</f>
        <v>0</v>
      </c>
      <c r="I31" s="602">
        <f>+VLOOKUP(Tabla3[[#This Row],[CEDULA ]],'Conversión-HE'!$C$20:$I$70,7,0)</f>
        <v>0</v>
      </c>
      <c r="J31" s="328">
        <f t="shared" si="0"/>
        <v>0</v>
      </c>
      <c r="K31" s="328">
        <f t="shared" si="1"/>
        <v>0</v>
      </c>
      <c r="L31" s="329">
        <f>+Tabla3[[#This Row],[US$]]+Tabla3[[#This Row],[US$,]]</f>
        <v>0</v>
      </c>
    </row>
    <row r="32" spans="2:14" ht="18.600000000000001" customHeight="1">
      <c r="B32" s="234">
        <v>25</v>
      </c>
      <c r="C32" s="184">
        <v>603838657</v>
      </c>
      <c r="D32" s="184" t="str">
        <f>+VLOOKUP(Tabla3[[#This Row],[CEDULA ]],'OCTUBRE 2025'!$C$8:$J$57,2,0)</f>
        <v>MALAN DELGADO JOSE ALBERTO</v>
      </c>
      <c r="E32" s="184" t="str">
        <f>+VLOOKUP(Tabla3[[#This Row],[CEDULA ]],'OCTUBRE 2025'!$C$8:$J$57,4,0)</f>
        <v>OFICIAL DE RECAUDACIONES</v>
      </c>
      <c r="F32" s="363" t="str">
        <f>+VLOOKUP(Tabla3[[#This Row],[CEDULA ]],'OCTUBRE 2025'!$C$8:$J$57,6,0)</f>
        <v>Durán</v>
      </c>
      <c r="G32" s="650">
        <f>+VLOOKUP(Tabla3[[#This Row],[CEDULA ]],'OCTUBRE 2025'!$C$8:$J$57,8,0)</f>
        <v>473.88</v>
      </c>
      <c r="H32" s="602">
        <f>+VLOOKUP(Tabla3[[#This Row],[CEDULA ]],'Conversión-HE'!$C$20:$I$70,6,0)</f>
        <v>0</v>
      </c>
      <c r="I32" s="602">
        <f>+VLOOKUP(Tabla3[[#This Row],[CEDULA ]],'Conversión-HE'!$C$20:$I$70,7,0)</f>
        <v>0</v>
      </c>
      <c r="J32" s="328">
        <f t="shared" si="0"/>
        <v>0</v>
      </c>
      <c r="K32" s="328">
        <f>+((G32/240)*2)*I32</f>
        <v>0</v>
      </c>
      <c r="L32" s="329">
        <f>+Tabla3[[#This Row],[US$]]+Tabla3[[#This Row],[US$,]]</f>
        <v>0</v>
      </c>
    </row>
    <row r="33" spans="2:12" ht="18.600000000000001" customHeight="1">
      <c r="B33" s="234">
        <v>26</v>
      </c>
      <c r="C33" s="184">
        <v>925240525</v>
      </c>
      <c r="D33" s="184" t="str">
        <f>+VLOOKUP(Tabla3[[#This Row],[CEDULA ]],'OCTUBRE 2025'!$C$8:$J$57,2,0)</f>
        <v>MALAN YUQUILEMA RAUL ALBERTO</v>
      </c>
      <c r="E33" s="184" t="str">
        <f>+VLOOKUP(Tabla3[[#This Row],[CEDULA ]],'OCTUBRE 2025'!$C$8:$J$57,4,0)</f>
        <v>ASESOR LEGAL</v>
      </c>
      <c r="F33" s="363" t="str">
        <f>+VLOOKUP(Tabla3[[#This Row],[CEDULA ]],'OCTUBRE 2025'!$C$8:$J$57,6,0)</f>
        <v>Matriz</v>
      </c>
      <c r="G33" s="650">
        <f>+VLOOKUP(Tabla3[[#This Row],[CEDULA ]],'OCTUBRE 2025'!$C$8:$J$57,8,0)</f>
        <v>2700</v>
      </c>
      <c r="H33" s="602">
        <f>+VLOOKUP(Tabla3[[#This Row],[CEDULA ]],'Conversión-HE'!$C$20:$I$70,6,0)</f>
        <v>0</v>
      </c>
      <c r="I33" s="602">
        <f>+VLOOKUP(Tabla3[[#This Row],[CEDULA ]],'Conversión-HE'!$C$20:$I$70,7,0)</f>
        <v>0</v>
      </c>
      <c r="J33" s="328">
        <f t="shared" si="0"/>
        <v>0</v>
      </c>
      <c r="K33" s="328">
        <f t="shared" si="1"/>
        <v>0</v>
      </c>
      <c r="L33" s="329">
        <f>+Tabla3[[#This Row],[US$]]+Tabla3[[#This Row],[US$,]]</f>
        <v>0</v>
      </c>
    </row>
    <row r="34" spans="2:12" ht="18.600000000000001" customHeight="1">
      <c r="B34" s="234">
        <v>27</v>
      </c>
      <c r="C34" s="184">
        <v>954520599</v>
      </c>
      <c r="D34" s="184" t="str">
        <f>+VLOOKUP(Tabla3[[#This Row],[CEDULA ]],'OCTUBRE 2025'!$C$8:$J$57,2,0)</f>
        <v>MARSHALL VEGA YULIANA LISSETT</v>
      </c>
      <c r="E34" s="184" t="str">
        <f>+VLOOKUP(Tabla3[[#This Row],[CEDULA ]],'OCTUBRE 2025'!$C$8:$J$57,4,0)</f>
        <v>ASESOR DE NEGOCIOS</v>
      </c>
      <c r="F34" s="363" t="str">
        <f>+VLOOKUP(Tabla3[[#This Row],[CEDULA ]],'OCTUBRE 2025'!$C$8:$J$57,6,0)</f>
        <v>Durán</v>
      </c>
      <c r="G34" s="650">
        <f>+VLOOKUP(Tabla3[[#This Row],[CEDULA ]],'OCTUBRE 2025'!$C$8:$J$57,8,0)</f>
        <v>613.32000000000005</v>
      </c>
      <c r="H34" s="602">
        <f>+VLOOKUP(Tabla3[[#This Row],[CEDULA ]],'Conversión-HE'!$C$20:$I$70,6,0)</f>
        <v>0</v>
      </c>
      <c r="I34" s="602">
        <f>+VLOOKUP(Tabla3[[#This Row],[CEDULA ]],'Conversión-HE'!$C$20:$I$70,7,0)</f>
        <v>0</v>
      </c>
      <c r="J34" s="328">
        <f t="shared" si="0"/>
        <v>0</v>
      </c>
      <c r="K34" s="328">
        <f t="shared" si="1"/>
        <v>0</v>
      </c>
      <c r="L34" s="329">
        <f>+Tabla3[[#This Row],[US$]]+Tabla3[[#This Row],[US$,]]</f>
        <v>0</v>
      </c>
    </row>
    <row r="35" spans="2:12" ht="18.600000000000001" customHeight="1">
      <c r="B35" s="234">
        <v>28</v>
      </c>
      <c r="C35" s="184" t="s">
        <v>281</v>
      </c>
      <c r="D35" s="184" t="str">
        <f>+VLOOKUP(Tabla3[[#This Row],[CEDULA ]],'OCTUBRE 2025'!$C$8:$J$57,2,0)</f>
        <v>MEZA RODRIGUEZ MICHAEL FERNANDO</v>
      </c>
      <c r="E35" s="184" t="str">
        <f>+VLOOKUP(Tabla3[[#This Row],[CEDULA ]],'OCTUBRE 2025'!$C$8:$J$57,4,0)</f>
        <v>OFICIAL DE RECAUDACIONES</v>
      </c>
      <c r="F35" s="363" t="str">
        <f>+VLOOKUP(Tabla3[[#This Row],[CEDULA ]],'OCTUBRE 2025'!$C$8:$J$57,6,0)</f>
        <v>Norte</v>
      </c>
      <c r="G35" s="650">
        <f>+VLOOKUP(Tabla3[[#This Row],[CEDULA ]],'OCTUBRE 2025'!$C$8:$J$57,8,0)</f>
        <v>473.88</v>
      </c>
      <c r="H35" s="602">
        <f>+VLOOKUP(Tabla3[[#This Row],[CEDULA ]],'Conversión-HE'!$C$20:$I$70,6,0)</f>
        <v>0</v>
      </c>
      <c r="I35" s="602">
        <f>+VLOOKUP(Tabla3[[#This Row],[CEDULA ]],'Conversión-HE'!$C$20:$I$70,7,0)</f>
        <v>0</v>
      </c>
      <c r="J35" s="328">
        <f t="shared" ref="J35:J36" si="17">((G35/240)*1.5)*H35</f>
        <v>0</v>
      </c>
      <c r="K35" s="328">
        <f t="shared" ref="K35" si="18">+((G35/240)*2)*I35</f>
        <v>0</v>
      </c>
      <c r="L35" s="329">
        <f>+Tabla3[[#This Row],[US$]]+Tabla3[[#This Row],[US$,]]</f>
        <v>0</v>
      </c>
    </row>
    <row r="36" spans="2:12" ht="18.600000000000001" customHeight="1">
      <c r="B36" s="234">
        <v>29</v>
      </c>
      <c r="C36" s="184" t="s">
        <v>245</v>
      </c>
      <c r="D36" s="184" t="str">
        <f>+VLOOKUP(Tabla3[[#This Row],[CEDULA ]],'OCTUBRE 2025'!$C$8:$J$57,2,0)</f>
        <v>MORAN GARCIA DANNY FAVIAN</v>
      </c>
      <c r="E36" s="184" t="str">
        <f>+VLOOKUP(Tabla3[[#This Row],[CEDULA ]],'OCTUBRE 2025'!$C$8:$J$57,4,0)</f>
        <v>OFICIAL DE CUMPLIMIENTO</v>
      </c>
      <c r="F36" s="363" t="str">
        <f>+VLOOKUP(Tabla3[[#This Row],[CEDULA ]],'OCTUBRE 2025'!$C$8:$J$57,6,0)</f>
        <v>Matriz</v>
      </c>
      <c r="G36" s="650">
        <f>+VLOOKUP(Tabla3[[#This Row],[CEDULA ]],'OCTUBRE 2025'!$C$8:$J$57,8,0)</f>
        <v>600</v>
      </c>
      <c r="H36" s="602">
        <f>+VLOOKUP(Tabla3[[#This Row],[CEDULA ]],'Conversión-HE'!$C$20:$I$70,6,0)</f>
        <v>0</v>
      </c>
      <c r="I36" s="602">
        <f>+VLOOKUP(Tabla3[[#This Row],[CEDULA ]],'Conversión-HE'!$C$20:$I$70,7,0)</f>
        <v>0</v>
      </c>
      <c r="J36" s="328">
        <f t="shared" si="17"/>
        <v>0</v>
      </c>
      <c r="K36" s="328">
        <f>+((G36/240)*2)*I36</f>
        <v>0</v>
      </c>
      <c r="L36" s="329">
        <f>+Tabla3[[#This Row],[US$]]+Tabla3[[#This Row],[US$,]]</f>
        <v>0</v>
      </c>
    </row>
    <row r="37" spans="2:12" ht="18.600000000000001" customHeight="1">
      <c r="B37" s="234">
        <v>30</v>
      </c>
      <c r="C37" s="184" t="s">
        <v>332</v>
      </c>
      <c r="D37" s="184" t="str">
        <f>+VLOOKUP(Tabla3[[#This Row],[CEDULA ]],'OCTUBRE 2025'!$C$8:$J$57,2,0)</f>
        <v>MOREIRA ESPINOZA LINDA ELIZABETH</v>
      </c>
      <c r="E37" s="184" t="str">
        <f>+VLOOKUP(Tabla3[[#This Row],[CEDULA ]],'OCTUBRE 2025'!$C$8:$J$57,4,0)</f>
        <v>CAJERO FINANCIERO</v>
      </c>
      <c r="F37" s="363" t="str">
        <f>+VLOOKUP(Tabla3[[#This Row],[CEDULA ]],'OCTUBRE 2025'!$C$8:$J$57,6,0)</f>
        <v>Durán</v>
      </c>
      <c r="G37" s="650">
        <f>+VLOOKUP(Tabla3[[#This Row],[CEDULA ]],'OCTUBRE 2025'!$C$8:$J$57,8,0)</f>
        <v>481</v>
      </c>
      <c r="H37" s="602">
        <f>+VLOOKUP(Tabla3[[#This Row],[CEDULA ]],'Conversión-HE'!$C$20:$I$70,6,0)</f>
        <v>0</v>
      </c>
      <c r="I37" s="602">
        <f>+VLOOKUP(Tabla3[[#This Row],[CEDULA ]],'Conversión-HE'!$C$20:$I$70,7,0)</f>
        <v>0</v>
      </c>
      <c r="J37" s="328">
        <f t="shared" ref="J37:J39" si="19">((G37/240)*1.5)*H37</f>
        <v>0</v>
      </c>
      <c r="K37" s="328">
        <f t="shared" ref="K37:K39" si="20">+((G37/240)*2)*I37</f>
        <v>0</v>
      </c>
      <c r="L37" s="329">
        <f>+Tabla3[[#This Row],[US$]]+Tabla3[[#This Row],[US$,]]</f>
        <v>0</v>
      </c>
    </row>
    <row r="38" spans="2:12" ht="18.600000000000001" customHeight="1">
      <c r="B38" s="234">
        <v>31</v>
      </c>
      <c r="C38" s="184">
        <v>955395686</v>
      </c>
      <c r="D38" s="184" t="str">
        <f>+VLOOKUP(Tabla3[[#This Row],[CEDULA ]],'OCTUBRE 2025'!$C$8:$J$57,2,0)</f>
        <v>MOROCHO DUCHI SANDRA STEPHANIE</v>
      </c>
      <c r="E38" s="184" t="str">
        <f>+VLOOKUP(Tabla3[[#This Row],[CEDULA ]],'OCTUBRE 2025'!$C$8:$J$57,4,0)</f>
        <v>ASESOR DE NEGOCIOS</v>
      </c>
      <c r="F38" s="363" t="str">
        <f>+VLOOKUP(Tabla3[[#This Row],[CEDULA ]],'OCTUBRE 2025'!$C$8:$J$57,6,0)</f>
        <v>Norte</v>
      </c>
      <c r="G38" s="650">
        <f>+VLOOKUP(Tabla3[[#This Row],[CEDULA ]],'OCTUBRE 2025'!$C$8:$J$57,8,0)</f>
        <v>613.32000000000005</v>
      </c>
      <c r="H38" s="602">
        <f>+VLOOKUP(Tabla3[[#This Row],[CEDULA ]],'Conversión-HE'!$C$20:$I$70,6,0)</f>
        <v>0</v>
      </c>
      <c r="I38" s="602">
        <f>+VLOOKUP(Tabla3[[#This Row],[CEDULA ]],'Conversión-HE'!$C$20:$I$70,7,0)</f>
        <v>0</v>
      </c>
      <c r="J38" s="328">
        <f t="shared" ref="J38" si="21">((G38/240)*1.5)*H38</f>
        <v>0</v>
      </c>
      <c r="K38" s="328">
        <f t="shared" ref="K38" si="22">+((G38/240)*2)*I38</f>
        <v>0</v>
      </c>
      <c r="L38" s="329">
        <f>+Tabla3[[#This Row],[US$]]+Tabla3[[#This Row],[US$,]]</f>
        <v>0</v>
      </c>
    </row>
    <row r="39" spans="2:12" ht="18.600000000000001" customHeight="1">
      <c r="B39" s="234">
        <v>32</v>
      </c>
      <c r="C39" s="184">
        <v>940991987</v>
      </c>
      <c r="D39" s="184" t="str">
        <f>+VLOOKUP(Tabla3[[#This Row],[CEDULA ]],'OCTUBRE 2025'!$C$8:$J$57,2,0)</f>
        <v>MOROCHO YANTALEMA DINA MAGALY</v>
      </c>
      <c r="E39" s="184" t="str">
        <f>+VLOOKUP(Tabla3[[#This Row],[CEDULA ]],'OCTUBRE 2025'!$C$8:$J$57,4,0)</f>
        <v>TALENTO HUMANO</v>
      </c>
      <c r="F39" s="363" t="str">
        <f>+VLOOKUP(Tabla3[[#This Row],[CEDULA ]],'OCTUBRE 2025'!$C$8:$J$57,6,0)</f>
        <v>Matriz</v>
      </c>
      <c r="G39" s="650">
        <f>+VLOOKUP(Tabla3[[#This Row],[CEDULA ]],'OCTUBRE 2025'!$C$8:$J$57,8,0)</f>
        <v>766.65</v>
      </c>
      <c r="H39" s="602">
        <f>+VLOOKUP(Tabla3[[#This Row],[CEDULA ]],'Conversión-HE'!$C$20:$I$70,6,0)</f>
        <v>0</v>
      </c>
      <c r="I39" s="602">
        <f>+VLOOKUP(Tabla3[[#This Row],[CEDULA ]],'Conversión-HE'!$C$20:$I$70,7,0)</f>
        <v>0</v>
      </c>
      <c r="J39" s="328">
        <f t="shared" si="19"/>
        <v>0</v>
      </c>
      <c r="K39" s="328">
        <f t="shared" si="20"/>
        <v>0</v>
      </c>
      <c r="L39" s="329">
        <f>+Tabla3[[#This Row],[US$]]+Tabla3[[#This Row],[US$,]]</f>
        <v>0</v>
      </c>
    </row>
    <row r="40" spans="2:12" ht="18.600000000000001" customHeight="1">
      <c r="B40" s="234">
        <v>33</v>
      </c>
      <c r="C40" s="184">
        <v>956929277</v>
      </c>
      <c r="D40" s="184" t="str">
        <f>+VLOOKUP(Tabla3[[#This Row],[CEDULA ]],'OCTUBRE 2025'!$C$8:$J$57,2,0)</f>
        <v>NAULA CRIOLLO CINTHYA ABIGAIL</v>
      </c>
      <c r="E40" s="184" t="str">
        <f>+VLOOKUP(Tabla3[[#This Row],[CEDULA ]],'OCTUBRE 2025'!$C$8:$J$57,4,0)</f>
        <v>CAJERO FINANCIERO</v>
      </c>
      <c r="F40" s="363" t="str">
        <f>+VLOOKUP(Tabla3[[#This Row],[CEDULA ]],'OCTUBRE 2025'!$C$8:$J$57,6,0)</f>
        <v>Matriz</v>
      </c>
      <c r="G40" s="650">
        <f>+VLOOKUP(Tabla3[[#This Row],[CEDULA ]],'OCTUBRE 2025'!$C$8:$J$57,8,0)</f>
        <v>481</v>
      </c>
      <c r="H40" s="602">
        <f>+VLOOKUP(Tabla3[[#This Row],[CEDULA ]],'Conversión-HE'!$C$20:$I$70,6,0)</f>
        <v>0</v>
      </c>
      <c r="I40" s="602">
        <f>+VLOOKUP(Tabla3[[#This Row],[CEDULA ]],'Conversión-HE'!$C$20:$I$70,7,0)</f>
        <v>0</v>
      </c>
      <c r="J40" s="328">
        <f>((G40/240)*1.5)*H40</f>
        <v>0</v>
      </c>
      <c r="K40" s="328">
        <f>+((G40/240)*2)*I40</f>
        <v>0</v>
      </c>
      <c r="L40" s="329">
        <f>+Tabla3[[#This Row],[US$]]+Tabla3[[#This Row],[US$,]]</f>
        <v>0</v>
      </c>
    </row>
    <row r="41" spans="2:12" ht="18.600000000000001" customHeight="1">
      <c r="B41" s="234">
        <v>34</v>
      </c>
      <c r="C41" s="184">
        <v>951763994</v>
      </c>
      <c r="D41" s="184" t="str">
        <f>+VLOOKUP(Tabla3[[#This Row],[CEDULA ]],'OCTUBRE 2025'!$C$8:$J$57,2,0)</f>
        <v>NEVAREZ PEÑAFIEL EVELYN JULEXY</v>
      </c>
      <c r="E41" s="184" t="str">
        <f>+VLOOKUP(Tabla3[[#This Row],[CEDULA ]],'OCTUBRE 2025'!$C$8:$J$57,4,0)</f>
        <v>ASESOR DE CAPTACIONES</v>
      </c>
      <c r="F41" s="363" t="str">
        <f>+VLOOKUP(Tabla3[[#This Row],[CEDULA ]],'OCTUBRE 2025'!$C$8:$J$57,6,0)</f>
        <v>Norte</v>
      </c>
      <c r="G41" s="650">
        <f>+VLOOKUP(Tabla3[[#This Row],[CEDULA ]],'OCTUBRE 2025'!$C$8:$J$57,8,0)</f>
        <v>475.85</v>
      </c>
      <c r="H41" s="602">
        <f>+VLOOKUP(Tabla3[[#This Row],[CEDULA ]],'Conversión-HE'!$C$20:$I$70,6,0)</f>
        <v>0</v>
      </c>
      <c r="I41" s="602">
        <f>+VLOOKUP(Tabla3[[#This Row],[CEDULA ]],'Conversión-HE'!$C$20:$I$70,7,0)</f>
        <v>0</v>
      </c>
      <c r="J41" s="328">
        <f t="shared" si="0"/>
        <v>0</v>
      </c>
      <c r="K41" s="328">
        <f t="shared" si="1"/>
        <v>0</v>
      </c>
      <c r="L41" s="329">
        <f>+Tabla3[[#This Row],[US$]]+Tabla3[[#This Row],[US$,]]</f>
        <v>0</v>
      </c>
    </row>
    <row r="42" spans="2:12" ht="18.600000000000001" customHeight="1">
      <c r="B42" s="234">
        <v>35</v>
      </c>
      <c r="C42" s="184">
        <v>950703199</v>
      </c>
      <c r="D42" s="184" t="str">
        <f>+VLOOKUP(Tabla3[[#This Row],[CEDULA ]],'OCTUBRE 2025'!$C$8:$J$57,2,0)</f>
        <v>ÑAMO GUALACEO BRYAN JAVIER</v>
      </c>
      <c r="E42" s="184" t="str">
        <f>+VLOOKUP(Tabla3[[#This Row],[CEDULA ]],'OCTUBRE 2025'!$C$8:$J$57,4,0)</f>
        <v>OFICIAL DE RECAUDACIONES</v>
      </c>
      <c r="F42" s="363" t="str">
        <f>+VLOOKUP(Tabla3[[#This Row],[CEDULA ]],'OCTUBRE 2025'!$C$8:$J$57,6,0)</f>
        <v>Matriz</v>
      </c>
      <c r="G42" s="650">
        <f>+VLOOKUP(Tabla3[[#This Row],[CEDULA ]],'OCTUBRE 2025'!$C$8:$J$57,8,0)</f>
        <v>473.88</v>
      </c>
      <c r="H42" s="602">
        <f>+VLOOKUP(Tabla3[[#This Row],[CEDULA ]],'Conversión-HE'!$C$20:$I$70,6,0)</f>
        <v>0</v>
      </c>
      <c r="I42" s="602">
        <f>+VLOOKUP(Tabla3[[#This Row],[CEDULA ]],'Conversión-HE'!$C$20:$I$70,7,0)</f>
        <v>0</v>
      </c>
      <c r="J42" s="328">
        <f t="shared" si="0"/>
        <v>0</v>
      </c>
      <c r="K42" s="328">
        <f t="shared" si="1"/>
        <v>0</v>
      </c>
      <c r="L42" s="329">
        <f>+Tabla3[[#This Row],[US$]]+Tabla3[[#This Row],[US$,]]</f>
        <v>0</v>
      </c>
    </row>
    <row r="43" spans="2:12" ht="18.600000000000001" customHeight="1">
      <c r="B43" s="234">
        <v>36</v>
      </c>
      <c r="C43" s="184" t="s">
        <v>434</v>
      </c>
      <c r="D43" s="184" t="str">
        <f>+VLOOKUP(Tabla3[[#This Row],[CEDULA ]],'OCTUBRE 2025'!$C$8:$J$57,2,0)</f>
        <v>ORELLANA MANZO WHITNEY YAILYN</v>
      </c>
      <c r="E43" s="184" t="str">
        <f>+VLOOKUP(Tabla3[[#This Row],[CEDULA ]],'OCTUBRE 2025'!$C$8:$J$57,4,0)</f>
        <v>OFICIAL DE SEGURIDAD DE LA INFORMACIÓN</v>
      </c>
      <c r="F43" s="363" t="str">
        <f>+VLOOKUP(Tabla3[[#This Row],[CEDULA ]],'OCTUBRE 2025'!$C$8:$J$57,6,0)</f>
        <v>Matriz</v>
      </c>
      <c r="G43" s="650">
        <f>+VLOOKUP(Tabla3[[#This Row],[CEDULA ]],'OCTUBRE 2025'!$C$8:$J$57,8,0)</f>
        <v>600</v>
      </c>
      <c r="H43" s="602">
        <f>+VLOOKUP(Tabla3[[#This Row],[CEDULA ]],'Conversión-HE'!$C$20:$I$70,6,0)</f>
        <v>0</v>
      </c>
      <c r="I43" s="602">
        <f>+VLOOKUP(Tabla3[[#This Row],[CEDULA ]],'Conversión-HE'!$C$20:$I$70,7,0)</f>
        <v>0</v>
      </c>
      <c r="J43" s="328">
        <f t="shared" ref="J43" si="23">((G43/240)*1.5)*H43</f>
        <v>0</v>
      </c>
      <c r="K43" s="328">
        <f t="shared" ref="K43" si="24">+((G43/240)*2)*I43</f>
        <v>0</v>
      </c>
      <c r="L43" s="329">
        <f>+Tabla3[[#This Row],[US$]]+Tabla3[[#This Row],[US$,]]</f>
        <v>0</v>
      </c>
    </row>
    <row r="44" spans="2:12" ht="18.600000000000001" customHeight="1">
      <c r="B44" s="234">
        <v>37</v>
      </c>
      <c r="C44" s="184">
        <v>925830689</v>
      </c>
      <c r="D44" s="184" t="str">
        <f>+VLOOKUP(Tabla3[[#This Row],[CEDULA ]],'OCTUBRE 2025'!$C$8:$J$57,2,0)</f>
        <v>PERALTA MENDEZ LINA LISSETTE</v>
      </c>
      <c r="E44" s="184" t="str">
        <f>+VLOOKUP(Tabla3[[#This Row],[CEDULA ]],'OCTUBRE 2025'!$C$8:$J$57,4,0)</f>
        <v>JEFE DE CRÉDITO</v>
      </c>
      <c r="F44" s="363" t="str">
        <f>+VLOOKUP(Tabla3[[#This Row],[CEDULA ]],'OCTUBRE 2025'!$C$8:$J$57,6,0)</f>
        <v>Matriz</v>
      </c>
      <c r="G44" s="650">
        <f>+VLOOKUP(Tabla3[[#This Row],[CEDULA ]],'OCTUBRE 2025'!$C$8:$J$57,8,0)</f>
        <v>1022.2</v>
      </c>
      <c r="H44" s="602">
        <f>+VLOOKUP(Tabla3[[#This Row],[CEDULA ]],'Conversión-HE'!$C$20:$I$70,6,0)</f>
        <v>0</v>
      </c>
      <c r="I44" s="602">
        <f>+VLOOKUP(Tabla3[[#This Row],[CEDULA ]],'Conversión-HE'!$C$20:$I$70,7,0)</f>
        <v>0</v>
      </c>
      <c r="J44" s="328">
        <f t="shared" si="0"/>
        <v>0</v>
      </c>
      <c r="K44" s="328">
        <f t="shared" si="1"/>
        <v>0</v>
      </c>
      <c r="L44" s="329">
        <f>+Tabla3[[#This Row],[US$]]+Tabla3[[#This Row],[US$,]]</f>
        <v>0</v>
      </c>
    </row>
    <row r="45" spans="2:12" ht="18.600000000000001" customHeight="1">
      <c r="B45" s="234">
        <v>38</v>
      </c>
      <c r="C45" s="184">
        <v>944034842</v>
      </c>
      <c r="D45" s="184" t="str">
        <f>+VLOOKUP(Tabla3[[#This Row],[CEDULA ]],'OCTUBRE 2025'!$C$8:$J$57,2,0)</f>
        <v>PEREZ ZAMORA ANA DE LOS ANGELES</v>
      </c>
      <c r="E45" s="184" t="str">
        <f>+VLOOKUP(Tabla3[[#This Row],[CEDULA ]],'OCTUBRE 2025'!$C$8:$J$57,4,0)</f>
        <v>CAJERO FINANCIERO</v>
      </c>
      <c r="F45" s="363" t="str">
        <f>+VLOOKUP(Tabla3[[#This Row],[CEDULA ]],'OCTUBRE 2025'!$C$8:$J$57,6,0)</f>
        <v>Matriz</v>
      </c>
      <c r="G45" s="650">
        <f>+VLOOKUP(Tabla3[[#This Row],[CEDULA ]],'OCTUBRE 2025'!$C$8:$J$57,8,0)</f>
        <v>256.52999999999997</v>
      </c>
      <c r="H45" s="602">
        <f>+VLOOKUP(Tabla3[[#This Row],[CEDULA ]],'Conversión-HE'!$C$20:$I$70,6,0)</f>
        <v>0</v>
      </c>
      <c r="I45" s="602">
        <f>+VLOOKUP(Tabla3[[#This Row],[CEDULA ]],'Conversión-HE'!$C$20:$I$70,7,0)</f>
        <v>0</v>
      </c>
      <c r="J45" s="328">
        <f t="shared" ref="J45" si="25">((G45/240)*1.5)*H45</f>
        <v>0</v>
      </c>
      <c r="K45" s="328">
        <f t="shared" ref="K45" si="26">+((G45/240)*2)*I45</f>
        <v>0</v>
      </c>
      <c r="L45" s="329">
        <f>+Tabla3[[#This Row],[US$]]+Tabla3[[#This Row],[US$,]]</f>
        <v>0</v>
      </c>
    </row>
    <row r="46" spans="2:12" ht="18.600000000000001" customHeight="1">
      <c r="B46" s="234">
        <v>39</v>
      </c>
      <c r="C46" s="184">
        <v>951340702</v>
      </c>
      <c r="D46" s="184" t="str">
        <f>+VLOOKUP(Tabla3[[#This Row],[CEDULA ]],'OCTUBRE 2025'!$C$8:$J$57,2,0)</f>
        <v>QUITO CALDERON JONATHAN ENRIQUE</v>
      </c>
      <c r="E46" s="184" t="str">
        <f>+VLOOKUP(Tabla3[[#This Row],[CEDULA ]],'OCTUBRE 2025'!$C$8:$J$57,4,0)</f>
        <v>JEFE DE COBRANZAS</v>
      </c>
      <c r="F46" s="363" t="str">
        <f>+VLOOKUP(Tabla3[[#This Row],[CEDULA ]],'OCTUBRE 2025'!$C$8:$J$57,6,0)</f>
        <v>Matriz</v>
      </c>
      <c r="G46" s="650">
        <f>+VLOOKUP(Tabla3[[#This Row],[CEDULA ]],'OCTUBRE 2025'!$C$8:$J$57,8,0)</f>
        <v>817.76</v>
      </c>
      <c r="H46" s="602">
        <f>+VLOOKUP(Tabla3[[#This Row],[CEDULA ]],'Conversión-HE'!$C$20:$I$70,6,0)</f>
        <v>0</v>
      </c>
      <c r="I46" s="602">
        <f>+VLOOKUP(Tabla3[[#This Row],[CEDULA ]],'Conversión-HE'!$C$20:$I$70,7,0)</f>
        <v>0</v>
      </c>
      <c r="J46" s="328">
        <f t="shared" si="0"/>
        <v>0</v>
      </c>
      <c r="K46" s="328">
        <f t="shared" si="1"/>
        <v>0</v>
      </c>
      <c r="L46" s="329">
        <f>+Tabla3[[#This Row],[US$]]+Tabla3[[#This Row],[US$,]]</f>
        <v>0</v>
      </c>
    </row>
    <row r="47" spans="2:12" ht="18.600000000000001" customHeight="1">
      <c r="B47" s="234">
        <v>40</v>
      </c>
      <c r="C47" s="184">
        <v>650112949</v>
      </c>
      <c r="D47" s="184" t="str">
        <f>+VLOOKUP(Tabla3[[#This Row],[CEDULA ]],'OCTUBRE 2025'!$C$8:$J$57,2,0)</f>
        <v>QUITO UCHUBANDA JANETH ALEXANDRA</v>
      </c>
      <c r="E47" s="184" t="str">
        <f>+VLOOKUP(Tabla3[[#This Row],[CEDULA ]],'OCTUBRE 2025'!$C$8:$J$57,4,0)</f>
        <v>OFICIAL DE RECAUDACIONES</v>
      </c>
      <c r="F47" s="363" t="str">
        <f>+VLOOKUP(Tabla3[[#This Row],[CEDULA ]],'OCTUBRE 2025'!$C$8:$J$57,6,0)</f>
        <v>Norte</v>
      </c>
      <c r="G47" s="650">
        <f>+VLOOKUP(Tabla3[[#This Row],[CEDULA ]],'OCTUBRE 2025'!$C$8:$J$57,8,0)</f>
        <v>473.88</v>
      </c>
      <c r="H47" s="602">
        <f>+VLOOKUP(Tabla3[[#This Row],[CEDULA ]],'Conversión-HE'!$C$20:$I$70,6,0)</f>
        <v>0</v>
      </c>
      <c r="I47" s="602">
        <f>+VLOOKUP(Tabla3[[#This Row],[CEDULA ]],'Conversión-HE'!$C$20:$I$70,7,0)</f>
        <v>0</v>
      </c>
      <c r="J47" s="328">
        <f t="shared" si="0"/>
        <v>0</v>
      </c>
      <c r="K47" s="328">
        <f t="shared" si="1"/>
        <v>0</v>
      </c>
      <c r="L47" s="329">
        <f>+Tabla3[[#This Row],[US$]]+Tabla3[[#This Row],[US$,]]</f>
        <v>0</v>
      </c>
    </row>
    <row r="48" spans="2:12" ht="18.600000000000001" customHeight="1">
      <c r="B48" s="234">
        <v>41</v>
      </c>
      <c r="C48" s="184">
        <v>924232804</v>
      </c>
      <c r="D48" s="184" t="str">
        <f>+VLOOKUP(Tabla3[[#This Row],[CEDULA ]],'OCTUBRE 2025'!$C$8:$J$57,2,0)</f>
        <v>RECALDE NARANJO ANGEL ALEXIS</v>
      </c>
      <c r="E48" s="184" t="str">
        <f>+VLOOKUP(Tabla3[[#This Row],[CEDULA ]],'OCTUBRE 2025'!$C$8:$J$57,4,0)</f>
        <v>JEFE TI</v>
      </c>
      <c r="F48" s="363" t="str">
        <f>+VLOOKUP(Tabla3[[#This Row],[CEDULA ]],'OCTUBRE 2025'!$C$8:$J$57,6,0)</f>
        <v>Matriz</v>
      </c>
      <c r="G48" s="650">
        <f>+VLOOKUP(Tabla3[[#This Row],[CEDULA ]],'OCTUBRE 2025'!$C$8:$J$57,8,0)</f>
        <v>1022.2</v>
      </c>
      <c r="H48" s="602">
        <f>+VLOOKUP(Tabla3[[#This Row],[CEDULA ]],'Conversión-HE'!$C$20:$I$70,6,0)</f>
        <v>0</v>
      </c>
      <c r="I48" s="602">
        <f>+VLOOKUP(Tabla3[[#This Row],[CEDULA ]],'Conversión-HE'!$C$20:$I$70,7,0)</f>
        <v>0</v>
      </c>
      <c r="J48" s="328">
        <f t="shared" si="0"/>
        <v>0</v>
      </c>
      <c r="K48" s="328">
        <f t="shared" si="1"/>
        <v>0</v>
      </c>
      <c r="L48" s="329">
        <f>+Tabla3[[#This Row],[US$]]+Tabla3[[#This Row],[US$,]]</f>
        <v>0</v>
      </c>
    </row>
    <row r="49" spans="2:22" ht="18.600000000000001" customHeight="1">
      <c r="B49" s="234">
        <v>42</v>
      </c>
      <c r="C49" s="184">
        <v>605031145</v>
      </c>
      <c r="D49" s="184" t="str">
        <f>+VLOOKUP(Tabla3[[#This Row],[CEDULA ]],'OCTUBRE 2025'!$C$8:$J$57,2,0)</f>
        <v>SALAO PEREZ GERMAN FABRICIO</v>
      </c>
      <c r="E49" s="184" t="str">
        <f>+VLOOKUP(Tabla3[[#This Row],[CEDULA ]],'OCTUBRE 2025'!$C$8:$J$57,4,0)</f>
        <v>ASESOR DE NEGOCIOS</v>
      </c>
      <c r="F49" s="363" t="str">
        <f>+VLOOKUP(Tabla3[[#This Row],[CEDULA ]],'OCTUBRE 2025'!$C$8:$J$57,6,0)</f>
        <v>Durán</v>
      </c>
      <c r="G49" s="650">
        <f>+VLOOKUP(Tabla3[[#This Row],[CEDULA ]],'OCTUBRE 2025'!$C$8:$J$57,8,0)</f>
        <v>613.32000000000005</v>
      </c>
      <c r="H49" s="602">
        <f>+VLOOKUP(Tabla3[[#This Row],[CEDULA ]],'Conversión-HE'!$C$20:$I$70,6,0)</f>
        <v>0</v>
      </c>
      <c r="I49" s="602">
        <f>+VLOOKUP(Tabla3[[#This Row],[CEDULA ]],'Conversión-HE'!$C$20:$I$70,7,0)</f>
        <v>0</v>
      </c>
      <c r="J49" s="328">
        <f t="shared" si="0"/>
        <v>0</v>
      </c>
      <c r="K49" s="328">
        <f t="shared" si="1"/>
        <v>0</v>
      </c>
      <c r="L49" s="329">
        <f>+Tabla3[[#This Row],[US$]]+Tabla3[[#This Row],[US$,]]</f>
        <v>0</v>
      </c>
    </row>
    <row r="50" spans="2:22" ht="18.600000000000001" customHeight="1">
      <c r="B50" s="234">
        <v>43</v>
      </c>
      <c r="C50" s="184">
        <v>927257576</v>
      </c>
      <c r="D50" s="184" t="str">
        <f>+VLOOKUP(Tabla3[[#This Row],[CEDULA ]],'OCTUBRE 2025'!$C$8:$J$57,2,0)</f>
        <v>SANISACA MITE ISRAEL BENJAMIN</v>
      </c>
      <c r="E50" s="184" t="str">
        <f>+VLOOKUP(Tabla3[[#This Row],[CEDULA ]],'OCTUBRE 2025'!$C$8:$J$57,4,0)</f>
        <v>JEFE DE CRÉDITO</v>
      </c>
      <c r="F50" s="363" t="str">
        <f>+VLOOKUP(Tabla3[[#This Row],[CEDULA ]],'OCTUBRE 2025'!$C$8:$J$57,6,0)</f>
        <v>Norte</v>
      </c>
      <c r="G50" s="650">
        <f>+VLOOKUP(Tabla3[[#This Row],[CEDULA ]],'OCTUBRE 2025'!$C$8:$J$57,8,0)</f>
        <v>1022.2</v>
      </c>
      <c r="H50" s="602">
        <f>+VLOOKUP(Tabla3[[#This Row],[CEDULA ]],'Conversión-HE'!$C$20:$I$70,6,0)</f>
        <v>0</v>
      </c>
      <c r="I50" s="602">
        <f>+VLOOKUP(Tabla3[[#This Row],[CEDULA ]],'Conversión-HE'!$C$20:$I$70,7,0)</f>
        <v>0</v>
      </c>
      <c r="J50" s="328">
        <f t="shared" si="0"/>
        <v>0</v>
      </c>
      <c r="K50" s="328">
        <f t="shared" si="1"/>
        <v>0</v>
      </c>
      <c r="L50" s="329">
        <f>+Tabla3[[#This Row],[US$]]+Tabla3[[#This Row],[US$,]]</f>
        <v>0</v>
      </c>
    </row>
    <row r="51" spans="2:22" ht="18.600000000000001" customHeight="1">
      <c r="B51" s="234">
        <v>44</v>
      </c>
      <c r="C51" s="184">
        <v>928901800</v>
      </c>
      <c r="D51" s="184" t="str">
        <f>+VLOOKUP(Tabla3[[#This Row],[CEDULA ]],'OCTUBRE 2025'!$C$8:$J$57,2,0)</f>
        <v>TADAY GUAMAN NÉSTOR ALONSO</v>
      </c>
      <c r="E51" s="184" t="str">
        <f>+VLOOKUP(Tabla3[[#This Row],[CEDULA ]],'OCTUBRE 2025'!$C$8:$J$57,4,0)</f>
        <v>JEFE DE BOVEDA</v>
      </c>
      <c r="F51" s="363" t="str">
        <f>+VLOOKUP(Tabla3[[#This Row],[CEDULA ]],'OCTUBRE 2025'!$C$8:$J$57,6,0)</f>
        <v>Matriz</v>
      </c>
      <c r="G51" s="650">
        <f>+VLOOKUP(Tabla3[[#This Row],[CEDULA ]],'OCTUBRE 2025'!$C$8:$J$57,8,0)</f>
        <v>511.1</v>
      </c>
      <c r="H51" s="602">
        <f>+VLOOKUP(Tabla3[[#This Row],[CEDULA ]],'Conversión-HE'!$C$20:$I$70,6,0)</f>
        <v>0</v>
      </c>
      <c r="I51" s="602">
        <f>+VLOOKUP(Tabla3[[#This Row],[CEDULA ]],'Conversión-HE'!$C$20:$I$70,7,0)</f>
        <v>0</v>
      </c>
      <c r="J51" s="328">
        <f t="shared" si="0"/>
        <v>0</v>
      </c>
      <c r="K51" s="328">
        <f t="shared" si="1"/>
        <v>0</v>
      </c>
      <c r="L51" s="329">
        <f>+Tabla3[[#This Row],[US$]]+Tabla3[[#This Row],[US$,]]</f>
        <v>0</v>
      </c>
    </row>
    <row r="52" spans="2:22" ht="18.600000000000001" customHeight="1">
      <c r="B52" s="234">
        <v>45</v>
      </c>
      <c r="C52" s="184">
        <v>951315746</v>
      </c>
      <c r="D52" s="184" t="str">
        <f>+VLOOKUP(Tabla3[[#This Row],[CEDULA ]],'OCTUBRE 2025'!$C$8:$J$57,2,0)</f>
        <v>TIGUA MONTERO KAREN LISBETH</v>
      </c>
      <c r="E52" s="184" t="str">
        <f>+VLOOKUP(Tabla3[[#This Row],[CEDULA ]],'OCTUBRE 2025'!$C$8:$J$57,4,0)</f>
        <v>ASESOR DE NEGOCIOS</v>
      </c>
      <c r="F52" s="363" t="str">
        <f>+VLOOKUP(Tabla3[[#This Row],[CEDULA ]],'OCTUBRE 2025'!$C$8:$J$57,6,0)</f>
        <v>Matriz</v>
      </c>
      <c r="G52" s="650">
        <f>+VLOOKUP(Tabla3[[#This Row],[CEDULA ]],'OCTUBRE 2025'!$C$8:$J$57,8,0)</f>
        <v>613.32000000000005</v>
      </c>
      <c r="H52" s="602">
        <f>+VLOOKUP(Tabla3[[#This Row],[CEDULA ]],'Conversión-HE'!$C$20:$I$70,6,0)</f>
        <v>0</v>
      </c>
      <c r="I52" s="602">
        <f>+VLOOKUP(Tabla3[[#This Row],[CEDULA ]],'Conversión-HE'!$C$20:$I$70,7,0)</f>
        <v>0</v>
      </c>
      <c r="J52" s="328">
        <f t="shared" si="0"/>
        <v>0</v>
      </c>
      <c r="K52" s="328">
        <f t="shared" si="1"/>
        <v>0</v>
      </c>
      <c r="L52" s="329">
        <f>+Tabla3[[#This Row],[US$]]+Tabla3[[#This Row],[US$,]]</f>
        <v>0</v>
      </c>
    </row>
    <row r="53" spans="2:22" ht="18.600000000000001" customHeight="1">
      <c r="B53" s="234">
        <v>46</v>
      </c>
      <c r="C53" s="184">
        <v>954184321</v>
      </c>
      <c r="D53" s="184" t="str">
        <f>+VLOOKUP(Tabla3[[#This Row],[CEDULA ]],'OCTUBRE 2025'!$C$8:$J$57,2,0)</f>
        <v>URQUIZO GUARANGA ALEX EFRAIN</v>
      </c>
      <c r="E53" s="184" t="str">
        <f>+VLOOKUP(Tabla3[[#This Row],[CEDULA ]],'OCTUBRE 2025'!$C$8:$J$57,4,0)</f>
        <v>OFICIAL DE RECAUDACIONES</v>
      </c>
      <c r="F53" s="363" t="str">
        <f>+VLOOKUP(Tabla3[[#This Row],[CEDULA ]],'OCTUBRE 2025'!$C$8:$J$57,6,0)</f>
        <v>Matriz</v>
      </c>
      <c r="G53" s="650">
        <f>+VLOOKUP(Tabla3[[#This Row],[CEDULA ]],'OCTUBRE 2025'!$C$8:$J$57,8,0)</f>
        <v>511.1</v>
      </c>
      <c r="H53" s="602">
        <f>+VLOOKUP(Tabla3[[#This Row],[CEDULA ]],'Conversión-HE'!$C$20:$I$70,6,0)</f>
        <v>0</v>
      </c>
      <c r="I53" s="602">
        <f>+VLOOKUP(Tabla3[[#This Row],[CEDULA ]],'Conversión-HE'!$C$20:$I$70,7,0)</f>
        <v>0</v>
      </c>
      <c r="J53" s="328">
        <f t="shared" si="0"/>
        <v>0</v>
      </c>
      <c r="K53" s="328">
        <f t="shared" si="1"/>
        <v>0</v>
      </c>
      <c r="L53" s="329">
        <f>+Tabla3[[#This Row],[US$]]+Tabla3[[#This Row],[US$,]]</f>
        <v>0</v>
      </c>
    </row>
    <row r="54" spans="2:22" ht="18.600000000000001" customHeight="1">
      <c r="B54" s="234">
        <v>47</v>
      </c>
      <c r="C54" s="184">
        <v>922034772</v>
      </c>
      <c r="D54" s="184" t="str">
        <f>+VLOOKUP(Tabla3[[#This Row],[CEDULA ]],'OCTUBRE 2025'!$C$8:$J$57,2,0)</f>
        <v>VERA GUEVARA PAOLA KARINA</v>
      </c>
      <c r="E54" s="184" t="str">
        <f>+VLOOKUP(Tabla3[[#This Row],[CEDULA ]],'OCTUBRE 2025'!$C$8:$J$57,4,0)</f>
        <v>ASESOR DE CAPTACIONES</v>
      </c>
      <c r="F54" s="363" t="str">
        <f>+VLOOKUP(Tabla3[[#This Row],[CEDULA ]],'OCTUBRE 2025'!$C$8:$J$57,6,0)</f>
        <v>Matriz</v>
      </c>
      <c r="G54" s="650">
        <f>+VLOOKUP(Tabla3[[#This Row],[CEDULA ]],'OCTUBRE 2025'!$C$8:$J$57,8,0)</f>
        <v>700</v>
      </c>
      <c r="H54" s="602">
        <f>+VLOOKUP(Tabla3[[#This Row],[CEDULA ]],'Conversión-HE'!$C$20:$I$70,6,0)</f>
        <v>0</v>
      </c>
      <c r="I54" s="602">
        <f>+VLOOKUP(Tabla3[[#This Row],[CEDULA ]],'Conversión-HE'!$C$20:$I$70,7,0)</f>
        <v>0</v>
      </c>
      <c r="J54" s="328">
        <f t="shared" si="0"/>
        <v>0</v>
      </c>
      <c r="K54" s="328">
        <f t="shared" si="1"/>
        <v>0</v>
      </c>
      <c r="L54" s="329">
        <f>+Tabla3[[#This Row],[US$]]+Tabla3[[#This Row],[US$,]]</f>
        <v>0</v>
      </c>
    </row>
    <row r="55" spans="2:22" ht="18.600000000000001" customHeight="1">
      <c r="B55" s="234">
        <v>48</v>
      </c>
      <c r="C55" s="184">
        <v>923837991</v>
      </c>
      <c r="D55" s="184" t="str">
        <f>+VLOOKUP(Tabla3[[#This Row],[CEDULA ]],'OCTUBRE 2025'!$C$8:$J$57,2,0)</f>
        <v>YUNDA CUJILEMA MARIA TERESA</v>
      </c>
      <c r="E55" s="184" t="str">
        <f>+VLOOKUP(Tabla3[[#This Row],[CEDULA ]],'OCTUBRE 2025'!$C$8:$J$57,4,0)</f>
        <v>CONTADOR GENERAL</v>
      </c>
      <c r="F55" s="363" t="str">
        <f>+VLOOKUP(Tabla3[[#This Row],[CEDULA ]],'OCTUBRE 2025'!$C$8:$J$57,6,0)</f>
        <v>Matriz</v>
      </c>
      <c r="G55" s="650">
        <f>+VLOOKUP(Tabla3[[#This Row],[CEDULA ]],'OCTUBRE 2025'!$C$8:$J$57,8,0)</f>
        <v>1022.2</v>
      </c>
      <c r="H55" s="602">
        <f>+VLOOKUP(Tabla3[[#This Row],[CEDULA ]],'Conversión-HE'!$C$20:$I$70,6,0)</f>
        <v>0</v>
      </c>
      <c r="I55" s="602">
        <f>+VLOOKUP(Tabla3[[#This Row],[CEDULA ]],'Conversión-HE'!$C$20:$I$70,7,0)</f>
        <v>0</v>
      </c>
      <c r="J55" s="328">
        <f t="shared" si="0"/>
        <v>0</v>
      </c>
      <c r="K55" s="328">
        <f t="shared" si="1"/>
        <v>0</v>
      </c>
      <c r="L55" s="329">
        <f>+Tabla3[[#This Row],[US$]]+Tabla3[[#This Row],[US$,]]</f>
        <v>0</v>
      </c>
    </row>
    <row r="56" spans="2:22" ht="18.600000000000001" customHeight="1">
      <c r="B56" s="234">
        <v>49</v>
      </c>
      <c r="C56" s="184">
        <v>941508905</v>
      </c>
      <c r="D56" s="184" t="str">
        <f>+VLOOKUP(Tabla3[[#This Row],[CEDULA ]],'OCTUBRE 2025'!$C$8:$J$57,2,0)</f>
        <v>YUQUILEMA CACUANGO ANGEL JOSE</v>
      </c>
      <c r="E56" s="184" t="str">
        <f>+VLOOKUP(Tabla3[[#This Row],[CEDULA ]],'OCTUBRE 2025'!$C$8:$J$57,4,0)</f>
        <v>OFICIAL DE RECAUDACIONES</v>
      </c>
      <c r="F56" s="363" t="str">
        <f>+VLOOKUP(Tabla3[[#This Row],[CEDULA ]],'OCTUBRE 2025'!$C$8:$J$57,6,0)</f>
        <v>Matriz</v>
      </c>
      <c r="G56" s="650">
        <f>+VLOOKUP(Tabla3[[#This Row],[CEDULA ]],'OCTUBRE 2025'!$C$8:$J$57,8,0)</f>
        <v>511.1</v>
      </c>
      <c r="H56" s="602">
        <f>+VLOOKUP(Tabla3[[#This Row],[CEDULA ]],'Conversión-HE'!$C$20:$I$70,6,0)</f>
        <v>0</v>
      </c>
      <c r="I56" s="602">
        <f>+VLOOKUP(Tabla3[[#This Row],[CEDULA ]],'Conversión-HE'!$C$20:$I$70,7,0)</f>
        <v>0</v>
      </c>
      <c r="J56" s="328">
        <f>((G56/240)*1.5)*H56</f>
        <v>0</v>
      </c>
      <c r="K56" s="328">
        <f>+((G56/240)*2)*I56</f>
        <v>0</v>
      </c>
      <c r="L56" s="329">
        <f>+Tabla3[[#This Row],[US$]]+Tabla3[[#This Row],[US$,]]</f>
        <v>0</v>
      </c>
    </row>
    <row r="57" spans="2:22" ht="18.600000000000001" customHeight="1">
      <c r="B57" s="234">
        <v>50</v>
      </c>
      <c r="C57" s="184">
        <v>604154575</v>
      </c>
      <c r="D57" s="184" t="str">
        <f>+VLOOKUP(Tabla3[[#This Row],[CEDULA ]],'OCTUBRE 2025'!$C$8:$J$57,2,0)</f>
        <v>YUQUILEMA DELGADO PEDRO ANTONIO</v>
      </c>
      <c r="E57" s="184" t="str">
        <f>+VLOOKUP(Tabla3[[#This Row],[CEDULA ]],'OCTUBRE 2025'!$C$8:$J$57,4,0)</f>
        <v>JEFE DE CRÉDITO</v>
      </c>
      <c r="F57" s="363" t="str">
        <f>+VLOOKUP(Tabla3[[#This Row],[CEDULA ]],'OCTUBRE 2025'!$C$8:$J$57,6,0)</f>
        <v>Durán</v>
      </c>
      <c r="G57" s="650">
        <f>+VLOOKUP(Tabla3[[#This Row],[CEDULA ]],'OCTUBRE 2025'!$C$8:$J$57,8,0)</f>
        <v>1022.2</v>
      </c>
      <c r="H57" s="602">
        <f>+VLOOKUP(Tabla3[[#This Row],[CEDULA ]],'Conversión-HE'!$C$20:$I$70,6,0)</f>
        <v>0</v>
      </c>
      <c r="I57" s="602">
        <f>+VLOOKUP(Tabla3[[#This Row],[CEDULA ]],'Conversión-HE'!$C$20:$I$70,7,0)</f>
        <v>0</v>
      </c>
      <c r="J57" s="328">
        <f t="shared" si="0"/>
        <v>0</v>
      </c>
      <c r="K57" s="328">
        <f t="shared" si="1"/>
        <v>0</v>
      </c>
      <c r="L57" s="329">
        <f>+Tabla3[[#This Row],[US$]]+Tabla3[[#This Row],[US$,]]</f>
        <v>0</v>
      </c>
    </row>
    <row r="58" spans="2:22" ht="18.600000000000001" customHeight="1">
      <c r="B58" s="64"/>
      <c r="C58" s="187"/>
      <c r="D58" s="189"/>
      <c r="E58" s="69"/>
      <c r="F58" s="245"/>
      <c r="G58" s="70"/>
      <c r="H58" s="569"/>
      <c r="I58" s="330"/>
      <c r="J58" s="328">
        <f t="shared" si="0"/>
        <v>0</v>
      </c>
      <c r="K58" s="328">
        <f t="shared" si="1"/>
        <v>0</v>
      </c>
      <c r="L58" s="329">
        <f>+Tabla3[[#This Row],[US$]]+Tabla3[[#This Row],[US$,]]</f>
        <v>0</v>
      </c>
      <c r="O58" s="51"/>
    </row>
    <row r="59" spans="2:22" ht="21.6" customHeight="1">
      <c r="B59" s="71"/>
      <c r="C59" s="188"/>
      <c r="D59" s="72" t="s">
        <v>32</v>
      </c>
      <c r="E59" s="72"/>
      <c r="F59" s="246"/>
      <c r="G59" s="73">
        <f>SUBTOTAL(109,Tabla3[SUELDO])</f>
        <v>30990.649999999994</v>
      </c>
      <c r="H59" s="74">
        <f>SUBTOTAL(109,Tabla3[Cantidad])</f>
        <v>0</v>
      </c>
      <c r="I59" s="75">
        <f>SUBTOTAL(109,Tabla3[Cantidad2])</f>
        <v>0</v>
      </c>
      <c r="J59" s="75">
        <f>SUBTOTAL(109,Tabla3[US$])</f>
        <v>0</v>
      </c>
      <c r="K59" s="76">
        <f>SUBTOTAL(109,Tabla3[US$,])</f>
        <v>0</v>
      </c>
      <c r="L59" s="75">
        <f>SUBTOTAL(109,Tabla3[US$,,])</f>
        <v>0</v>
      </c>
    </row>
    <row r="60" spans="2:22">
      <c r="O60" s="251"/>
      <c r="P60" s="251"/>
      <c r="Q60" s="252"/>
      <c r="R60" s="252"/>
      <c r="S60" s="251"/>
      <c r="T60" s="252"/>
      <c r="U60" s="252"/>
      <c r="V60" s="251"/>
    </row>
    <row r="61" spans="2:22">
      <c r="O61" s="253"/>
      <c r="P61" s="254"/>
      <c r="Q61" s="255"/>
      <c r="R61" s="256"/>
      <c r="S61" s="255"/>
      <c r="T61" s="257"/>
      <c r="U61" s="258"/>
      <c r="V61" s="113"/>
    </row>
    <row r="62" spans="2:22">
      <c r="O62" s="253"/>
      <c r="P62" s="254"/>
      <c r="Q62" s="255"/>
      <c r="R62" s="256"/>
      <c r="S62" s="255"/>
      <c r="T62" s="257"/>
      <c r="U62" s="258"/>
      <c r="V62" s="113"/>
    </row>
  </sheetData>
  <sheetProtection autoFilter="0"/>
  <mergeCells count="5">
    <mergeCell ref="H5:I5"/>
    <mergeCell ref="J5:K5"/>
    <mergeCell ref="L5:L6"/>
    <mergeCell ref="B2:L2"/>
    <mergeCell ref="B3:L3"/>
  </mergeCells>
  <conditionalFormatting sqref="T61:T62">
    <cfRule type="cellIs" dxfId="27" priority="1" operator="between">
      <formula>80</formula>
      <formula>85</formula>
    </cfRule>
  </conditionalFormatting>
  <dataValidations count="1">
    <dataValidation type="list" allowBlank="1" showInputMessage="1" showErrorMessage="1" sqref="V61" xr:uid="{CE269A80-992C-4CEE-8F61-C714352D7C18}">
      <formula1>$AJ$6:$AJ$33</formula1>
    </dataValidation>
  </dataValidations>
  <pageMargins left="0.48" right="0.25" top="0.33" bottom="0.41" header="0.53" footer="0.3"/>
  <pageSetup scale="5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B285-DE47-4BE2-9165-48C0438FEDCC}">
  <sheetPr codeName="Hoja8"/>
  <dimension ref="B1:L70"/>
  <sheetViews>
    <sheetView topLeftCell="A18" zoomScaleNormal="100" zoomScaleSheetLayoutView="115" workbookViewId="0">
      <selection activeCell="G37" sqref="G37"/>
    </sheetView>
  </sheetViews>
  <sheetFormatPr baseColWidth="10" defaultColWidth="11.44140625" defaultRowHeight="11.4"/>
  <cols>
    <col min="1" max="1" width="11.44140625" style="545"/>
    <col min="2" max="2" width="8" style="545" customWidth="1"/>
    <col min="3" max="3" width="9.44140625" style="545" customWidth="1"/>
    <col min="4" max="4" width="44.109375" style="546" customWidth="1"/>
    <col min="5" max="5" width="9.44140625" style="546" customWidth="1"/>
    <col min="6" max="6" width="9.5546875" style="546" customWidth="1"/>
    <col min="7" max="7" width="11" style="546" customWidth="1"/>
    <col min="8" max="8" width="12.21875" style="546" customWidth="1"/>
    <col min="9" max="9" width="11.44140625" style="545"/>
    <col min="10" max="10" width="1.77734375" style="545" customWidth="1"/>
    <col min="11" max="16384" width="11.44140625" style="545"/>
  </cols>
  <sheetData>
    <row r="1" spans="4:8" hidden="1"/>
    <row r="2" spans="4:8" ht="23.25" hidden="1" customHeight="1" thickBot="1">
      <c r="D2" s="953" t="s">
        <v>342</v>
      </c>
      <c r="E2" s="953"/>
      <c r="F2" s="953"/>
      <c r="G2" s="953"/>
      <c r="H2" s="953"/>
    </row>
    <row r="3" spans="4:8" ht="33.75" hidden="1" customHeight="1" thickBot="1">
      <c r="D3" s="560" t="s">
        <v>341</v>
      </c>
      <c r="E3" s="564"/>
      <c r="F3" s="559"/>
      <c r="G3" s="559"/>
      <c r="H3" s="559" t="s">
        <v>340</v>
      </c>
    </row>
    <row r="4" spans="4:8" hidden="1">
      <c r="D4" s="555">
        <v>4</v>
      </c>
      <c r="E4" s="565"/>
      <c r="F4" s="554"/>
      <c r="G4" s="554"/>
      <c r="H4" s="554">
        <v>0.33333333333333331</v>
      </c>
    </row>
    <row r="5" spans="4:8" hidden="1">
      <c r="D5" s="555">
        <v>5</v>
      </c>
      <c r="E5" s="565"/>
      <c r="F5" s="554"/>
      <c r="G5" s="554"/>
      <c r="H5" s="554">
        <v>0.33333333333333331</v>
      </c>
    </row>
    <row r="6" spans="4:8" hidden="1">
      <c r="D6" s="558">
        <v>6</v>
      </c>
      <c r="E6" s="566"/>
      <c r="F6" s="557"/>
      <c r="G6" s="557"/>
      <c r="H6" s="557">
        <v>0.8125</v>
      </c>
    </row>
    <row r="7" spans="4:8" hidden="1">
      <c r="D7" s="555">
        <v>7</v>
      </c>
      <c r="E7" s="565"/>
      <c r="F7" s="556"/>
      <c r="G7" s="556"/>
      <c r="H7" s="556" t="s">
        <v>339</v>
      </c>
    </row>
    <row r="8" spans="4:8" hidden="1">
      <c r="D8" s="555">
        <v>8</v>
      </c>
      <c r="E8" s="565"/>
      <c r="F8" s="554"/>
      <c r="G8" s="554"/>
      <c r="H8" s="554">
        <v>0.33333333333333331</v>
      </c>
    </row>
    <row r="9" spans="4:8" hidden="1">
      <c r="D9" s="555">
        <v>9</v>
      </c>
      <c r="E9" s="565"/>
      <c r="F9" s="554"/>
      <c r="G9" s="554"/>
      <c r="H9" s="554">
        <v>0.33333333333333331</v>
      </c>
    </row>
    <row r="10" spans="4:8" hidden="1">
      <c r="D10" s="555">
        <v>10</v>
      </c>
      <c r="E10" s="565"/>
      <c r="F10" s="554"/>
      <c r="G10" s="554"/>
      <c r="H10" s="554">
        <v>0.33333333333333331</v>
      </c>
    </row>
    <row r="11" spans="4:8" hidden="1">
      <c r="D11" s="555">
        <v>11</v>
      </c>
      <c r="E11" s="565"/>
      <c r="F11" s="554"/>
      <c r="G11" s="554"/>
      <c r="H11" s="554">
        <v>0.33333333333333331</v>
      </c>
    </row>
    <row r="12" spans="4:8" hidden="1">
      <c r="D12" s="555">
        <v>12</v>
      </c>
      <c r="E12" s="565"/>
      <c r="F12" s="554"/>
      <c r="G12" s="554"/>
      <c r="H12" s="554">
        <v>0.13541666666666666</v>
      </c>
    </row>
    <row r="13" spans="4:8" hidden="1">
      <c r="D13" s="553">
        <v>13</v>
      </c>
      <c r="E13" s="567"/>
      <c r="F13" s="552"/>
      <c r="G13" s="552"/>
      <c r="H13" s="552">
        <v>0.79166666666666663</v>
      </c>
    </row>
    <row r="14" spans="4:8" ht="2.25" hidden="1" customHeight="1" thickBot="1"/>
    <row r="15" spans="4:8" hidden="1"/>
    <row r="16" spans="4:8" hidden="1"/>
    <row r="17" spans="2:11" hidden="1"/>
    <row r="18" spans="2:11" ht="12.75" customHeight="1" thickBot="1">
      <c r="D18" s="545"/>
    </row>
    <row r="19" spans="2:11" s="551" customFormat="1" ht="20.399999999999999">
      <c r="B19" s="562" t="s">
        <v>276</v>
      </c>
      <c r="C19" s="562" t="s">
        <v>343</v>
      </c>
      <c r="D19" s="562" t="s">
        <v>338</v>
      </c>
      <c r="E19" s="568" t="s">
        <v>75</v>
      </c>
      <c r="F19" s="563" t="s">
        <v>337</v>
      </c>
      <c r="G19" s="563" t="s">
        <v>336</v>
      </c>
      <c r="H19" s="563" t="s">
        <v>347</v>
      </c>
      <c r="I19" s="563" t="s">
        <v>348</v>
      </c>
    </row>
    <row r="20" spans="2:11" s="547" customFormat="1" ht="10.8" customHeight="1">
      <c r="B20" s="546">
        <v>1</v>
      </c>
      <c r="C20" s="550">
        <v>925813685</v>
      </c>
      <c r="D20" s="549" t="str">
        <f>+VLOOKUP($C20,'OCTUBRE 2025'!$C$8:$J$57,2,0)</f>
        <v>ASITIMBAY CRIOLLO JOHN ANDERSON</v>
      </c>
      <c r="E20" s="655" t="str">
        <f>+VLOOKUP($C20,'OCTUBRE 2025'!$C$8:$J$57,6,0)</f>
        <v>Matriz</v>
      </c>
      <c r="F20" s="561"/>
      <c r="G20" s="561"/>
      <c r="H20" s="548">
        <f t="shared" ref="H20:H69" si="0">+F20*24</f>
        <v>0</v>
      </c>
      <c r="I20" s="548">
        <f>+G20*24</f>
        <v>0</v>
      </c>
    </row>
    <row r="21" spans="2:11" s="547" customFormat="1" ht="10.8" customHeight="1">
      <c r="B21" s="546">
        <f>+B20+1</f>
        <v>2</v>
      </c>
      <c r="C21" s="550">
        <v>944405737</v>
      </c>
      <c r="D21" s="549" t="str">
        <f>+VLOOKUP($C21,'OCTUBRE 2025'!$C$8:$J$57,2,0)</f>
        <v>BARAHONA ZAMBRANO DAYANA NICOLE</v>
      </c>
      <c r="E21" s="655" t="str">
        <f>+VLOOKUP($C21,'OCTUBRE 2025'!$C$8:$J$57,6,0)</f>
        <v>Matriz</v>
      </c>
      <c r="F21" s="561"/>
      <c r="G21" s="561"/>
      <c r="H21" s="548">
        <f t="shared" si="0"/>
        <v>0</v>
      </c>
      <c r="I21" s="548">
        <f t="shared" ref="I21:I69" si="1">+G21*24</f>
        <v>0</v>
      </c>
    </row>
    <row r="22" spans="2:11" s="547" customFormat="1" ht="10.8" customHeight="1">
      <c r="B22" s="546">
        <f t="shared" ref="B22:B69" si="2">+B21+1</f>
        <v>3</v>
      </c>
      <c r="C22" s="550">
        <v>604394502</v>
      </c>
      <c r="D22" s="549" t="str">
        <f>+VLOOKUP($C22,'OCTUBRE 2025'!$C$8:$J$57,2,0)</f>
        <v>BETUN CHAFLA JULIO CESAR</v>
      </c>
      <c r="E22" s="655" t="str">
        <f>+VLOOKUP($C22,'OCTUBRE 2025'!$C$8:$J$57,6,0)</f>
        <v>Matriz</v>
      </c>
      <c r="F22" s="561"/>
      <c r="G22" s="561"/>
      <c r="H22" s="548">
        <f t="shared" si="0"/>
        <v>0</v>
      </c>
      <c r="I22" s="548">
        <f t="shared" si="1"/>
        <v>0</v>
      </c>
    </row>
    <row r="23" spans="2:11" s="547" customFormat="1" ht="10.8" customHeight="1">
      <c r="B23" s="546">
        <f t="shared" si="2"/>
        <v>4</v>
      </c>
      <c r="C23" s="550">
        <v>955741970</v>
      </c>
      <c r="D23" s="549" t="str">
        <f>+VLOOKUP($C23,'OCTUBRE 2025'!$C$8:$J$57,2,0)</f>
        <v>CHACAGUASAY CHACAGUASAY ROBERTH CRISTHIAN</v>
      </c>
      <c r="E23" s="655" t="str">
        <f>+VLOOKUP($C23,'OCTUBRE 2025'!$C$8:$J$57,6,0)</f>
        <v>Matriz</v>
      </c>
      <c r="F23" s="561"/>
      <c r="G23" s="561"/>
      <c r="H23" s="548">
        <f t="shared" si="0"/>
        <v>0</v>
      </c>
      <c r="I23" s="548">
        <f t="shared" si="1"/>
        <v>0</v>
      </c>
      <c r="K23" s="739"/>
    </row>
    <row r="24" spans="2:11" s="547" customFormat="1" ht="10.8" customHeight="1">
      <c r="B24" s="546">
        <f t="shared" si="2"/>
        <v>5</v>
      </c>
      <c r="C24" s="550" t="s">
        <v>481</v>
      </c>
      <c r="D24" s="549" t="str">
        <f>+VLOOKUP($C24,'OCTUBRE 2025'!$C$8:$J$57,2,0)</f>
        <v>CHACAGUASAY GUAMAN KEVIN NEHEMIAS</v>
      </c>
      <c r="E24" s="655" t="str">
        <f>+VLOOKUP($C24,'OCTUBRE 2025'!$C$8:$J$57,6,0)</f>
        <v>Matriz</v>
      </c>
      <c r="F24" s="561"/>
      <c r="G24" s="561"/>
      <c r="H24" s="548">
        <f t="shared" ref="H24" si="3">+F24*24</f>
        <v>0</v>
      </c>
      <c r="I24" s="548">
        <f t="shared" ref="I24" si="4">+G24*24</f>
        <v>0</v>
      </c>
      <c r="K24" s="739"/>
    </row>
    <row r="25" spans="2:11" s="547" customFormat="1" ht="10.8" customHeight="1">
      <c r="B25" s="546">
        <f t="shared" si="2"/>
        <v>6</v>
      </c>
      <c r="C25" s="550">
        <v>944143148</v>
      </c>
      <c r="D25" s="549" t="str">
        <f>+VLOOKUP($C25,'OCTUBRE 2025'!$C$8:$J$57,2,0)</f>
        <v>CHIMBOLEMA YUNGAN MARIO EFRAIN</v>
      </c>
      <c r="E25" s="655" t="str">
        <f>+VLOOKUP($C25,'OCTUBRE 2025'!$C$8:$J$57,6,0)</f>
        <v>Durán</v>
      </c>
      <c r="F25" s="561"/>
      <c r="G25" s="561"/>
      <c r="H25" s="548">
        <f t="shared" ref="H25" si="5">+F25*24</f>
        <v>0</v>
      </c>
      <c r="I25" s="548">
        <f t="shared" ref="I25" si="6">+G25*24</f>
        <v>0</v>
      </c>
    </row>
    <row r="26" spans="2:11" s="547" customFormat="1" ht="10.8" customHeight="1">
      <c r="B26" s="546">
        <f t="shared" si="2"/>
        <v>7</v>
      </c>
      <c r="C26" s="550">
        <v>955325238</v>
      </c>
      <c r="D26" s="549" t="str">
        <f>+VLOOKUP($C26,'OCTUBRE 2025'!$C$8:$J$57,2,0)</f>
        <v>CHOCA CEPEDA INES VIVIANA</v>
      </c>
      <c r="E26" s="655" t="str">
        <f>+VLOOKUP($C26,'OCTUBRE 2025'!$C$8:$J$57,6,0)</f>
        <v>Matriz</v>
      </c>
      <c r="F26" s="561"/>
      <c r="G26" s="561"/>
      <c r="H26" s="548">
        <f t="shared" ref="H26" si="7">+F26*24</f>
        <v>0</v>
      </c>
      <c r="I26" s="548">
        <f t="shared" ref="I26" si="8">+G26*24</f>
        <v>0</v>
      </c>
    </row>
    <row r="27" spans="2:11" s="547" customFormat="1" ht="10.8" customHeight="1">
      <c r="B27" s="546">
        <f t="shared" si="2"/>
        <v>8</v>
      </c>
      <c r="C27" s="550">
        <v>914163654</v>
      </c>
      <c r="D27" s="549" t="str">
        <f>+VLOOKUP($C27,'OCTUBRE 2025'!$C$8:$J$57,2,0)</f>
        <v>COCA BENITEZ JORGE MANUEL</v>
      </c>
      <c r="E27" s="655" t="str">
        <f>+VLOOKUP($C27,'OCTUBRE 2025'!$C$8:$J$57,6,0)</f>
        <v>Matriz</v>
      </c>
      <c r="F27" s="561"/>
      <c r="G27" s="561"/>
      <c r="H27" s="548">
        <f t="shared" si="0"/>
        <v>0</v>
      </c>
      <c r="I27" s="548">
        <f>+G27*24</f>
        <v>0</v>
      </c>
    </row>
    <row r="28" spans="2:11" s="547" customFormat="1" ht="10.8" customHeight="1">
      <c r="B28" s="546">
        <f t="shared" si="2"/>
        <v>9</v>
      </c>
      <c r="C28" s="184">
        <v>956668305</v>
      </c>
      <c r="D28" s="549" t="str">
        <f>+VLOOKUP($C28,'OCTUBRE 2025'!$C$8:$J$57,2,0)</f>
        <v>CORO YUQUILEMA RUTH NOEMI</v>
      </c>
      <c r="E28" s="655" t="str">
        <f>+VLOOKUP($C28,'OCTUBRE 2025'!$C$8:$J$57,6,0)</f>
        <v>Matriz</v>
      </c>
      <c r="F28" s="561"/>
      <c r="G28" s="561"/>
      <c r="H28" s="548">
        <f t="shared" ref="H28:H29" si="9">+F28*24</f>
        <v>0</v>
      </c>
      <c r="I28" s="548">
        <f t="shared" ref="I28:I29" si="10">+G28*24</f>
        <v>0</v>
      </c>
    </row>
    <row r="29" spans="2:11" s="547" customFormat="1" ht="10.8" customHeight="1">
      <c r="B29" s="546">
        <f t="shared" si="2"/>
        <v>10</v>
      </c>
      <c r="C29" s="184" t="s">
        <v>485</v>
      </c>
      <c r="D29" s="549" t="str">
        <f>+VLOOKUP($C29,'OCTUBRE 2025'!$C$8:$J$57,2,0)</f>
        <v>DEFAS CHICAIZA JOEL ALBERTO</v>
      </c>
      <c r="E29" s="655" t="str">
        <f>+VLOOKUP($C29,'OCTUBRE 2025'!$C$8:$J$57,6,0)</f>
        <v>Norte</v>
      </c>
      <c r="F29" s="561"/>
      <c r="G29" s="561"/>
      <c r="H29" s="548">
        <f t="shared" si="9"/>
        <v>0</v>
      </c>
      <c r="I29" s="548">
        <f t="shared" si="10"/>
        <v>0</v>
      </c>
    </row>
    <row r="30" spans="2:11" s="547" customFormat="1" ht="10.8" customHeight="1">
      <c r="B30" s="546">
        <f t="shared" si="2"/>
        <v>11</v>
      </c>
      <c r="C30" s="754">
        <v>931097620</v>
      </c>
      <c r="D30" s="549" t="str">
        <f>+VLOOKUP($C30,'OCTUBRE 2025'!$C$8:$J$57,2,0)</f>
        <v>DEL ROSARIO RODRIGUEZ JUDY ANGELICA</v>
      </c>
      <c r="E30" s="655" t="str">
        <f>+VLOOKUP($C30,'OCTUBRE 2025'!$C$8:$J$57,6,0)</f>
        <v>Norte</v>
      </c>
      <c r="F30" s="561"/>
      <c r="G30" s="561"/>
      <c r="H30" s="548">
        <f t="shared" ref="H30" si="11">+F30*24</f>
        <v>0</v>
      </c>
      <c r="I30" s="548">
        <f t="shared" ref="I30" si="12">+G30*24</f>
        <v>0</v>
      </c>
    </row>
    <row r="31" spans="2:11" s="547" customFormat="1" ht="10.8" customHeight="1">
      <c r="B31" s="546">
        <f t="shared" si="2"/>
        <v>12</v>
      </c>
      <c r="C31" s="550">
        <v>1105483422</v>
      </c>
      <c r="D31" s="549" t="str">
        <f>+VLOOKUP($C31,'OCTUBRE 2025'!$C$8:$J$57,2,0)</f>
        <v>FLORES HERRERA WENDY DEL CISNE</v>
      </c>
      <c r="E31" s="655" t="str">
        <f>+VLOOKUP($C31,'OCTUBRE 2025'!$C$8:$J$57,6,0)</f>
        <v>Durán</v>
      </c>
      <c r="F31" s="561"/>
      <c r="G31" s="561"/>
      <c r="H31" s="548">
        <f t="shared" si="0"/>
        <v>0</v>
      </c>
      <c r="I31" s="548">
        <f t="shared" si="1"/>
        <v>0</v>
      </c>
    </row>
    <row r="32" spans="2:11" s="547" customFormat="1" ht="10.8" customHeight="1">
      <c r="B32" s="546">
        <f t="shared" si="2"/>
        <v>13</v>
      </c>
      <c r="C32" s="550">
        <v>942614645</v>
      </c>
      <c r="D32" s="549" t="str">
        <f>+VLOOKUP($C32,'OCTUBRE 2025'!$C$8:$J$57,2,0)</f>
        <v>FUELA TOABANDA JOSUE CHRISTIAN</v>
      </c>
      <c r="E32" s="655" t="str">
        <f>+VLOOKUP($C32,'OCTUBRE 2025'!$C$8:$J$57,6,0)</f>
        <v>Matriz</v>
      </c>
      <c r="F32" s="561"/>
      <c r="G32" s="561"/>
      <c r="H32" s="548">
        <f>+F32*24</f>
        <v>0</v>
      </c>
      <c r="I32" s="548">
        <f t="shared" si="1"/>
        <v>0</v>
      </c>
    </row>
    <row r="33" spans="2:12" s="547" customFormat="1" ht="10.8" customHeight="1">
      <c r="B33" s="546">
        <f t="shared" si="2"/>
        <v>14</v>
      </c>
      <c r="C33" s="550">
        <v>951200062</v>
      </c>
      <c r="D33" s="549" t="str">
        <f>+VLOOKUP($C33,'OCTUBRE 2025'!$C$8:$J$57,2,0)</f>
        <v>GALAN LEMACHE INGRID GISELA</v>
      </c>
      <c r="E33" s="655" t="str">
        <f>+VLOOKUP($C33,'OCTUBRE 2025'!$C$8:$J$57,6,0)</f>
        <v>Norte</v>
      </c>
      <c r="F33" s="561"/>
      <c r="G33" s="561"/>
      <c r="H33" s="548">
        <f t="shared" si="0"/>
        <v>0</v>
      </c>
      <c r="I33" s="548">
        <f>+G33*24</f>
        <v>0</v>
      </c>
    </row>
    <row r="34" spans="2:12" s="547" customFormat="1" ht="10.8" customHeight="1">
      <c r="B34" s="546">
        <f t="shared" si="2"/>
        <v>15</v>
      </c>
      <c r="C34" s="550">
        <v>950929232</v>
      </c>
      <c r="D34" s="549" t="str">
        <f>+VLOOKUP($C34,'OCTUBRE 2025'!$C$8:$J$57,2,0)</f>
        <v>GARCIA VERA HENRY  LUIS</v>
      </c>
      <c r="E34" s="655" t="str">
        <f>+VLOOKUP($C34,'OCTUBRE 2025'!$C$8:$J$57,6,0)</f>
        <v>Norte</v>
      </c>
      <c r="F34" s="561"/>
      <c r="G34" s="561"/>
      <c r="H34" s="548">
        <f t="shared" si="0"/>
        <v>0</v>
      </c>
      <c r="I34" s="548">
        <f t="shared" si="1"/>
        <v>0</v>
      </c>
    </row>
    <row r="35" spans="2:12" s="547" customFormat="1" ht="10.8" customHeight="1">
      <c r="B35" s="546">
        <f t="shared" si="2"/>
        <v>16</v>
      </c>
      <c r="C35" s="550">
        <v>953819646</v>
      </c>
      <c r="D35" s="549" t="str">
        <f>+VLOOKUP($C35,'OCTUBRE 2025'!$C$8:$J$57,2,0)</f>
        <v>GUALACEO ÑAMO JONATHAN IVÁN</v>
      </c>
      <c r="E35" s="655" t="str">
        <f>+VLOOKUP($C35,'OCTUBRE 2025'!$C$8:$J$57,6,0)</f>
        <v>Matriz</v>
      </c>
      <c r="F35" s="561"/>
      <c r="G35" s="561"/>
      <c r="H35" s="548">
        <f t="shared" si="0"/>
        <v>0</v>
      </c>
      <c r="I35" s="548">
        <f t="shared" si="1"/>
        <v>0</v>
      </c>
    </row>
    <row r="36" spans="2:12" s="547" customFormat="1" ht="10.8" customHeight="1">
      <c r="B36" s="546">
        <f t="shared" si="2"/>
        <v>17</v>
      </c>
      <c r="C36" s="550">
        <v>956953392</v>
      </c>
      <c r="D36" s="549" t="str">
        <f>+VLOOKUP($C36,'OCTUBRE 2025'!$C$8:$J$57,2,0)</f>
        <v>GUAPI YUMAGLLA OSCAR EDUARDO</v>
      </c>
      <c r="E36" s="655" t="str">
        <f>+VLOOKUP($C36,'OCTUBRE 2025'!$C$8:$J$57,6,0)</f>
        <v>Matriz</v>
      </c>
      <c r="F36" s="561"/>
      <c r="G36" s="561"/>
      <c r="H36" s="548">
        <f t="shared" si="0"/>
        <v>0</v>
      </c>
      <c r="I36" s="548">
        <f t="shared" si="1"/>
        <v>0</v>
      </c>
    </row>
    <row r="37" spans="2:12" s="547" customFormat="1" ht="10.8" customHeight="1">
      <c r="B37" s="546">
        <f t="shared" si="2"/>
        <v>18</v>
      </c>
      <c r="C37" s="550">
        <v>956796767</v>
      </c>
      <c r="D37" s="549" t="str">
        <f>+VLOOKUP($C37,'OCTUBRE 2025'!$C$8:$J$57,2,0)</f>
        <v>GUAYANLEMA RUIZ EDINSON DAVID</v>
      </c>
      <c r="E37" s="655" t="str">
        <f>+VLOOKUP($C37,'OCTUBRE 2025'!$C$8:$J$57,6,0)</f>
        <v>Norte</v>
      </c>
      <c r="F37" s="561"/>
      <c r="G37" s="561"/>
      <c r="H37" s="548">
        <f t="shared" ref="H37:H39" si="13">+F37*24</f>
        <v>0</v>
      </c>
      <c r="I37" s="548">
        <f t="shared" ref="I37:I39" si="14">+G37*24</f>
        <v>0</v>
      </c>
    </row>
    <row r="38" spans="2:12" s="547" customFormat="1" ht="10.8" customHeight="1">
      <c r="B38" s="546">
        <f t="shared" si="2"/>
        <v>19</v>
      </c>
      <c r="C38" s="550" t="s">
        <v>427</v>
      </c>
      <c r="D38" s="549" t="str">
        <f>+VLOOKUP($C38,'OCTUBRE 2025'!$C$8:$J$57,2,0)</f>
        <v>HERRERA JIMENEZ CAROLINA ADELIHER</v>
      </c>
      <c r="E38" s="655" t="str">
        <f>+VLOOKUP($C38,'OCTUBRE 2025'!$C$8:$J$57,6,0)</f>
        <v>Matriz</v>
      </c>
      <c r="F38" s="561"/>
      <c r="G38" s="561"/>
      <c r="H38" s="548">
        <f t="shared" ref="H38" si="15">+F38*24</f>
        <v>0</v>
      </c>
      <c r="I38" s="548">
        <f t="shared" ref="I38" si="16">+G38*24</f>
        <v>0</v>
      </c>
    </row>
    <row r="39" spans="2:12" s="547" customFormat="1" ht="10.8" customHeight="1">
      <c r="B39" s="546">
        <f t="shared" si="2"/>
        <v>20</v>
      </c>
      <c r="C39" s="550">
        <v>1724102940</v>
      </c>
      <c r="D39" s="549" t="str">
        <f>+VLOOKUP($C39,'OCTUBRE 2025'!$C$8:$J$57,2,0)</f>
        <v>HIDALGO CHERRES NESTOR VLADIMIR</v>
      </c>
      <c r="E39" s="655" t="str">
        <f>+VLOOKUP($C39,'OCTUBRE 2025'!$C$8:$J$57,6,0)</f>
        <v>Durán</v>
      </c>
      <c r="F39" s="561"/>
      <c r="G39" s="561"/>
      <c r="H39" s="548">
        <f t="shared" si="13"/>
        <v>0</v>
      </c>
      <c r="I39" s="548">
        <f t="shared" si="14"/>
        <v>0</v>
      </c>
    </row>
    <row r="40" spans="2:12" s="547" customFormat="1" ht="10.8" customHeight="1">
      <c r="B40" s="546">
        <f t="shared" si="2"/>
        <v>21</v>
      </c>
      <c r="C40" s="550">
        <v>943322974</v>
      </c>
      <c r="D40" s="549" t="str">
        <f>+VLOOKUP($C40,'OCTUBRE 2025'!$C$8:$J$57,2,0)</f>
        <v>JANETA RUIZ ALEXANDRA DEL ROCIO</v>
      </c>
      <c r="E40" s="655" t="str">
        <f>+VLOOKUP($C40,'OCTUBRE 2025'!$C$8:$J$57,6,0)</f>
        <v>Norte</v>
      </c>
      <c r="F40" s="561"/>
      <c r="G40" s="561"/>
      <c r="H40" s="548">
        <f t="shared" si="0"/>
        <v>0</v>
      </c>
      <c r="I40" s="548">
        <f t="shared" si="1"/>
        <v>0</v>
      </c>
      <c r="K40" s="739"/>
    </row>
    <row r="41" spans="2:12" s="547" customFormat="1" ht="10.8" customHeight="1">
      <c r="B41" s="546">
        <f t="shared" si="2"/>
        <v>22</v>
      </c>
      <c r="C41" s="550">
        <v>941096851</v>
      </c>
      <c r="D41" s="549" t="str">
        <f>+VLOOKUP($C41,'OCTUBRE 2025'!$C$8:$J$57,2,0)</f>
        <v>LEMA CHIRAU RAMONA MARIA</v>
      </c>
      <c r="E41" s="655" t="str">
        <f>+VLOOKUP($C41,'OCTUBRE 2025'!$C$8:$J$57,6,0)</f>
        <v>Durán</v>
      </c>
      <c r="F41" s="561"/>
      <c r="G41" s="561"/>
      <c r="H41" s="548">
        <f t="shared" si="0"/>
        <v>0</v>
      </c>
      <c r="I41" s="548">
        <f t="shared" si="1"/>
        <v>0</v>
      </c>
    </row>
    <row r="42" spans="2:12" s="547" customFormat="1">
      <c r="B42" s="546">
        <f t="shared" si="2"/>
        <v>23</v>
      </c>
      <c r="C42" s="706">
        <v>957093800</v>
      </c>
      <c r="D42" s="549" t="str">
        <f>+VLOOKUP($C42,'OCTUBRE 2025'!$C$8:$J$57,2,0)</f>
        <v>LEMA TADAY BRAYAN WIDINSON</v>
      </c>
      <c r="E42" s="655" t="str">
        <f>+VLOOKUP($C42,'OCTUBRE 2025'!$C$8:$J$57,6,0)</f>
        <v>Durán</v>
      </c>
      <c r="F42" s="561"/>
      <c r="G42" s="561"/>
      <c r="H42" s="548">
        <f t="shared" ref="H42" si="17">+F42*24</f>
        <v>0</v>
      </c>
      <c r="I42" s="548">
        <f t="shared" ref="I42" si="18">+G42*24</f>
        <v>0</v>
      </c>
    </row>
    <row r="43" spans="2:12" s="547" customFormat="1" ht="10.8" customHeight="1">
      <c r="B43" s="546">
        <f t="shared" si="2"/>
        <v>24</v>
      </c>
      <c r="C43" s="550">
        <v>957924350</v>
      </c>
      <c r="D43" s="549" t="str">
        <f>+VLOOKUP($C43,'OCTUBRE 2025'!$C$8:$J$57,2,0)</f>
        <v>LLUMI YUQUILEMA MAYCOOL DANNY</v>
      </c>
      <c r="E43" s="655" t="str">
        <f>+VLOOKUP($C43,'OCTUBRE 2025'!$C$8:$J$57,6,0)</f>
        <v>Matriz</v>
      </c>
      <c r="F43" s="561"/>
      <c r="G43" s="561"/>
      <c r="H43" s="548">
        <f t="shared" si="0"/>
        <v>0</v>
      </c>
      <c r="I43" s="548">
        <f t="shared" si="1"/>
        <v>0</v>
      </c>
    </row>
    <row r="44" spans="2:12" s="547" customFormat="1" ht="10.8" customHeight="1">
      <c r="B44" s="546">
        <f t="shared" si="2"/>
        <v>25</v>
      </c>
      <c r="C44" s="550">
        <v>603838657</v>
      </c>
      <c r="D44" s="549" t="str">
        <f>+VLOOKUP($C44,'OCTUBRE 2025'!$C$8:$J$57,2,0)</f>
        <v>MALAN DELGADO JOSE ALBERTO</v>
      </c>
      <c r="E44" s="655" t="str">
        <f>+VLOOKUP($C44,'OCTUBRE 2025'!$C$8:$J$57,6,0)</f>
        <v>Durán</v>
      </c>
      <c r="F44" s="561"/>
      <c r="G44" s="561"/>
      <c r="H44" s="548">
        <f t="shared" si="0"/>
        <v>0</v>
      </c>
      <c r="I44" s="548">
        <f t="shared" si="1"/>
        <v>0</v>
      </c>
    </row>
    <row r="45" spans="2:12" s="547" customFormat="1" ht="10.8" customHeight="1">
      <c r="B45" s="546">
        <f t="shared" si="2"/>
        <v>26</v>
      </c>
      <c r="C45" s="550">
        <v>925240525</v>
      </c>
      <c r="D45" s="549" t="str">
        <f>+VLOOKUP($C45,'OCTUBRE 2025'!$C$8:$J$57,2,0)</f>
        <v>MALAN YUQUILEMA RAUL ALBERTO</v>
      </c>
      <c r="E45" s="655" t="str">
        <f>+VLOOKUP($C45,'OCTUBRE 2025'!$C$8:$J$57,6,0)</f>
        <v>Matriz</v>
      </c>
      <c r="F45" s="561"/>
      <c r="G45" s="561"/>
      <c r="H45" s="548">
        <f t="shared" si="0"/>
        <v>0</v>
      </c>
      <c r="I45" s="548">
        <f t="shared" si="1"/>
        <v>0</v>
      </c>
    </row>
    <row r="46" spans="2:12" s="547" customFormat="1" ht="10.8" customHeight="1">
      <c r="B46" s="546">
        <f t="shared" si="2"/>
        <v>27</v>
      </c>
      <c r="C46" s="550">
        <v>954520599</v>
      </c>
      <c r="D46" s="549" t="str">
        <f>+VLOOKUP($C46,'OCTUBRE 2025'!$C$8:$J$57,2,0)</f>
        <v>MARSHALL VEGA YULIANA LISSETT</v>
      </c>
      <c r="E46" s="655" t="str">
        <f>+VLOOKUP($C46,'OCTUBRE 2025'!$C$8:$J$57,6,0)</f>
        <v>Durán</v>
      </c>
      <c r="F46" s="561"/>
      <c r="G46" s="561"/>
      <c r="H46" s="548">
        <f t="shared" si="0"/>
        <v>0</v>
      </c>
      <c r="I46" s="548">
        <f t="shared" si="1"/>
        <v>0</v>
      </c>
    </row>
    <row r="47" spans="2:12" s="547" customFormat="1" ht="10.8" customHeight="1">
      <c r="B47" s="546">
        <f t="shared" si="2"/>
        <v>28</v>
      </c>
      <c r="C47" s="550" t="s">
        <v>281</v>
      </c>
      <c r="D47" s="549" t="str">
        <f>+VLOOKUP($C47,'OCTUBRE 2025'!$C$8:$J$57,2,0)</f>
        <v>MEZA RODRIGUEZ MICHAEL FERNANDO</v>
      </c>
      <c r="E47" s="655" t="str">
        <f>+VLOOKUP($C47,'OCTUBRE 2025'!$C$8:$J$57,6,0)</f>
        <v>Norte</v>
      </c>
      <c r="F47" s="561"/>
      <c r="G47" s="561"/>
      <c r="H47" s="548">
        <f t="shared" ref="H47" si="19">+F47*24</f>
        <v>0</v>
      </c>
      <c r="I47" s="548">
        <f t="shared" ref="I47" si="20">+G47*24</f>
        <v>0</v>
      </c>
    </row>
    <row r="48" spans="2:12" s="547" customFormat="1" ht="10.8" customHeight="1">
      <c r="B48" s="546">
        <f t="shared" si="2"/>
        <v>29</v>
      </c>
      <c r="C48" s="550" t="s">
        <v>245</v>
      </c>
      <c r="D48" s="549" t="str">
        <f>+VLOOKUP($C48,'OCTUBRE 2025'!$C$8:$J$57,2,0)</f>
        <v>MORAN GARCIA DANNY FAVIAN</v>
      </c>
      <c r="E48" s="655" t="str">
        <f>+VLOOKUP($C48,'OCTUBRE 2025'!$C$8:$J$57,6,0)</f>
        <v>Matriz</v>
      </c>
      <c r="F48" s="561"/>
      <c r="G48" s="561"/>
      <c r="H48" s="548">
        <f t="shared" si="0"/>
        <v>0</v>
      </c>
      <c r="I48" s="548">
        <f t="shared" si="1"/>
        <v>0</v>
      </c>
      <c r="L48" s="581"/>
    </row>
    <row r="49" spans="2:12" s="547" customFormat="1" ht="10.8" customHeight="1">
      <c r="B49" s="546">
        <f t="shared" si="2"/>
        <v>30</v>
      </c>
      <c r="C49" s="550" t="s">
        <v>332</v>
      </c>
      <c r="D49" s="549" t="str">
        <f>+VLOOKUP($C49,'OCTUBRE 2025'!$C$8:$J$57,2,0)</f>
        <v>MOREIRA ESPINOZA LINDA ELIZABETH</v>
      </c>
      <c r="E49" s="655" t="str">
        <f>+VLOOKUP($C49,'OCTUBRE 2025'!$C$8:$J$57,6,0)</f>
        <v>Durán</v>
      </c>
      <c r="F49" s="561"/>
      <c r="G49" s="561"/>
      <c r="H49" s="548">
        <f t="shared" si="0"/>
        <v>0</v>
      </c>
      <c r="I49" s="548">
        <f t="shared" si="1"/>
        <v>0</v>
      </c>
    </row>
    <row r="50" spans="2:12" s="547" customFormat="1" ht="10.8" customHeight="1">
      <c r="B50" s="546">
        <f t="shared" si="2"/>
        <v>31</v>
      </c>
      <c r="C50" s="550">
        <v>955395686</v>
      </c>
      <c r="D50" s="549" t="str">
        <f>+VLOOKUP($C50,'OCTUBRE 2025'!$C$8:$J$57,2,0)</f>
        <v>MOROCHO DUCHI SANDRA STEPHANIE</v>
      </c>
      <c r="E50" s="655" t="str">
        <f>+VLOOKUP($C50,'OCTUBRE 2025'!$C$8:$J$57,6,0)</f>
        <v>Norte</v>
      </c>
      <c r="F50" s="561"/>
      <c r="G50" s="561"/>
      <c r="H50" s="548">
        <f t="shared" si="0"/>
        <v>0</v>
      </c>
      <c r="I50" s="548">
        <f t="shared" si="1"/>
        <v>0</v>
      </c>
    </row>
    <row r="51" spans="2:12" s="547" customFormat="1" ht="10.8" customHeight="1">
      <c r="B51" s="546">
        <f t="shared" si="2"/>
        <v>32</v>
      </c>
      <c r="C51" s="550">
        <v>940991987</v>
      </c>
      <c r="D51" s="549" t="str">
        <f>+VLOOKUP($C51,'OCTUBRE 2025'!$C$8:$J$57,2,0)</f>
        <v>MOROCHO YANTALEMA DINA MAGALY</v>
      </c>
      <c r="E51" s="655" t="str">
        <f>+VLOOKUP($C51,'OCTUBRE 2025'!$C$8:$J$57,6,0)</f>
        <v>Matriz</v>
      </c>
      <c r="F51" s="561"/>
      <c r="G51" s="561"/>
      <c r="H51" s="548">
        <f t="shared" si="0"/>
        <v>0</v>
      </c>
      <c r="I51" s="548">
        <f t="shared" si="1"/>
        <v>0</v>
      </c>
    </row>
    <row r="52" spans="2:12" s="547" customFormat="1" ht="10.8" customHeight="1">
      <c r="B52" s="546">
        <f t="shared" si="2"/>
        <v>33</v>
      </c>
      <c r="C52" s="550">
        <v>956929277</v>
      </c>
      <c r="D52" s="549" t="str">
        <f>+VLOOKUP($C52,'OCTUBRE 2025'!$C$8:$J$57,2,0)</f>
        <v>NAULA CRIOLLO CINTHYA ABIGAIL</v>
      </c>
      <c r="E52" s="655" t="str">
        <f>+VLOOKUP($C52,'OCTUBRE 2025'!$C$8:$J$57,6,0)</f>
        <v>Matriz</v>
      </c>
      <c r="F52" s="561"/>
      <c r="G52" s="561"/>
      <c r="H52" s="548">
        <f>+F52*24</f>
        <v>0</v>
      </c>
      <c r="I52" s="548">
        <f>+G52*24</f>
        <v>0</v>
      </c>
    </row>
    <row r="53" spans="2:12" s="547" customFormat="1" ht="10.8" customHeight="1">
      <c r="B53" s="546">
        <f t="shared" si="2"/>
        <v>34</v>
      </c>
      <c r="C53" s="550">
        <v>951763994</v>
      </c>
      <c r="D53" s="549" t="str">
        <f>+VLOOKUP($C53,'OCTUBRE 2025'!$C$8:$J$57,2,0)</f>
        <v>NEVAREZ PEÑAFIEL EVELYN JULEXY</v>
      </c>
      <c r="E53" s="655" t="str">
        <f>+VLOOKUP($C53,'OCTUBRE 2025'!$C$8:$J$57,6,0)</f>
        <v>Norte</v>
      </c>
      <c r="F53" s="561"/>
      <c r="G53" s="561"/>
      <c r="H53" s="548">
        <f t="shared" si="0"/>
        <v>0</v>
      </c>
      <c r="I53" s="548">
        <f t="shared" si="1"/>
        <v>0</v>
      </c>
      <c r="L53" s="582"/>
    </row>
    <row r="54" spans="2:12" s="547" customFormat="1" ht="10.8" customHeight="1">
      <c r="B54" s="546">
        <f t="shared" si="2"/>
        <v>35</v>
      </c>
      <c r="C54" s="550">
        <v>950703199</v>
      </c>
      <c r="D54" s="549" t="str">
        <f>+VLOOKUP($C54,'OCTUBRE 2025'!$C$8:$J$57,2,0)</f>
        <v>ÑAMO GUALACEO BRYAN JAVIER</v>
      </c>
      <c r="E54" s="655" t="str">
        <f>+VLOOKUP($C54,'OCTUBRE 2025'!$C$8:$J$57,6,0)</f>
        <v>Matriz</v>
      </c>
      <c r="F54" s="561"/>
      <c r="G54" s="561"/>
      <c r="H54" s="548">
        <f t="shared" si="0"/>
        <v>0</v>
      </c>
      <c r="I54" s="548">
        <f t="shared" si="1"/>
        <v>0</v>
      </c>
      <c r="L54" s="582"/>
    </row>
    <row r="55" spans="2:12" s="547" customFormat="1" ht="10.8" customHeight="1">
      <c r="B55" s="546">
        <f t="shared" si="2"/>
        <v>36</v>
      </c>
      <c r="C55" s="550" t="s">
        <v>434</v>
      </c>
      <c r="D55" s="549" t="str">
        <f>+VLOOKUP($C55,'OCTUBRE 2025'!$C$8:$J$57,2,0)</f>
        <v>ORELLANA MANZO WHITNEY YAILYN</v>
      </c>
      <c r="E55" s="655" t="str">
        <f>+VLOOKUP($C55,'OCTUBRE 2025'!$C$8:$J$57,6,0)</f>
        <v>Matriz</v>
      </c>
      <c r="F55" s="561"/>
      <c r="G55" s="561"/>
      <c r="H55" s="548">
        <f t="shared" ref="H55" si="21">+F55*24</f>
        <v>0</v>
      </c>
      <c r="I55" s="548">
        <f t="shared" ref="I55" si="22">+G55*24</f>
        <v>0</v>
      </c>
      <c r="L55" s="582"/>
    </row>
    <row r="56" spans="2:12" s="547" customFormat="1" ht="10.8" customHeight="1">
      <c r="B56" s="546">
        <f t="shared" si="2"/>
        <v>37</v>
      </c>
      <c r="C56" s="550">
        <v>925830689</v>
      </c>
      <c r="D56" s="549" t="str">
        <f>+VLOOKUP($C56,'OCTUBRE 2025'!$C$8:$J$57,2,0)</f>
        <v>PERALTA MENDEZ LINA LISSETTE</v>
      </c>
      <c r="E56" s="655" t="str">
        <f>+VLOOKUP($C56,'OCTUBRE 2025'!$C$8:$J$57,6,0)</f>
        <v>Matriz</v>
      </c>
      <c r="F56" s="561"/>
      <c r="G56" s="561"/>
      <c r="H56" s="548">
        <f t="shared" si="0"/>
        <v>0</v>
      </c>
      <c r="I56" s="548">
        <f t="shared" si="1"/>
        <v>0</v>
      </c>
    </row>
    <row r="57" spans="2:12" s="547" customFormat="1" ht="10.8" customHeight="1">
      <c r="B57" s="546">
        <f t="shared" si="2"/>
        <v>38</v>
      </c>
      <c r="C57" s="550">
        <v>944034842</v>
      </c>
      <c r="D57" s="549" t="str">
        <f>+VLOOKUP($C57,'OCTUBRE 2025'!$C$8:$J$57,2,0)</f>
        <v>PEREZ ZAMORA ANA DE LOS ANGELES</v>
      </c>
      <c r="E57" s="655" t="str">
        <f>+VLOOKUP($C57,'OCTUBRE 2025'!$C$8:$J$57,6,0)</f>
        <v>Matriz</v>
      </c>
      <c r="F57" s="561"/>
      <c r="G57" s="561"/>
      <c r="H57" s="548">
        <f t="shared" ref="H57" si="23">+F57*24</f>
        <v>0</v>
      </c>
      <c r="I57" s="548">
        <f t="shared" ref="I57" si="24">+G57*24</f>
        <v>0</v>
      </c>
    </row>
    <row r="58" spans="2:12" s="547" customFormat="1" ht="10.8" customHeight="1">
      <c r="B58" s="546">
        <f t="shared" si="2"/>
        <v>39</v>
      </c>
      <c r="C58" s="550">
        <v>951340702</v>
      </c>
      <c r="D58" s="549" t="str">
        <f>+VLOOKUP($C58,'OCTUBRE 2025'!$C$8:$J$57,2,0)</f>
        <v>QUITO CALDERON JONATHAN ENRIQUE</v>
      </c>
      <c r="E58" s="655" t="str">
        <f>+VLOOKUP($C58,'OCTUBRE 2025'!$C$8:$J$57,6,0)</f>
        <v>Matriz</v>
      </c>
      <c r="F58" s="561"/>
      <c r="G58" s="738"/>
      <c r="H58" s="548">
        <f t="shared" si="0"/>
        <v>0</v>
      </c>
      <c r="I58" s="548">
        <f t="shared" si="1"/>
        <v>0</v>
      </c>
    </row>
    <row r="59" spans="2:12" s="547" customFormat="1" ht="10.8" customHeight="1">
      <c r="B59" s="546">
        <f t="shared" si="2"/>
        <v>40</v>
      </c>
      <c r="C59" s="550">
        <v>650112949</v>
      </c>
      <c r="D59" s="549" t="str">
        <f>+VLOOKUP($C59,'OCTUBRE 2025'!$C$8:$J$57,2,0)</f>
        <v>QUITO UCHUBANDA JANETH ALEXANDRA</v>
      </c>
      <c r="E59" s="655" t="str">
        <f>+VLOOKUP($C59,'OCTUBRE 2025'!$C$8:$J$57,6,0)</f>
        <v>Norte</v>
      </c>
      <c r="F59" s="561"/>
      <c r="G59" s="561"/>
      <c r="H59" s="548">
        <f t="shared" si="0"/>
        <v>0</v>
      </c>
      <c r="I59" s="548">
        <f t="shared" si="1"/>
        <v>0</v>
      </c>
      <c r="K59" s="739"/>
    </row>
    <row r="60" spans="2:12" s="547" customFormat="1" ht="10.8" customHeight="1">
      <c r="B60" s="546">
        <f t="shared" si="2"/>
        <v>41</v>
      </c>
      <c r="C60" s="550">
        <v>924232804</v>
      </c>
      <c r="D60" s="549" t="str">
        <f>+VLOOKUP($C60,'OCTUBRE 2025'!$C$8:$J$57,2,0)</f>
        <v>RECALDE NARANJO ANGEL ALEXIS</v>
      </c>
      <c r="E60" s="655" t="str">
        <f>+VLOOKUP($C60,'OCTUBRE 2025'!$C$8:$J$57,6,0)</f>
        <v>Matriz</v>
      </c>
      <c r="F60" s="561"/>
      <c r="G60" s="561"/>
      <c r="H60" s="548">
        <f t="shared" si="0"/>
        <v>0</v>
      </c>
      <c r="I60" s="548">
        <f t="shared" si="1"/>
        <v>0</v>
      </c>
    </row>
    <row r="61" spans="2:12" s="547" customFormat="1" ht="10.8" customHeight="1">
      <c r="B61" s="546">
        <f t="shared" si="2"/>
        <v>42</v>
      </c>
      <c r="C61" s="550">
        <v>605031145</v>
      </c>
      <c r="D61" s="549" t="str">
        <f>+VLOOKUP($C61,'OCTUBRE 2025'!$C$8:$J$57,2,0)</f>
        <v>SALAO PEREZ GERMAN FABRICIO</v>
      </c>
      <c r="E61" s="655" t="str">
        <f>+VLOOKUP($C61,'OCTUBRE 2025'!$C$8:$J$57,6,0)</f>
        <v>Durán</v>
      </c>
      <c r="F61" s="561"/>
      <c r="G61" s="561"/>
      <c r="H61" s="548">
        <f t="shared" si="0"/>
        <v>0</v>
      </c>
      <c r="I61" s="548">
        <f t="shared" si="1"/>
        <v>0</v>
      </c>
    </row>
    <row r="62" spans="2:12" s="547" customFormat="1" ht="10.8" customHeight="1">
      <c r="B62" s="546">
        <f t="shared" si="2"/>
        <v>43</v>
      </c>
      <c r="C62" s="550">
        <v>927257576</v>
      </c>
      <c r="D62" s="549" t="str">
        <f>+VLOOKUP($C62,'OCTUBRE 2025'!$C$8:$J$57,2,0)</f>
        <v>SANISACA MITE ISRAEL BENJAMIN</v>
      </c>
      <c r="E62" s="655" t="str">
        <f>+VLOOKUP($C62,'OCTUBRE 2025'!$C$8:$J$57,6,0)</f>
        <v>Norte</v>
      </c>
      <c r="F62" s="561"/>
      <c r="G62" s="561"/>
      <c r="H62" s="548">
        <f t="shared" si="0"/>
        <v>0</v>
      </c>
      <c r="I62" s="548">
        <f t="shared" si="1"/>
        <v>0</v>
      </c>
    </row>
    <row r="63" spans="2:12" s="547" customFormat="1" ht="10.8" customHeight="1">
      <c r="B63" s="546">
        <f t="shared" si="2"/>
        <v>44</v>
      </c>
      <c r="C63" s="550">
        <v>928901800</v>
      </c>
      <c r="D63" s="549" t="str">
        <f>+VLOOKUP($C63,'OCTUBRE 2025'!$C$8:$J$57,2,0)</f>
        <v>TADAY GUAMAN NÉSTOR ALONSO</v>
      </c>
      <c r="E63" s="655" t="str">
        <f>+VLOOKUP($C63,'OCTUBRE 2025'!$C$8:$J$57,6,0)</f>
        <v>Matriz</v>
      </c>
      <c r="F63" s="561"/>
      <c r="G63" s="561"/>
      <c r="H63" s="548">
        <f t="shared" si="0"/>
        <v>0</v>
      </c>
      <c r="I63" s="548">
        <f t="shared" si="1"/>
        <v>0</v>
      </c>
    </row>
    <row r="64" spans="2:12" s="547" customFormat="1" ht="10.8" customHeight="1">
      <c r="B64" s="546">
        <f t="shared" si="2"/>
        <v>45</v>
      </c>
      <c r="C64" s="550">
        <v>951315746</v>
      </c>
      <c r="D64" s="549" t="str">
        <f>+VLOOKUP($C64,'OCTUBRE 2025'!$C$8:$J$57,2,0)</f>
        <v>TIGUA MONTERO KAREN LISBETH</v>
      </c>
      <c r="E64" s="655" t="str">
        <f>+VLOOKUP($C64,'OCTUBRE 2025'!$C$8:$J$57,6,0)</f>
        <v>Matriz</v>
      </c>
      <c r="F64" s="561"/>
      <c r="G64" s="561"/>
      <c r="H64" s="548">
        <f t="shared" si="0"/>
        <v>0</v>
      </c>
      <c r="I64" s="548">
        <f t="shared" si="1"/>
        <v>0</v>
      </c>
    </row>
    <row r="65" spans="2:9" s="547" customFormat="1" ht="10.8" customHeight="1">
      <c r="B65" s="546">
        <f t="shared" si="2"/>
        <v>46</v>
      </c>
      <c r="C65" s="550">
        <v>954184321</v>
      </c>
      <c r="D65" s="549" t="str">
        <f>+VLOOKUP($C65,'OCTUBRE 2025'!$C$8:$J$57,2,0)</f>
        <v>URQUIZO GUARANGA ALEX EFRAIN</v>
      </c>
      <c r="E65" s="655" t="str">
        <f>+VLOOKUP($C65,'OCTUBRE 2025'!$C$8:$J$57,6,0)</f>
        <v>Matriz</v>
      </c>
      <c r="F65" s="561"/>
      <c r="G65" s="561"/>
      <c r="H65" s="548">
        <f t="shared" si="0"/>
        <v>0</v>
      </c>
      <c r="I65" s="548">
        <f t="shared" si="1"/>
        <v>0</v>
      </c>
    </row>
    <row r="66" spans="2:9" s="547" customFormat="1" ht="10.8" customHeight="1">
      <c r="B66" s="546">
        <f t="shared" si="2"/>
        <v>47</v>
      </c>
      <c r="C66" s="550">
        <v>922034772</v>
      </c>
      <c r="D66" s="549" t="str">
        <f>+VLOOKUP($C66,'OCTUBRE 2025'!$C$8:$J$57,2,0)</f>
        <v>VERA GUEVARA PAOLA KARINA</v>
      </c>
      <c r="E66" s="655" t="str">
        <f>+VLOOKUP($C66,'OCTUBRE 2025'!$C$8:$J$57,6,0)</f>
        <v>Matriz</v>
      </c>
      <c r="F66" s="561"/>
      <c r="G66" s="561"/>
      <c r="H66" s="548">
        <f t="shared" si="0"/>
        <v>0</v>
      </c>
      <c r="I66" s="548">
        <f t="shared" si="1"/>
        <v>0</v>
      </c>
    </row>
    <row r="67" spans="2:9" s="547" customFormat="1" ht="10.8" customHeight="1">
      <c r="B67" s="546">
        <f t="shared" si="2"/>
        <v>48</v>
      </c>
      <c r="C67" s="550">
        <v>923837991</v>
      </c>
      <c r="D67" s="549" t="str">
        <f>+VLOOKUP($C67,'OCTUBRE 2025'!$C$8:$J$57,2,0)</f>
        <v>YUNDA CUJILEMA MARIA TERESA</v>
      </c>
      <c r="E67" s="655" t="str">
        <f>+VLOOKUP($C67,'OCTUBRE 2025'!$C$8:$J$57,6,0)</f>
        <v>Matriz</v>
      </c>
      <c r="F67" s="561"/>
      <c r="G67" s="561"/>
      <c r="H67" s="548">
        <f t="shared" si="0"/>
        <v>0</v>
      </c>
      <c r="I67" s="548">
        <f t="shared" si="1"/>
        <v>0</v>
      </c>
    </row>
    <row r="68" spans="2:9" s="547" customFormat="1" ht="10.8" customHeight="1">
      <c r="B68" s="546">
        <f t="shared" si="2"/>
        <v>49</v>
      </c>
      <c r="C68" s="550">
        <v>941508905</v>
      </c>
      <c r="D68" s="549" t="str">
        <f>+VLOOKUP($C68,'OCTUBRE 2025'!$C$8:$J$57,2,0)</f>
        <v>YUQUILEMA CACUANGO ANGEL JOSE</v>
      </c>
      <c r="E68" s="655" t="str">
        <f>+VLOOKUP($C68,'OCTUBRE 2025'!$C$8:$J$57,6,0)</f>
        <v>Matriz</v>
      </c>
      <c r="F68" s="561"/>
      <c r="G68" s="561"/>
      <c r="H68" s="548">
        <f t="shared" si="0"/>
        <v>0</v>
      </c>
      <c r="I68" s="548">
        <f t="shared" si="1"/>
        <v>0</v>
      </c>
    </row>
    <row r="69" spans="2:9" s="547" customFormat="1" ht="10.8" customHeight="1">
      <c r="B69" s="546">
        <f t="shared" si="2"/>
        <v>50</v>
      </c>
      <c r="C69" s="550">
        <v>604154575</v>
      </c>
      <c r="D69" s="549" t="str">
        <f>+VLOOKUP($C69,'OCTUBRE 2025'!$C$8:$J$57,2,0)</f>
        <v>YUQUILEMA DELGADO PEDRO ANTONIO</v>
      </c>
      <c r="E69" s="655" t="str">
        <f>+VLOOKUP($C69,'OCTUBRE 2025'!$C$8:$J$57,6,0)</f>
        <v>Durán</v>
      </c>
      <c r="F69" s="561"/>
      <c r="G69" s="561"/>
      <c r="H69" s="548">
        <f t="shared" si="0"/>
        <v>0</v>
      </c>
      <c r="I69" s="548">
        <f t="shared" si="1"/>
        <v>0</v>
      </c>
    </row>
    <row r="70" spans="2:9">
      <c r="H70" s="570">
        <f>SUM(H20:H69)</f>
        <v>0</v>
      </c>
      <c r="I70" s="570">
        <f>SUM(I20:I69)</f>
        <v>0</v>
      </c>
    </row>
  </sheetData>
  <autoFilter ref="B19:I70" xr:uid="{818CB285-DE47-4BE2-9165-48C0438FEDCC}"/>
  <mergeCells count="1">
    <mergeCell ref="D2:H2"/>
  </mergeCells>
  <phoneticPr fontId="13" type="noConversion"/>
  <printOptions horizontalCentered="1"/>
  <pageMargins left="0.70866141732283472" right="0.70866141732283472" top="0.47244094488188981" bottom="0.35433070866141736" header="0.31496062992125984" footer="0.31496062992125984"/>
  <pageSetup paperSize="9" scale="9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968D-602F-41C4-B032-57DE8869C699}">
  <sheetPr codeName="Hoja9">
    <tabColor theme="5" tint="-0.249977111117893"/>
  </sheetPr>
  <dimension ref="B3:N56"/>
  <sheetViews>
    <sheetView showGridLines="0" zoomScale="89" zoomScaleNormal="89" workbookViewId="0">
      <selection activeCell="I28" sqref="I28"/>
    </sheetView>
  </sheetViews>
  <sheetFormatPr baseColWidth="10" defaultRowHeight="13.2"/>
  <cols>
    <col min="1" max="1" width="3.6640625" style="77" customWidth="1"/>
    <col min="2" max="2" width="5.88671875" style="77" customWidth="1"/>
    <col min="3" max="3" width="18.6640625" style="77" customWidth="1"/>
    <col min="4" max="4" width="41.5546875" style="77" customWidth="1"/>
    <col min="5" max="5" width="11.88671875" style="112" customWidth="1"/>
    <col min="6" max="6" width="14.33203125" style="661" customWidth="1"/>
    <col min="7" max="7" width="11" style="77" customWidth="1"/>
    <col min="8" max="8" width="9.109375" style="77" customWidth="1"/>
    <col min="9" max="9" width="32.6640625" style="77" customWidth="1"/>
    <col min="10" max="10" width="14.5546875" style="77" customWidth="1"/>
    <col min="11" max="12" width="9.109375" style="77" customWidth="1"/>
    <col min="13" max="13" width="20" style="77" customWidth="1"/>
    <col min="14" max="14" width="23.109375" style="77" customWidth="1"/>
    <col min="15" max="176" width="9.109375" style="77" customWidth="1"/>
    <col min="177" max="177" width="0" style="77" hidden="1" customWidth="1"/>
    <col min="178" max="178" width="1.6640625" style="77" customWidth="1"/>
    <col min="179" max="179" width="3.44140625" style="77" customWidth="1"/>
    <col min="180" max="180" width="2.33203125" style="77" customWidth="1"/>
    <col min="181" max="181" width="0.109375" style="77" customWidth="1"/>
    <col min="182" max="182" width="1.109375" style="77" customWidth="1"/>
    <col min="183" max="183" width="1.6640625" style="77" customWidth="1"/>
    <col min="184" max="184" width="2" style="77" customWidth="1"/>
    <col min="185" max="185" width="0.6640625" style="77" customWidth="1"/>
    <col min="186" max="186" width="0.33203125" style="77" customWidth="1"/>
    <col min="187" max="187" width="2.6640625" style="77" customWidth="1"/>
    <col min="188" max="188" width="0.5546875" style="77" customWidth="1"/>
    <col min="189" max="189" width="1.33203125" style="77" customWidth="1"/>
    <col min="190" max="190" width="4.5546875" style="77" customWidth="1"/>
    <col min="191" max="191" width="0.109375" style="77" customWidth="1"/>
    <col min="192" max="192" width="12.33203125" style="77" customWidth="1"/>
    <col min="193" max="193" width="10.5546875" style="77" customWidth="1"/>
    <col min="194" max="194" width="2.6640625" style="77" customWidth="1"/>
    <col min="195" max="195" width="2.33203125" style="77" customWidth="1"/>
    <col min="196" max="196" width="1.6640625" style="77" customWidth="1"/>
    <col min="197" max="197" width="21.109375" style="77" customWidth="1"/>
    <col min="198" max="199" width="0.109375" style="77" customWidth="1"/>
    <col min="200" max="200" width="11.88671875" style="77" customWidth="1"/>
    <col min="201" max="202" width="0.109375" style="77" customWidth="1"/>
    <col min="203" max="203" width="5" style="77" customWidth="1"/>
    <col min="204" max="204" width="0.5546875" style="77" customWidth="1"/>
    <col min="205" max="205" width="3.44140625" style="77" customWidth="1"/>
    <col min="206" max="206" width="0.88671875" style="77" customWidth="1"/>
    <col min="207" max="207" width="0.33203125" style="77" customWidth="1"/>
    <col min="208" max="209" width="0" style="77" hidden="1" customWidth="1"/>
    <col min="210" max="432" width="9.109375" style="77" customWidth="1"/>
    <col min="433" max="433" width="0" style="77" hidden="1" customWidth="1"/>
    <col min="434" max="434" width="1.6640625" style="77" customWidth="1"/>
    <col min="435" max="435" width="3.44140625" style="77" customWidth="1"/>
    <col min="436" max="436" width="2.33203125" style="77" customWidth="1"/>
    <col min="437" max="437" width="0.109375" style="77" customWidth="1"/>
    <col min="438" max="438" width="1.109375" style="77" customWidth="1"/>
    <col min="439" max="439" width="1.6640625" style="77" customWidth="1"/>
    <col min="440" max="440" width="2" style="77" customWidth="1"/>
    <col min="441" max="441" width="0.6640625" style="77" customWidth="1"/>
    <col min="442" max="442" width="0.33203125" style="77" customWidth="1"/>
    <col min="443" max="443" width="2.6640625" style="77" customWidth="1"/>
    <col min="444" max="444" width="0.5546875" style="77" customWidth="1"/>
    <col min="445" max="445" width="1.33203125" style="77" customWidth="1"/>
    <col min="446" max="446" width="4.5546875" style="77" customWidth="1"/>
    <col min="447" max="447" width="0.109375" style="77" customWidth="1"/>
    <col min="448" max="448" width="12.33203125" style="77" customWidth="1"/>
    <col min="449" max="449" width="10.5546875" style="77" customWidth="1"/>
    <col min="450" max="450" width="2.6640625" style="77" customWidth="1"/>
    <col min="451" max="451" width="2.33203125" style="77" customWidth="1"/>
    <col min="452" max="452" width="1.6640625" style="77" customWidth="1"/>
    <col min="453" max="453" width="21.109375" style="77" customWidth="1"/>
    <col min="454" max="455" width="0.109375" style="77" customWidth="1"/>
    <col min="456" max="456" width="11.88671875" style="77" customWidth="1"/>
    <col min="457" max="458" width="0.109375" style="77" customWidth="1"/>
    <col min="459" max="459" width="5" style="77" customWidth="1"/>
    <col min="460" max="460" width="0.5546875" style="77" customWidth="1"/>
    <col min="461" max="461" width="3.44140625" style="77" customWidth="1"/>
    <col min="462" max="462" width="0.88671875" style="77" customWidth="1"/>
    <col min="463" max="463" width="0.33203125" style="77" customWidth="1"/>
    <col min="464" max="465" width="0" style="77" hidden="1" customWidth="1"/>
    <col min="466" max="688" width="9.109375" style="77" customWidth="1"/>
    <col min="689" max="689" width="0" style="77" hidden="1" customWidth="1"/>
    <col min="690" max="690" width="1.6640625" style="77" customWidth="1"/>
    <col min="691" max="691" width="3.44140625" style="77" customWidth="1"/>
    <col min="692" max="692" width="2.33203125" style="77" customWidth="1"/>
    <col min="693" max="693" width="0.109375" style="77" customWidth="1"/>
    <col min="694" max="694" width="1.109375" style="77" customWidth="1"/>
    <col min="695" max="695" width="1.6640625" style="77" customWidth="1"/>
    <col min="696" max="696" width="2" style="77" customWidth="1"/>
    <col min="697" max="697" width="0.6640625" style="77" customWidth="1"/>
    <col min="698" max="698" width="0.33203125" style="77" customWidth="1"/>
    <col min="699" max="699" width="2.6640625" style="77" customWidth="1"/>
    <col min="700" max="700" width="0.5546875" style="77" customWidth="1"/>
    <col min="701" max="701" width="1.33203125" style="77" customWidth="1"/>
    <col min="702" max="702" width="4.5546875" style="77" customWidth="1"/>
    <col min="703" max="703" width="0.109375" style="77" customWidth="1"/>
    <col min="704" max="704" width="12.33203125" style="77" customWidth="1"/>
    <col min="705" max="705" width="10.5546875" style="77" customWidth="1"/>
    <col min="706" max="706" width="2.6640625" style="77" customWidth="1"/>
    <col min="707" max="707" width="2.33203125" style="77" customWidth="1"/>
    <col min="708" max="708" width="1.6640625" style="77" customWidth="1"/>
    <col min="709" max="709" width="21.109375" style="77" customWidth="1"/>
    <col min="710" max="711" width="0.109375" style="77" customWidth="1"/>
    <col min="712" max="712" width="11.88671875" style="77" customWidth="1"/>
    <col min="713" max="714" width="0.109375" style="77" customWidth="1"/>
    <col min="715" max="715" width="5" style="77" customWidth="1"/>
    <col min="716" max="716" width="0.5546875" style="77" customWidth="1"/>
    <col min="717" max="717" width="3.44140625" style="77" customWidth="1"/>
    <col min="718" max="718" width="0.88671875" style="77" customWidth="1"/>
    <col min="719" max="719" width="0.33203125" style="77" customWidth="1"/>
    <col min="720" max="721" width="0" style="77" hidden="1" customWidth="1"/>
    <col min="722" max="944" width="9.109375" style="77" customWidth="1"/>
    <col min="945" max="945" width="0" style="77" hidden="1" customWidth="1"/>
    <col min="946" max="946" width="1.6640625" style="77" customWidth="1"/>
    <col min="947" max="947" width="3.44140625" style="77" customWidth="1"/>
    <col min="948" max="948" width="2.33203125" style="77" customWidth="1"/>
    <col min="949" max="949" width="0.109375" style="77" customWidth="1"/>
    <col min="950" max="950" width="1.109375" style="77" customWidth="1"/>
    <col min="951" max="951" width="1.6640625" style="77" customWidth="1"/>
    <col min="952" max="952" width="2" style="77" customWidth="1"/>
    <col min="953" max="953" width="0.6640625" style="77" customWidth="1"/>
    <col min="954" max="954" width="0.33203125" style="77" customWidth="1"/>
    <col min="955" max="955" width="2.6640625" style="77" customWidth="1"/>
    <col min="956" max="956" width="0.5546875" style="77" customWidth="1"/>
    <col min="957" max="957" width="1.33203125" style="77" customWidth="1"/>
    <col min="958" max="958" width="4.5546875" style="77" customWidth="1"/>
    <col min="959" max="959" width="0.109375" style="77" customWidth="1"/>
    <col min="960" max="960" width="12.33203125" style="77" customWidth="1"/>
    <col min="961" max="961" width="10.5546875" style="77" customWidth="1"/>
    <col min="962" max="962" width="2.6640625" style="77" customWidth="1"/>
    <col min="963" max="963" width="2.33203125" style="77" customWidth="1"/>
    <col min="964" max="964" width="1.6640625" style="77" customWidth="1"/>
    <col min="965" max="965" width="21.109375" style="77" customWidth="1"/>
    <col min="966" max="967" width="0.109375" style="77" customWidth="1"/>
    <col min="968" max="968" width="11.88671875" style="77" customWidth="1"/>
    <col min="969" max="970" width="0.109375" style="77" customWidth="1"/>
    <col min="971" max="971" width="5" style="77" customWidth="1"/>
    <col min="972" max="972" width="0.5546875" style="77" customWidth="1"/>
    <col min="973" max="973" width="3.44140625" style="77" customWidth="1"/>
    <col min="974" max="974" width="0.88671875" style="77" customWidth="1"/>
    <col min="975" max="975" width="0.33203125" style="77" customWidth="1"/>
    <col min="976" max="977" width="0" style="77" hidden="1" customWidth="1"/>
    <col min="978" max="1200" width="9.109375" style="77" customWidth="1"/>
    <col min="1201" max="1201" width="0" style="77" hidden="1" customWidth="1"/>
    <col min="1202" max="1202" width="1.6640625" style="77" customWidth="1"/>
    <col min="1203" max="1203" width="3.44140625" style="77" customWidth="1"/>
    <col min="1204" max="1204" width="2.33203125" style="77" customWidth="1"/>
    <col min="1205" max="1205" width="0.109375" style="77" customWidth="1"/>
    <col min="1206" max="1206" width="1.109375" style="77" customWidth="1"/>
    <col min="1207" max="1207" width="1.6640625" style="77" customWidth="1"/>
    <col min="1208" max="1208" width="2" style="77" customWidth="1"/>
    <col min="1209" max="1209" width="0.6640625" style="77" customWidth="1"/>
    <col min="1210" max="1210" width="0.33203125" style="77" customWidth="1"/>
    <col min="1211" max="1211" width="2.6640625" style="77" customWidth="1"/>
    <col min="1212" max="1212" width="0.5546875" style="77" customWidth="1"/>
    <col min="1213" max="1213" width="1.33203125" style="77" customWidth="1"/>
    <col min="1214" max="1214" width="4.5546875" style="77" customWidth="1"/>
    <col min="1215" max="1215" width="0.109375" style="77" customWidth="1"/>
    <col min="1216" max="1216" width="12.33203125" style="77" customWidth="1"/>
    <col min="1217" max="1217" width="10.5546875" style="77" customWidth="1"/>
    <col min="1218" max="1218" width="2.6640625" style="77" customWidth="1"/>
    <col min="1219" max="1219" width="2.33203125" style="77" customWidth="1"/>
    <col min="1220" max="1220" width="1.6640625" style="77" customWidth="1"/>
    <col min="1221" max="1221" width="21.109375" style="77" customWidth="1"/>
    <col min="1222" max="1223" width="0.109375" style="77" customWidth="1"/>
    <col min="1224" max="1224" width="11.88671875" style="77" customWidth="1"/>
    <col min="1225" max="1226" width="0.109375" style="77" customWidth="1"/>
    <col min="1227" max="1227" width="5" style="77" customWidth="1"/>
    <col min="1228" max="1228" width="0.5546875" style="77" customWidth="1"/>
    <col min="1229" max="1229" width="3.44140625" style="77" customWidth="1"/>
    <col min="1230" max="1230" width="0.88671875" style="77" customWidth="1"/>
    <col min="1231" max="1231" width="0.33203125" style="77" customWidth="1"/>
    <col min="1232" max="1233" width="0" style="77" hidden="1" customWidth="1"/>
    <col min="1234" max="1456" width="9.109375" style="77" customWidth="1"/>
    <col min="1457" max="1457" width="0" style="77" hidden="1" customWidth="1"/>
    <col min="1458" max="1458" width="1.6640625" style="77" customWidth="1"/>
    <col min="1459" max="1459" width="3.44140625" style="77" customWidth="1"/>
    <col min="1460" max="1460" width="2.33203125" style="77" customWidth="1"/>
    <col min="1461" max="1461" width="0.109375" style="77" customWidth="1"/>
    <col min="1462" max="1462" width="1.109375" style="77" customWidth="1"/>
    <col min="1463" max="1463" width="1.6640625" style="77" customWidth="1"/>
    <col min="1464" max="1464" width="2" style="77" customWidth="1"/>
    <col min="1465" max="1465" width="0.6640625" style="77" customWidth="1"/>
    <col min="1466" max="1466" width="0.33203125" style="77" customWidth="1"/>
    <col min="1467" max="1467" width="2.6640625" style="77" customWidth="1"/>
    <col min="1468" max="1468" width="0.5546875" style="77" customWidth="1"/>
    <col min="1469" max="1469" width="1.33203125" style="77" customWidth="1"/>
    <col min="1470" max="1470" width="4.5546875" style="77" customWidth="1"/>
    <col min="1471" max="1471" width="0.109375" style="77" customWidth="1"/>
    <col min="1472" max="1472" width="12.33203125" style="77" customWidth="1"/>
    <col min="1473" max="1473" width="10.5546875" style="77" customWidth="1"/>
    <col min="1474" max="1474" width="2.6640625" style="77" customWidth="1"/>
    <col min="1475" max="1475" width="2.33203125" style="77" customWidth="1"/>
    <col min="1476" max="1476" width="1.6640625" style="77" customWidth="1"/>
    <col min="1477" max="1477" width="21.109375" style="77" customWidth="1"/>
    <col min="1478" max="1479" width="0.109375" style="77" customWidth="1"/>
    <col min="1480" max="1480" width="11.88671875" style="77" customWidth="1"/>
    <col min="1481" max="1482" width="0.109375" style="77" customWidth="1"/>
    <col min="1483" max="1483" width="5" style="77" customWidth="1"/>
    <col min="1484" max="1484" width="0.5546875" style="77" customWidth="1"/>
    <col min="1485" max="1485" width="3.44140625" style="77" customWidth="1"/>
    <col min="1486" max="1486" width="0.88671875" style="77" customWidth="1"/>
    <col min="1487" max="1487" width="0.33203125" style="77" customWidth="1"/>
    <col min="1488" max="1489" width="0" style="77" hidden="1" customWidth="1"/>
    <col min="1490" max="1712" width="9.109375" style="77" customWidth="1"/>
    <col min="1713" max="1713" width="0" style="77" hidden="1" customWidth="1"/>
    <col min="1714" max="1714" width="1.6640625" style="77" customWidth="1"/>
    <col min="1715" max="1715" width="3.44140625" style="77" customWidth="1"/>
    <col min="1716" max="1716" width="2.33203125" style="77" customWidth="1"/>
    <col min="1717" max="1717" width="0.109375" style="77" customWidth="1"/>
    <col min="1718" max="1718" width="1.109375" style="77" customWidth="1"/>
    <col min="1719" max="1719" width="1.6640625" style="77" customWidth="1"/>
    <col min="1720" max="1720" width="2" style="77" customWidth="1"/>
    <col min="1721" max="1721" width="0.6640625" style="77" customWidth="1"/>
    <col min="1722" max="1722" width="0.33203125" style="77" customWidth="1"/>
    <col min="1723" max="1723" width="2.6640625" style="77" customWidth="1"/>
    <col min="1724" max="1724" width="0.5546875" style="77" customWidth="1"/>
    <col min="1725" max="1725" width="1.33203125" style="77" customWidth="1"/>
    <col min="1726" max="1726" width="4.5546875" style="77" customWidth="1"/>
    <col min="1727" max="1727" width="0.109375" style="77" customWidth="1"/>
    <col min="1728" max="1728" width="12.33203125" style="77" customWidth="1"/>
    <col min="1729" max="1729" width="10.5546875" style="77" customWidth="1"/>
    <col min="1730" max="1730" width="2.6640625" style="77" customWidth="1"/>
    <col min="1731" max="1731" width="2.33203125" style="77" customWidth="1"/>
    <col min="1732" max="1732" width="1.6640625" style="77" customWidth="1"/>
    <col min="1733" max="1733" width="21.109375" style="77" customWidth="1"/>
    <col min="1734" max="1735" width="0.109375" style="77" customWidth="1"/>
    <col min="1736" max="1736" width="11.88671875" style="77" customWidth="1"/>
    <col min="1737" max="1738" width="0.109375" style="77" customWidth="1"/>
    <col min="1739" max="1739" width="5" style="77" customWidth="1"/>
    <col min="1740" max="1740" width="0.5546875" style="77" customWidth="1"/>
    <col min="1741" max="1741" width="3.44140625" style="77" customWidth="1"/>
    <col min="1742" max="1742" width="0.88671875" style="77" customWidth="1"/>
    <col min="1743" max="1743" width="0.33203125" style="77" customWidth="1"/>
    <col min="1744" max="1745" width="0" style="77" hidden="1" customWidth="1"/>
    <col min="1746" max="1968" width="9.109375" style="77" customWidth="1"/>
    <col min="1969" max="1969" width="0" style="77" hidden="1" customWidth="1"/>
    <col min="1970" max="1970" width="1.6640625" style="77" customWidth="1"/>
    <col min="1971" max="1971" width="3.44140625" style="77" customWidth="1"/>
    <col min="1972" max="1972" width="2.33203125" style="77" customWidth="1"/>
    <col min="1973" max="1973" width="0.109375" style="77" customWidth="1"/>
    <col min="1974" max="1974" width="1.109375" style="77" customWidth="1"/>
    <col min="1975" max="1975" width="1.6640625" style="77" customWidth="1"/>
    <col min="1976" max="1976" width="2" style="77" customWidth="1"/>
    <col min="1977" max="1977" width="0.6640625" style="77" customWidth="1"/>
    <col min="1978" max="1978" width="0.33203125" style="77" customWidth="1"/>
    <col min="1979" max="1979" width="2.6640625" style="77" customWidth="1"/>
    <col min="1980" max="1980" width="0.5546875" style="77" customWidth="1"/>
    <col min="1981" max="1981" width="1.33203125" style="77" customWidth="1"/>
    <col min="1982" max="1982" width="4.5546875" style="77" customWidth="1"/>
    <col min="1983" max="1983" width="0.109375" style="77" customWidth="1"/>
    <col min="1984" max="1984" width="12.33203125" style="77" customWidth="1"/>
    <col min="1985" max="1985" width="10.5546875" style="77" customWidth="1"/>
    <col min="1986" max="1986" width="2.6640625" style="77" customWidth="1"/>
    <col min="1987" max="1987" width="2.33203125" style="77" customWidth="1"/>
    <col min="1988" max="1988" width="1.6640625" style="77" customWidth="1"/>
    <col min="1989" max="1989" width="21.109375" style="77" customWidth="1"/>
    <col min="1990" max="1991" width="0.109375" style="77" customWidth="1"/>
    <col min="1992" max="1992" width="11.88671875" style="77" customWidth="1"/>
    <col min="1993" max="1994" width="0.109375" style="77" customWidth="1"/>
    <col min="1995" max="1995" width="5" style="77" customWidth="1"/>
    <col min="1996" max="1996" width="0.5546875" style="77" customWidth="1"/>
    <col min="1997" max="1997" width="3.44140625" style="77" customWidth="1"/>
    <col min="1998" max="1998" width="0.88671875" style="77" customWidth="1"/>
    <col min="1999" max="1999" width="0.33203125" style="77" customWidth="1"/>
    <col min="2000" max="2001" width="0" style="77" hidden="1" customWidth="1"/>
    <col min="2002" max="2224" width="9.109375" style="77" customWidth="1"/>
    <col min="2225" max="2225" width="0" style="77" hidden="1" customWidth="1"/>
    <col min="2226" max="2226" width="1.6640625" style="77" customWidth="1"/>
    <col min="2227" max="2227" width="3.44140625" style="77" customWidth="1"/>
    <col min="2228" max="2228" width="2.33203125" style="77" customWidth="1"/>
    <col min="2229" max="2229" width="0.109375" style="77" customWidth="1"/>
    <col min="2230" max="2230" width="1.109375" style="77" customWidth="1"/>
    <col min="2231" max="2231" width="1.6640625" style="77" customWidth="1"/>
    <col min="2232" max="2232" width="2" style="77" customWidth="1"/>
    <col min="2233" max="2233" width="0.6640625" style="77" customWidth="1"/>
    <col min="2234" max="2234" width="0.33203125" style="77" customWidth="1"/>
    <col min="2235" max="2235" width="2.6640625" style="77" customWidth="1"/>
    <col min="2236" max="2236" width="0.5546875" style="77" customWidth="1"/>
    <col min="2237" max="2237" width="1.33203125" style="77" customWidth="1"/>
    <col min="2238" max="2238" width="4.5546875" style="77" customWidth="1"/>
    <col min="2239" max="2239" width="0.109375" style="77" customWidth="1"/>
    <col min="2240" max="2240" width="12.33203125" style="77" customWidth="1"/>
    <col min="2241" max="2241" width="10.5546875" style="77" customWidth="1"/>
    <col min="2242" max="2242" width="2.6640625" style="77" customWidth="1"/>
    <col min="2243" max="2243" width="2.33203125" style="77" customWidth="1"/>
    <col min="2244" max="2244" width="1.6640625" style="77" customWidth="1"/>
    <col min="2245" max="2245" width="21.109375" style="77" customWidth="1"/>
    <col min="2246" max="2247" width="0.109375" style="77" customWidth="1"/>
    <col min="2248" max="2248" width="11.88671875" style="77" customWidth="1"/>
    <col min="2249" max="2250" width="0.109375" style="77" customWidth="1"/>
    <col min="2251" max="2251" width="5" style="77" customWidth="1"/>
    <col min="2252" max="2252" width="0.5546875" style="77" customWidth="1"/>
    <col min="2253" max="2253" width="3.44140625" style="77" customWidth="1"/>
    <col min="2254" max="2254" width="0.88671875" style="77" customWidth="1"/>
    <col min="2255" max="2255" width="0.33203125" style="77" customWidth="1"/>
    <col min="2256" max="2257" width="0" style="77" hidden="1" customWidth="1"/>
    <col min="2258" max="2480" width="9.109375" style="77" customWidth="1"/>
    <col min="2481" max="2481" width="0" style="77" hidden="1" customWidth="1"/>
    <col min="2482" max="2482" width="1.6640625" style="77" customWidth="1"/>
    <col min="2483" max="2483" width="3.44140625" style="77" customWidth="1"/>
    <col min="2484" max="2484" width="2.33203125" style="77" customWidth="1"/>
    <col min="2485" max="2485" width="0.109375" style="77" customWidth="1"/>
    <col min="2486" max="2486" width="1.109375" style="77" customWidth="1"/>
    <col min="2487" max="2487" width="1.6640625" style="77" customWidth="1"/>
    <col min="2488" max="2488" width="2" style="77" customWidth="1"/>
    <col min="2489" max="2489" width="0.6640625" style="77" customWidth="1"/>
    <col min="2490" max="2490" width="0.33203125" style="77" customWidth="1"/>
    <col min="2491" max="2491" width="2.6640625" style="77" customWidth="1"/>
    <col min="2492" max="2492" width="0.5546875" style="77" customWidth="1"/>
    <col min="2493" max="2493" width="1.33203125" style="77" customWidth="1"/>
    <col min="2494" max="2494" width="4.5546875" style="77" customWidth="1"/>
    <col min="2495" max="2495" width="0.109375" style="77" customWidth="1"/>
    <col min="2496" max="2496" width="12.33203125" style="77" customWidth="1"/>
    <col min="2497" max="2497" width="10.5546875" style="77" customWidth="1"/>
    <col min="2498" max="2498" width="2.6640625" style="77" customWidth="1"/>
    <col min="2499" max="2499" width="2.33203125" style="77" customWidth="1"/>
    <col min="2500" max="2500" width="1.6640625" style="77" customWidth="1"/>
    <col min="2501" max="2501" width="21.109375" style="77" customWidth="1"/>
    <col min="2502" max="2503" width="0.109375" style="77" customWidth="1"/>
    <col min="2504" max="2504" width="11.88671875" style="77" customWidth="1"/>
    <col min="2505" max="2506" width="0.109375" style="77" customWidth="1"/>
    <col min="2507" max="2507" width="5" style="77" customWidth="1"/>
    <col min="2508" max="2508" width="0.5546875" style="77" customWidth="1"/>
    <col min="2509" max="2509" width="3.44140625" style="77" customWidth="1"/>
    <col min="2510" max="2510" width="0.88671875" style="77" customWidth="1"/>
    <col min="2511" max="2511" width="0.33203125" style="77" customWidth="1"/>
    <col min="2512" max="2513" width="0" style="77" hidden="1" customWidth="1"/>
    <col min="2514" max="2736" width="9.109375" style="77" customWidth="1"/>
    <col min="2737" max="2737" width="0" style="77" hidden="1" customWidth="1"/>
    <col min="2738" max="2738" width="1.6640625" style="77" customWidth="1"/>
    <col min="2739" max="2739" width="3.44140625" style="77" customWidth="1"/>
    <col min="2740" max="2740" width="2.33203125" style="77" customWidth="1"/>
    <col min="2741" max="2741" width="0.109375" style="77" customWidth="1"/>
    <col min="2742" max="2742" width="1.109375" style="77" customWidth="1"/>
    <col min="2743" max="2743" width="1.6640625" style="77" customWidth="1"/>
    <col min="2744" max="2744" width="2" style="77" customWidth="1"/>
    <col min="2745" max="2745" width="0.6640625" style="77" customWidth="1"/>
    <col min="2746" max="2746" width="0.33203125" style="77" customWidth="1"/>
    <col min="2747" max="2747" width="2.6640625" style="77" customWidth="1"/>
    <col min="2748" max="2748" width="0.5546875" style="77" customWidth="1"/>
    <col min="2749" max="2749" width="1.33203125" style="77" customWidth="1"/>
    <col min="2750" max="2750" width="4.5546875" style="77" customWidth="1"/>
    <col min="2751" max="2751" width="0.109375" style="77" customWidth="1"/>
    <col min="2752" max="2752" width="12.33203125" style="77" customWidth="1"/>
    <col min="2753" max="2753" width="10.5546875" style="77" customWidth="1"/>
    <col min="2754" max="2754" width="2.6640625" style="77" customWidth="1"/>
    <col min="2755" max="2755" width="2.33203125" style="77" customWidth="1"/>
    <col min="2756" max="2756" width="1.6640625" style="77" customWidth="1"/>
    <col min="2757" max="2757" width="21.109375" style="77" customWidth="1"/>
    <col min="2758" max="2759" width="0.109375" style="77" customWidth="1"/>
    <col min="2760" max="2760" width="11.88671875" style="77" customWidth="1"/>
    <col min="2761" max="2762" width="0.109375" style="77" customWidth="1"/>
    <col min="2763" max="2763" width="5" style="77" customWidth="1"/>
    <col min="2764" max="2764" width="0.5546875" style="77" customWidth="1"/>
    <col min="2765" max="2765" width="3.44140625" style="77" customWidth="1"/>
    <col min="2766" max="2766" width="0.88671875" style="77" customWidth="1"/>
    <col min="2767" max="2767" width="0.33203125" style="77" customWidth="1"/>
    <col min="2768" max="2769" width="0" style="77" hidden="1" customWidth="1"/>
    <col min="2770" max="2992" width="9.109375" style="77" customWidth="1"/>
    <col min="2993" max="2993" width="0" style="77" hidden="1" customWidth="1"/>
    <col min="2994" max="2994" width="1.6640625" style="77" customWidth="1"/>
    <col min="2995" max="2995" width="3.44140625" style="77" customWidth="1"/>
    <col min="2996" max="2996" width="2.33203125" style="77" customWidth="1"/>
    <col min="2997" max="2997" width="0.109375" style="77" customWidth="1"/>
    <col min="2998" max="2998" width="1.109375" style="77" customWidth="1"/>
    <col min="2999" max="2999" width="1.6640625" style="77" customWidth="1"/>
    <col min="3000" max="3000" width="2" style="77" customWidth="1"/>
    <col min="3001" max="3001" width="0.6640625" style="77" customWidth="1"/>
    <col min="3002" max="3002" width="0.33203125" style="77" customWidth="1"/>
    <col min="3003" max="3003" width="2.6640625" style="77" customWidth="1"/>
    <col min="3004" max="3004" width="0.5546875" style="77" customWidth="1"/>
    <col min="3005" max="3005" width="1.33203125" style="77" customWidth="1"/>
    <col min="3006" max="3006" width="4.5546875" style="77" customWidth="1"/>
    <col min="3007" max="3007" width="0.109375" style="77" customWidth="1"/>
    <col min="3008" max="3008" width="12.33203125" style="77" customWidth="1"/>
    <col min="3009" max="3009" width="10.5546875" style="77" customWidth="1"/>
    <col min="3010" max="3010" width="2.6640625" style="77" customWidth="1"/>
    <col min="3011" max="3011" width="2.33203125" style="77" customWidth="1"/>
    <col min="3012" max="3012" width="1.6640625" style="77" customWidth="1"/>
    <col min="3013" max="3013" width="21.109375" style="77" customWidth="1"/>
    <col min="3014" max="3015" width="0.109375" style="77" customWidth="1"/>
    <col min="3016" max="3016" width="11.88671875" style="77" customWidth="1"/>
    <col min="3017" max="3018" width="0.109375" style="77" customWidth="1"/>
    <col min="3019" max="3019" width="5" style="77" customWidth="1"/>
    <col min="3020" max="3020" width="0.5546875" style="77" customWidth="1"/>
    <col min="3021" max="3021" width="3.44140625" style="77" customWidth="1"/>
    <col min="3022" max="3022" width="0.88671875" style="77" customWidth="1"/>
    <col min="3023" max="3023" width="0.33203125" style="77" customWidth="1"/>
    <col min="3024" max="3025" width="0" style="77" hidden="1" customWidth="1"/>
    <col min="3026" max="3248" width="9.109375" style="77" customWidth="1"/>
    <col min="3249" max="3249" width="0" style="77" hidden="1" customWidth="1"/>
    <col min="3250" max="3250" width="1.6640625" style="77" customWidth="1"/>
    <col min="3251" max="3251" width="3.44140625" style="77" customWidth="1"/>
    <col min="3252" max="3252" width="2.33203125" style="77" customWidth="1"/>
    <col min="3253" max="3253" width="0.109375" style="77" customWidth="1"/>
    <col min="3254" max="3254" width="1.109375" style="77" customWidth="1"/>
    <col min="3255" max="3255" width="1.6640625" style="77" customWidth="1"/>
    <col min="3256" max="3256" width="2" style="77" customWidth="1"/>
    <col min="3257" max="3257" width="0.6640625" style="77" customWidth="1"/>
    <col min="3258" max="3258" width="0.33203125" style="77" customWidth="1"/>
    <col min="3259" max="3259" width="2.6640625" style="77" customWidth="1"/>
    <col min="3260" max="3260" width="0.5546875" style="77" customWidth="1"/>
    <col min="3261" max="3261" width="1.33203125" style="77" customWidth="1"/>
    <col min="3262" max="3262" width="4.5546875" style="77" customWidth="1"/>
    <col min="3263" max="3263" width="0.109375" style="77" customWidth="1"/>
    <col min="3264" max="3264" width="12.33203125" style="77" customWidth="1"/>
    <col min="3265" max="3265" width="10.5546875" style="77" customWidth="1"/>
    <col min="3266" max="3266" width="2.6640625" style="77" customWidth="1"/>
    <col min="3267" max="3267" width="2.33203125" style="77" customWidth="1"/>
    <col min="3268" max="3268" width="1.6640625" style="77" customWidth="1"/>
    <col min="3269" max="3269" width="21.109375" style="77" customWidth="1"/>
    <col min="3270" max="3271" width="0.109375" style="77" customWidth="1"/>
    <col min="3272" max="3272" width="11.88671875" style="77" customWidth="1"/>
    <col min="3273" max="3274" width="0.109375" style="77" customWidth="1"/>
    <col min="3275" max="3275" width="5" style="77" customWidth="1"/>
    <col min="3276" max="3276" width="0.5546875" style="77" customWidth="1"/>
    <col min="3277" max="3277" width="3.44140625" style="77" customWidth="1"/>
    <col min="3278" max="3278" width="0.88671875" style="77" customWidth="1"/>
    <col min="3279" max="3279" width="0.33203125" style="77" customWidth="1"/>
    <col min="3280" max="3281" width="0" style="77" hidden="1" customWidth="1"/>
    <col min="3282" max="3504" width="9.109375" style="77" customWidth="1"/>
    <col min="3505" max="3505" width="0" style="77" hidden="1" customWidth="1"/>
    <col min="3506" max="3506" width="1.6640625" style="77" customWidth="1"/>
    <col min="3507" max="3507" width="3.44140625" style="77" customWidth="1"/>
    <col min="3508" max="3508" width="2.33203125" style="77" customWidth="1"/>
    <col min="3509" max="3509" width="0.109375" style="77" customWidth="1"/>
    <col min="3510" max="3510" width="1.109375" style="77" customWidth="1"/>
    <col min="3511" max="3511" width="1.6640625" style="77" customWidth="1"/>
    <col min="3512" max="3512" width="2" style="77" customWidth="1"/>
    <col min="3513" max="3513" width="0.6640625" style="77" customWidth="1"/>
    <col min="3514" max="3514" width="0.33203125" style="77" customWidth="1"/>
    <col min="3515" max="3515" width="2.6640625" style="77" customWidth="1"/>
    <col min="3516" max="3516" width="0.5546875" style="77" customWidth="1"/>
    <col min="3517" max="3517" width="1.33203125" style="77" customWidth="1"/>
    <col min="3518" max="3518" width="4.5546875" style="77" customWidth="1"/>
    <col min="3519" max="3519" width="0.109375" style="77" customWidth="1"/>
    <col min="3520" max="3520" width="12.33203125" style="77" customWidth="1"/>
    <col min="3521" max="3521" width="10.5546875" style="77" customWidth="1"/>
    <col min="3522" max="3522" width="2.6640625" style="77" customWidth="1"/>
    <col min="3523" max="3523" width="2.33203125" style="77" customWidth="1"/>
    <col min="3524" max="3524" width="1.6640625" style="77" customWidth="1"/>
    <col min="3525" max="3525" width="21.109375" style="77" customWidth="1"/>
    <col min="3526" max="3527" width="0.109375" style="77" customWidth="1"/>
    <col min="3528" max="3528" width="11.88671875" style="77" customWidth="1"/>
    <col min="3529" max="3530" width="0.109375" style="77" customWidth="1"/>
    <col min="3531" max="3531" width="5" style="77" customWidth="1"/>
    <col min="3532" max="3532" width="0.5546875" style="77" customWidth="1"/>
    <col min="3533" max="3533" width="3.44140625" style="77" customWidth="1"/>
    <col min="3534" max="3534" width="0.88671875" style="77" customWidth="1"/>
    <col min="3535" max="3535" width="0.33203125" style="77" customWidth="1"/>
    <col min="3536" max="3537" width="0" style="77" hidden="1" customWidth="1"/>
    <col min="3538" max="3760" width="9.109375" style="77" customWidth="1"/>
    <col min="3761" max="3761" width="0" style="77" hidden="1" customWidth="1"/>
    <col min="3762" max="3762" width="1.6640625" style="77" customWidth="1"/>
    <col min="3763" max="3763" width="3.44140625" style="77" customWidth="1"/>
    <col min="3764" max="3764" width="2.33203125" style="77" customWidth="1"/>
    <col min="3765" max="3765" width="0.109375" style="77" customWidth="1"/>
    <col min="3766" max="3766" width="1.109375" style="77" customWidth="1"/>
    <col min="3767" max="3767" width="1.6640625" style="77" customWidth="1"/>
    <col min="3768" max="3768" width="2" style="77" customWidth="1"/>
    <col min="3769" max="3769" width="0.6640625" style="77" customWidth="1"/>
    <col min="3770" max="3770" width="0.33203125" style="77" customWidth="1"/>
    <col min="3771" max="3771" width="2.6640625" style="77" customWidth="1"/>
    <col min="3772" max="3772" width="0.5546875" style="77" customWidth="1"/>
    <col min="3773" max="3773" width="1.33203125" style="77" customWidth="1"/>
    <col min="3774" max="3774" width="4.5546875" style="77" customWidth="1"/>
    <col min="3775" max="3775" width="0.109375" style="77" customWidth="1"/>
    <col min="3776" max="3776" width="12.33203125" style="77" customWidth="1"/>
    <col min="3777" max="3777" width="10.5546875" style="77" customWidth="1"/>
    <col min="3778" max="3778" width="2.6640625" style="77" customWidth="1"/>
    <col min="3779" max="3779" width="2.33203125" style="77" customWidth="1"/>
    <col min="3780" max="3780" width="1.6640625" style="77" customWidth="1"/>
    <col min="3781" max="3781" width="21.109375" style="77" customWidth="1"/>
    <col min="3782" max="3783" width="0.109375" style="77" customWidth="1"/>
    <col min="3784" max="3784" width="11.88671875" style="77" customWidth="1"/>
    <col min="3785" max="3786" width="0.109375" style="77" customWidth="1"/>
    <col min="3787" max="3787" width="5" style="77" customWidth="1"/>
    <col min="3788" max="3788" width="0.5546875" style="77" customWidth="1"/>
    <col min="3789" max="3789" width="3.44140625" style="77" customWidth="1"/>
    <col min="3790" max="3790" width="0.88671875" style="77" customWidth="1"/>
    <col min="3791" max="3791" width="0.33203125" style="77" customWidth="1"/>
    <col min="3792" max="3793" width="0" style="77" hidden="1" customWidth="1"/>
    <col min="3794" max="4016" width="9.109375" style="77" customWidth="1"/>
    <col min="4017" max="4017" width="0" style="77" hidden="1" customWidth="1"/>
    <col min="4018" max="4018" width="1.6640625" style="77" customWidth="1"/>
    <col min="4019" max="4019" width="3.44140625" style="77" customWidth="1"/>
    <col min="4020" max="4020" width="2.33203125" style="77" customWidth="1"/>
    <col min="4021" max="4021" width="0.109375" style="77" customWidth="1"/>
    <col min="4022" max="4022" width="1.109375" style="77" customWidth="1"/>
    <col min="4023" max="4023" width="1.6640625" style="77" customWidth="1"/>
    <col min="4024" max="4024" width="2" style="77" customWidth="1"/>
    <col min="4025" max="4025" width="0.6640625" style="77" customWidth="1"/>
    <col min="4026" max="4026" width="0.33203125" style="77" customWidth="1"/>
    <col min="4027" max="4027" width="2.6640625" style="77" customWidth="1"/>
    <col min="4028" max="4028" width="0.5546875" style="77" customWidth="1"/>
    <col min="4029" max="4029" width="1.33203125" style="77" customWidth="1"/>
    <col min="4030" max="4030" width="4.5546875" style="77" customWidth="1"/>
    <col min="4031" max="4031" width="0.109375" style="77" customWidth="1"/>
    <col min="4032" max="4032" width="12.33203125" style="77" customWidth="1"/>
    <col min="4033" max="4033" width="10.5546875" style="77" customWidth="1"/>
    <col min="4034" max="4034" width="2.6640625" style="77" customWidth="1"/>
    <col min="4035" max="4035" width="2.33203125" style="77" customWidth="1"/>
    <col min="4036" max="4036" width="1.6640625" style="77" customWidth="1"/>
    <col min="4037" max="4037" width="21.109375" style="77" customWidth="1"/>
    <col min="4038" max="4039" width="0.109375" style="77" customWidth="1"/>
    <col min="4040" max="4040" width="11.88671875" style="77" customWidth="1"/>
    <col min="4041" max="4042" width="0.109375" style="77" customWidth="1"/>
    <col min="4043" max="4043" width="5" style="77" customWidth="1"/>
    <col min="4044" max="4044" width="0.5546875" style="77" customWidth="1"/>
    <col min="4045" max="4045" width="3.44140625" style="77" customWidth="1"/>
    <col min="4046" max="4046" width="0.88671875" style="77" customWidth="1"/>
    <col min="4047" max="4047" width="0.33203125" style="77" customWidth="1"/>
    <col min="4048" max="4049" width="0" style="77" hidden="1" customWidth="1"/>
    <col min="4050" max="4272" width="9.109375" style="77" customWidth="1"/>
    <col min="4273" max="4273" width="0" style="77" hidden="1" customWidth="1"/>
    <col min="4274" max="4274" width="1.6640625" style="77" customWidth="1"/>
    <col min="4275" max="4275" width="3.44140625" style="77" customWidth="1"/>
    <col min="4276" max="4276" width="2.33203125" style="77" customWidth="1"/>
    <col min="4277" max="4277" width="0.109375" style="77" customWidth="1"/>
    <col min="4278" max="4278" width="1.109375" style="77" customWidth="1"/>
    <col min="4279" max="4279" width="1.6640625" style="77" customWidth="1"/>
    <col min="4280" max="4280" width="2" style="77" customWidth="1"/>
    <col min="4281" max="4281" width="0.6640625" style="77" customWidth="1"/>
    <col min="4282" max="4282" width="0.33203125" style="77" customWidth="1"/>
    <col min="4283" max="4283" width="2.6640625" style="77" customWidth="1"/>
    <col min="4284" max="4284" width="0.5546875" style="77" customWidth="1"/>
    <col min="4285" max="4285" width="1.33203125" style="77" customWidth="1"/>
    <col min="4286" max="4286" width="4.5546875" style="77" customWidth="1"/>
    <col min="4287" max="4287" width="0.109375" style="77" customWidth="1"/>
    <col min="4288" max="4288" width="12.33203125" style="77" customWidth="1"/>
    <col min="4289" max="4289" width="10.5546875" style="77" customWidth="1"/>
    <col min="4290" max="4290" width="2.6640625" style="77" customWidth="1"/>
    <col min="4291" max="4291" width="2.33203125" style="77" customWidth="1"/>
    <col min="4292" max="4292" width="1.6640625" style="77" customWidth="1"/>
    <col min="4293" max="4293" width="21.109375" style="77" customWidth="1"/>
    <col min="4294" max="4295" width="0.109375" style="77" customWidth="1"/>
    <col min="4296" max="4296" width="11.88671875" style="77" customWidth="1"/>
    <col min="4297" max="4298" width="0.109375" style="77" customWidth="1"/>
    <col min="4299" max="4299" width="5" style="77" customWidth="1"/>
    <col min="4300" max="4300" width="0.5546875" style="77" customWidth="1"/>
    <col min="4301" max="4301" width="3.44140625" style="77" customWidth="1"/>
    <col min="4302" max="4302" width="0.88671875" style="77" customWidth="1"/>
    <col min="4303" max="4303" width="0.33203125" style="77" customWidth="1"/>
    <col min="4304" max="4305" width="0" style="77" hidden="1" customWidth="1"/>
    <col min="4306" max="4528" width="9.109375" style="77" customWidth="1"/>
    <col min="4529" max="4529" width="0" style="77" hidden="1" customWidth="1"/>
    <col min="4530" max="4530" width="1.6640625" style="77" customWidth="1"/>
    <col min="4531" max="4531" width="3.44140625" style="77" customWidth="1"/>
    <col min="4532" max="4532" width="2.33203125" style="77" customWidth="1"/>
    <col min="4533" max="4533" width="0.109375" style="77" customWidth="1"/>
    <col min="4534" max="4534" width="1.109375" style="77" customWidth="1"/>
    <col min="4535" max="4535" width="1.6640625" style="77" customWidth="1"/>
    <col min="4536" max="4536" width="2" style="77" customWidth="1"/>
    <col min="4537" max="4537" width="0.6640625" style="77" customWidth="1"/>
    <col min="4538" max="4538" width="0.33203125" style="77" customWidth="1"/>
    <col min="4539" max="4539" width="2.6640625" style="77" customWidth="1"/>
    <col min="4540" max="4540" width="0.5546875" style="77" customWidth="1"/>
    <col min="4541" max="4541" width="1.33203125" style="77" customWidth="1"/>
    <col min="4542" max="4542" width="4.5546875" style="77" customWidth="1"/>
    <col min="4543" max="4543" width="0.109375" style="77" customWidth="1"/>
    <col min="4544" max="4544" width="12.33203125" style="77" customWidth="1"/>
    <col min="4545" max="4545" width="10.5546875" style="77" customWidth="1"/>
    <col min="4546" max="4546" width="2.6640625" style="77" customWidth="1"/>
    <col min="4547" max="4547" width="2.33203125" style="77" customWidth="1"/>
    <col min="4548" max="4548" width="1.6640625" style="77" customWidth="1"/>
    <col min="4549" max="4549" width="21.109375" style="77" customWidth="1"/>
    <col min="4550" max="4551" width="0.109375" style="77" customWidth="1"/>
    <col min="4552" max="4552" width="11.88671875" style="77" customWidth="1"/>
    <col min="4553" max="4554" width="0.109375" style="77" customWidth="1"/>
    <col min="4555" max="4555" width="5" style="77" customWidth="1"/>
    <col min="4556" max="4556" width="0.5546875" style="77" customWidth="1"/>
    <col min="4557" max="4557" width="3.44140625" style="77" customWidth="1"/>
    <col min="4558" max="4558" width="0.88671875" style="77" customWidth="1"/>
    <col min="4559" max="4559" width="0.33203125" style="77" customWidth="1"/>
    <col min="4560" max="4561" width="0" style="77" hidden="1" customWidth="1"/>
    <col min="4562" max="4784" width="9.109375" style="77" customWidth="1"/>
    <col min="4785" max="4785" width="0" style="77" hidden="1" customWidth="1"/>
    <col min="4786" max="4786" width="1.6640625" style="77" customWidth="1"/>
    <col min="4787" max="4787" width="3.44140625" style="77" customWidth="1"/>
    <col min="4788" max="4788" width="2.33203125" style="77" customWidth="1"/>
    <col min="4789" max="4789" width="0.109375" style="77" customWidth="1"/>
    <col min="4790" max="4790" width="1.109375" style="77" customWidth="1"/>
    <col min="4791" max="4791" width="1.6640625" style="77" customWidth="1"/>
    <col min="4792" max="4792" width="2" style="77" customWidth="1"/>
    <col min="4793" max="4793" width="0.6640625" style="77" customWidth="1"/>
    <col min="4794" max="4794" width="0.33203125" style="77" customWidth="1"/>
    <col min="4795" max="4795" width="2.6640625" style="77" customWidth="1"/>
    <col min="4796" max="4796" width="0.5546875" style="77" customWidth="1"/>
    <col min="4797" max="4797" width="1.33203125" style="77" customWidth="1"/>
    <col min="4798" max="4798" width="4.5546875" style="77" customWidth="1"/>
    <col min="4799" max="4799" width="0.109375" style="77" customWidth="1"/>
    <col min="4800" max="4800" width="12.33203125" style="77" customWidth="1"/>
    <col min="4801" max="4801" width="10.5546875" style="77" customWidth="1"/>
    <col min="4802" max="4802" width="2.6640625" style="77" customWidth="1"/>
    <col min="4803" max="4803" width="2.33203125" style="77" customWidth="1"/>
    <col min="4804" max="4804" width="1.6640625" style="77" customWidth="1"/>
    <col min="4805" max="4805" width="21.109375" style="77" customWidth="1"/>
    <col min="4806" max="4807" width="0.109375" style="77" customWidth="1"/>
    <col min="4808" max="4808" width="11.88671875" style="77" customWidth="1"/>
    <col min="4809" max="4810" width="0.109375" style="77" customWidth="1"/>
    <col min="4811" max="4811" width="5" style="77" customWidth="1"/>
    <col min="4812" max="4812" width="0.5546875" style="77" customWidth="1"/>
    <col min="4813" max="4813" width="3.44140625" style="77" customWidth="1"/>
    <col min="4814" max="4814" width="0.88671875" style="77" customWidth="1"/>
    <col min="4815" max="4815" width="0.33203125" style="77" customWidth="1"/>
    <col min="4816" max="4817" width="0" style="77" hidden="1" customWidth="1"/>
    <col min="4818" max="5040" width="9.109375" style="77" customWidth="1"/>
    <col min="5041" max="5041" width="0" style="77" hidden="1" customWidth="1"/>
    <col min="5042" max="5042" width="1.6640625" style="77" customWidth="1"/>
    <col min="5043" max="5043" width="3.44140625" style="77" customWidth="1"/>
    <col min="5044" max="5044" width="2.33203125" style="77" customWidth="1"/>
    <col min="5045" max="5045" width="0.109375" style="77" customWidth="1"/>
    <col min="5046" max="5046" width="1.109375" style="77" customWidth="1"/>
    <col min="5047" max="5047" width="1.6640625" style="77" customWidth="1"/>
    <col min="5048" max="5048" width="2" style="77" customWidth="1"/>
    <col min="5049" max="5049" width="0.6640625" style="77" customWidth="1"/>
    <col min="5050" max="5050" width="0.33203125" style="77" customWidth="1"/>
    <col min="5051" max="5051" width="2.6640625" style="77" customWidth="1"/>
    <col min="5052" max="5052" width="0.5546875" style="77" customWidth="1"/>
    <col min="5053" max="5053" width="1.33203125" style="77" customWidth="1"/>
    <col min="5054" max="5054" width="4.5546875" style="77" customWidth="1"/>
    <col min="5055" max="5055" width="0.109375" style="77" customWidth="1"/>
    <col min="5056" max="5056" width="12.33203125" style="77" customWidth="1"/>
    <col min="5057" max="5057" width="10.5546875" style="77" customWidth="1"/>
    <col min="5058" max="5058" width="2.6640625" style="77" customWidth="1"/>
    <col min="5059" max="5059" width="2.33203125" style="77" customWidth="1"/>
    <col min="5060" max="5060" width="1.6640625" style="77" customWidth="1"/>
    <col min="5061" max="5061" width="21.109375" style="77" customWidth="1"/>
    <col min="5062" max="5063" width="0.109375" style="77" customWidth="1"/>
    <col min="5064" max="5064" width="11.88671875" style="77" customWidth="1"/>
    <col min="5065" max="5066" width="0.109375" style="77" customWidth="1"/>
    <col min="5067" max="5067" width="5" style="77" customWidth="1"/>
    <col min="5068" max="5068" width="0.5546875" style="77" customWidth="1"/>
    <col min="5069" max="5069" width="3.44140625" style="77" customWidth="1"/>
    <col min="5070" max="5070" width="0.88671875" style="77" customWidth="1"/>
    <col min="5071" max="5071" width="0.33203125" style="77" customWidth="1"/>
    <col min="5072" max="5073" width="0" style="77" hidden="1" customWidth="1"/>
    <col min="5074" max="5296" width="9.109375" style="77" customWidth="1"/>
    <col min="5297" max="5297" width="0" style="77" hidden="1" customWidth="1"/>
    <col min="5298" max="5298" width="1.6640625" style="77" customWidth="1"/>
    <col min="5299" max="5299" width="3.44140625" style="77" customWidth="1"/>
    <col min="5300" max="5300" width="2.33203125" style="77" customWidth="1"/>
    <col min="5301" max="5301" width="0.109375" style="77" customWidth="1"/>
    <col min="5302" max="5302" width="1.109375" style="77" customWidth="1"/>
    <col min="5303" max="5303" width="1.6640625" style="77" customWidth="1"/>
    <col min="5304" max="5304" width="2" style="77" customWidth="1"/>
    <col min="5305" max="5305" width="0.6640625" style="77" customWidth="1"/>
    <col min="5306" max="5306" width="0.33203125" style="77" customWidth="1"/>
    <col min="5307" max="5307" width="2.6640625" style="77" customWidth="1"/>
    <col min="5308" max="5308" width="0.5546875" style="77" customWidth="1"/>
    <col min="5309" max="5309" width="1.33203125" style="77" customWidth="1"/>
    <col min="5310" max="5310" width="4.5546875" style="77" customWidth="1"/>
    <col min="5311" max="5311" width="0.109375" style="77" customWidth="1"/>
    <col min="5312" max="5312" width="12.33203125" style="77" customWidth="1"/>
    <col min="5313" max="5313" width="10.5546875" style="77" customWidth="1"/>
    <col min="5314" max="5314" width="2.6640625" style="77" customWidth="1"/>
    <col min="5315" max="5315" width="2.33203125" style="77" customWidth="1"/>
    <col min="5316" max="5316" width="1.6640625" style="77" customWidth="1"/>
    <col min="5317" max="5317" width="21.109375" style="77" customWidth="1"/>
    <col min="5318" max="5319" width="0.109375" style="77" customWidth="1"/>
    <col min="5320" max="5320" width="11.88671875" style="77" customWidth="1"/>
    <col min="5321" max="5322" width="0.109375" style="77" customWidth="1"/>
    <col min="5323" max="5323" width="5" style="77" customWidth="1"/>
    <col min="5324" max="5324" width="0.5546875" style="77" customWidth="1"/>
    <col min="5325" max="5325" width="3.44140625" style="77" customWidth="1"/>
    <col min="5326" max="5326" width="0.88671875" style="77" customWidth="1"/>
    <col min="5327" max="5327" width="0.33203125" style="77" customWidth="1"/>
    <col min="5328" max="5329" width="0" style="77" hidden="1" customWidth="1"/>
    <col min="5330" max="5552" width="9.109375" style="77" customWidth="1"/>
    <col min="5553" max="5553" width="0" style="77" hidden="1" customWidth="1"/>
    <col min="5554" max="5554" width="1.6640625" style="77" customWidth="1"/>
    <col min="5555" max="5555" width="3.44140625" style="77" customWidth="1"/>
    <col min="5556" max="5556" width="2.33203125" style="77" customWidth="1"/>
    <col min="5557" max="5557" width="0.109375" style="77" customWidth="1"/>
    <col min="5558" max="5558" width="1.109375" style="77" customWidth="1"/>
    <col min="5559" max="5559" width="1.6640625" style="77" customWidth="1"/>
    <col min="5560" max="5560" width="2" style="77" customWidth="1"/>
    <col min="5561" max="5561" width="0.6640625" style="77" customWidth="1"/>
    <col min="5562" max="5562" width="0.33203125" style="77" customWidth="1"/>
    <col min="5563" max="5563" width="2.6640625" style="77" customWidth="1"/>
    <col min="5564" max="5564" width="0.5546875" style="77" customWidth="1"/>
    <col min="5565" max="5565" width="1.33203125" style="77" customWidth="1"/>
    <col min="5566" max="5566" width="4.5546875" style="77" customWidth="1"/>
    <col min="5567" max="5567" width="0.109375" style="77" customWidth="1"/>
    <col min="5568" max="5568" width="12.33203125" style="77" customWidth="1"/>
    <col min="5569" max="5569" width="10.5546875" style="77" customWidth="1"/>
    <col min="5570" max="5570" width="2.6640625" style="77" customWidth="1"/>
    <col min="5571" max="5571" width="2.33203125" style="77" customWidth="1"/>
    <col min="5572" max="5572" width="1.6640625" style="77" customWidth="1"/>
    <col min="5573" max="5573" width="21.109375" style="77" customWidth="1"/>
    <col min="5574" max="5575" width="0.109375" style="77" customWidth="1"/>
    <col min="5576" max="5576" width="11.88671875" style="77" customWidth="1"/>
    <col min="5577" max="5578" width="0.109375" style="77" customWidth="1"/>
    <col min="5579" max="5579" width="5" style="77" customWidth="1"/>
    <col min="5580" max="5580" width="0.5546875" style="77" customWidth="1"/>
    <col min="5581" max="5581" width="3.44140625" style="77" customWidth="1"/>
    <col min="5582" max="5582" width="0.88671875" style="77" customWidth="1"/>
    <col min="5583" max="5583" width="0.33203125" style="77" customWidth="1"/>
    <col min="5584" max="5585" width="0" style="77" hidden="1" customWidth="1"/>
    <col min="5586" max="5808" width="9.109375" style="77" customWidth="1"/>
    <col min="5809" max="5809" width="0" style="77" hidden="1" customWidth="1"/>
    <col min="5810" max="5810" width="1.6640625" style="77" customWidth="1"/>
    <col min="5811" max="5811" width="3.44140625" style="77" customWidth="1"/>
    <col min="5812" max="5812" width="2.33203125" style="77" customWidth="1"/>
    <col min="5813" max="5813" width="0.109375" style="77" customWidth="1"/>
    <col min="5814" max="5814" width="1.109375" style="77" customWidth="1"/>
    <col min="5815" max="5815" width="1.6640625" style="77" customWidth="1"/>
    <col min="5816" max="5816" width="2" style="77" customWidth="1"/>
    <col min="5817" max="5817" width="0.6640625" style="77" customWidth="1"/>
    <col min="5818" max="5818" width="0.33203125" style="77" customWidth="1"/>
    <col min="5819" max="5819" width="2.6640625" style="77" customWidth="1"/>
    <col min="5820" max="5820" width="0.5546875" style="77" customWidth="1"/>
    <col min="5821" max="5821" width="1.33203125" style="77" customWidth="1"/>
    <col min="5822" max="5822" width="4.5546875" style="77" customWidth="1"/>
    <col min="5823" max="5823" width="0.109375" style="77" customWidth="1"/>
    <col min="5824" max="5824" width="12.33203125" style="77" customWidth="1"/>
    <col min="5825" max="5825" width="10.5546875" style="77" customWidth="1"/>
    <col min="5826" max="5826" width="2.6640625" style="77" customWidth="1"/>
    <col min="5827" max="5827" width="2.33203125" style="77" customWidth="1"/>
    <col min="5828" max="5828" width="1.6640625" style="77" customWidth="1"/>
    <col min="5829" max="5829" width="21.109375" style="77" customWidth="1"/>
    <col min="5830" max="5831" width="0.109375" style="77" customWidth="1"/>
    <col min="5832" max="5832" width="11.88671875" style="77" customWidth="1"/>
    <col min="5833" max="5834" width="0.109375" style="77" customWidth="1"/>
    <col min="5835" max="5835" width="5" style="77" customWidth="1"/>
    <col min="5836" max="5836" width="0.5546875" style="77" customWidth="1"/>
    <col min="5837" max="5837" width="3.44140625" style="77" customWidth="1"/>
    <col min="5838" max="5838" width="0.88671875" style="77" customWidth="1"/>
    <col min="5839" max="5839" width="0.33203125" style="77" customWidth="1"/>
    <col min="5840" max="5841" width="0" style="77" hidden="1" customWidth="1"/>
    <col min="5842" max="6064" width="9.109375" style="77" customWidth="1"/>
    <col min="6065" max="6065" width="0" style="77" hidden="1" customWidth="1"/>
    <col min="6066" max="6066" width="1.6640625" style="77" customWidth="1"/>
    <col min="6067" max="6067" width="3.44140625" style="77" customWidth="1"/>
    <col min="6068" max="6068" width="2.33203125" style="77" customWidth="1"/>
    <col min="6069" max="6069" width="0.109375" style="77" customWidth="1"/>
    <col min="6070" max="6070" width="1.109375" style="77" customWidth="1"/>
    <col min="6071" max="6071" width="1.6640625" style="77" customWidth="1"/>
    <col min="6072" max="6072" width="2" style="77" customWidth="1"/>
    <col min="6073" max="6073" width="0.6640625" style="77" customWidth="1"/>
    <col min="6074" max="6074" width="0.33203125" style="77" customWidth="1"/>
    <col min="6075" max="6075" width="2.6640625" style="77" customWidth="1"/>
    <col min="6076" max="6076" width="0.5546875" style="77" customWidth="1"/>
    <col min="6077" max="6077" width="1.33203125" style="77" customWidth="1"/>
    <col min="6078" max="6078" width="4.5546875" style="77" customWidth="1"/>
    <col min="6079" max="6079" width="0.109375" style="77" customWidth="1"/>
    <col min="6080" max="6080" width="12.33203125" style="77" customWidth="1"/>
    <col min="6081" max="6081" width="10.5546875" style="77" customWidth="1"/>
    <col min="6082" max="6082" width="2.6640625" style="77" customWidth="1"/>
    <col min="6083" max="6083" width="2.33203125" style="77" customWidth="1"/>
    <col min="6084" max="6084" width="1.6640625" style="77" customWidth="1"/>
    <col min="6085" max="6085" width="21.109375" style="77" customWidth="1"/>
    <col min="6086" max="6087" width="0.109375" style="77" customWidth="1"/>
    <col min="6088" max="6088" width="11.88671875" style="77" customWidth="1"/>
    <col min="6089" max="6090" width="0.109375" style="77" customWidth="1"/>
    <col min="6091" max="6091" width="5" style="77" customWidth="1"/>
    <col min="6092" max="6092" width="0.5546875" style="77" customWidth="1"/>
    <col min="6093" max="6093" width="3.44140625" style="77" customWidth="1"/>
    <col min="6094" max="6094" width="0.88671875" style="77" customWidth="1"/>
    <col min="6095" max="6095" width="0.33203125" style="77" customWidth="1"/>
    <col min="6096" max="6097" width="0" style="77" hidden="1" customWidth="1"/>
    <col min="6098" max="6320" width="9.109375" style="77" customWidth="1"/>
    <col min="6321" max="6321" width="0" style="77" hidden="1" customWidth="1"/>
    <col min="6322" max="6322" width="1.6640625" style="77" customWidth="1"/>
    <col min="6323" max="6323" width="3.44140625" style="77" customWidth="1"/>
    <col min="6324" max="6324" width="2.33203125" style="77" customWidth="1"/>
    <col min="6325" max="6325" width="0.109375" style="77" customWidth="1"/>
    <col min="6326" max="6326" width="1.109375" style="77" customWidth="1"/>
    <col min="6327" max="6327" width="1.6640625" style="77" customWidth="1"/>
    <col min="6328" max="6328" width="2" style="77" customWidth="1"/>
    <col min="6329" max="6329" width="0.6640625" style="77" customWidth="1"/>
    <col min="6330" max="6330" width="0.33203125" style="77" customWidth="1"/>
    <col min="6331" max="6331" width="2.6640625" style="77" customWidth="1"/>
    <col min="6332" max="6332" width="0.5546875" style="77" customWidth="1"/>
    <col min="6333" max="6333" width="1.33203125" style="77" customWidth="1"/>
    <col min="6334" max="6334" width="4.5546875" style="77" customWidth="1"/>
    <col min="6335" max="6335" width="0.109375" style="77" customWidth="1"/>
    <col min="6336" max="6336" width="12.33203125" style="77" customWidth="1"/>
    <col min="6337" max="6337" width="10.5546875" style="77" customWidth="1"/>
    <col min="6338" max="6338" width="2.6640625" style="77" customWidth="1"/>
    <col min="6339" max="6339" width="2.33203125" style="77" customWidth="1"/>
    <col min="6340" max="6340" width="1.6640625" style="77" customWidth="1"/>
    <col min="6341" max="6341" width="21.109375" style="77" customWidth="1"/>
    <col min="6342" max="6343" width="0.109375" style="77" customWidth="1"/>
    <col min="6344" max="6344" width="11.88671875" style="77" customWidth="1"/>
    <col min="6345" max="6346" width="0.109375" style="77" customWidth="1"/>
    <col min="6347" max="6347" width="5" style="77" customWidth="1"/>
    <col min="6348" max="6348" width="0.5546875" style="77" customWidth="1"/>
    <col min="6349" max="6349" width="3.44140625" style="77" customWidth="1"/>
    <col min="6350" max="6350" width="0.88671875" style="77" customWidth="1"/>
    <col min="6351" max="6351" width="0.33203125" style="77" customWidth="1"/>
    <col min="6352" max="6353" width="0" style="77" hidden="1" customWidth="1"/>
    <col min="6354" max="6576" width="9.109375" style="77" customWidth="1"/>
    <col min="6577" max="6577" width="0" style="77" hidden="1" customWidth="1"/>
    <col min="6578" max="6578" width="1.6640625" style="77" customWidth="1"/>
    <col min="6579" max="6579" width="3.44140625" style="77" customWidth="1"/>
    <col min="6580" max="6580" width="2.33203125" style="77" customWidth="1"/>
    <col min="6581" max="6581" width="0.109375" style="77" customWidth="1"/>
    <col min="6582" max="6582" width="1.109375" style="77" customWidth="1"/>
    <col min="6583" max="6583" width="1.6640625" style="77" customWidth="1"/>
    <col min="6584" max="6584" width="2" style="77" customWidth="1"/>
    <col min="6585" max="6585" width="0.6640625" style="77" customWidth="1"/>
    <col min="6586" max="6586" width="0.33203125" style="77" customWidth="1"/>
    <col min="6587" max="6587" width="2.6640625" style="77" customWidth="1"/>
    <col min="6588" max="6588" width="0.5546875" style="77" customWidth="1"/>
    <col min="6589" max="6589" width="1.33203125" style="77" customWidth="1"/>
    <col min="6590" max="6590" width="4.5546875" style="77" customWidth="1"/>
    <col min="6591" max="6591" width="0.109375" style="77" customWidth="1"/>
    <col min="6592" max="6592" width="12.33203125" style="77" customWidth="1"/>
    <col min="6593" max="6593" width="10.5546875" style="77" customWidth="1"/>
    <col min="6594" max="6594" width="2.6640625" style="77" customWidth="1"/>
    <col min="6595" max="6595" width="2.33203125" style="77" customWidth="1"/>
    <col min="6596" max="6596" width="1.6640625" style="77" customWidth="1"/>
    <col min="6597" max="6597" width="21.109375" style="77" customWidth="1"/>
    <col min="6598" max="6599" width="0.109375" style="77" customWidth="1"/>
    <col min="6600" max="6600" width="11.88671875" style="77" customWidth="1"/>
    <col min="6601" max="6602" width="0.109375" style="77" customWidth="1"/>
    <col min="6603" max="6603" width="5" style="77" customWidth="1"/>
    <col min="6604" max="6604" width="0.5546875" style="77" customWidth="1"/>
    <col min="6605" max="6605" width="3.44140625" style="77" customWidth="1"/>
    <col min="6606" max="6606" width="0.88671875" style="77" customWidth="1"/>
    <col min="6607" max="6607" width="0.33203125" style="77" customWidth="1"/>
    <col min="6608" max="6609" width="0" style="77" hidden="1" customWidth="1"/>
    <col min="6610" max="6832" width="9.109375" style="77" customWidth="1"/>
    <col min="6833" max="6833" width="0" style="77" hidden="1" customWidth="1"/>
    <col min="6834" max="6834" width="1.6640625" style="77" customWidth="1"/>
    <col min="6835" max="6835" width="3.44140625" style="77" customWidth="1"/>
    <col min="6836" max="6836" width="2.33203125" style="77" customWidth="1"/>
    <col min="6837" max="6837" width="0.109375" style="77" customWidth="1"/>
    <col min="6838" max="6838" width="1.109375" style="77" customWidth="1"/>
    <col min="6839" max="6839" width="1.6640625" style="77" customWidth="1"/>
    <col min="6840" max="6840" width="2" style="77" customWidth="1"/>
    <col min="6841" max="6841" width="0.6640625" style="77" customWidth="1"/>
    <col min="6842" max="6842" width="0.33203125" style="77" customWidth="1"/>
    <col min="6843" max="6843" width="2.6640625" style="77" customWidth="1"/>
    <col min="6844" max="6844" width="0.5546875" style="77" customWidth="1"/>
    <col min="6845" max="6845" width="1.33203125" style="77" customWidth="1"/>
    <col min="6846" max="6846" width="4.5546875" style="77" customWidth="1"/>
    <col min="6847" max="6847" width="0.109375" style="77" customWidth="1"/>
    <col min="6848" max="6848" width="12.33203125" style="77" customWidth="1"/>
    <col min="6849" max="6849" width="10.5546875" style="77" customWidth="1"/>
    <col min="6850" max="6850" width="2.6640625" style="77" customWidth="1"/>
    <col min="6851" max="6851" width="2.33203125" style="77" customWidth="1"/>
    <col min="6852" max="6852" width="1.6640625" style="77" customWidth="1"/>
    <col min="6853" max="6853" width="21.109375" style="77" customWidth="1"/>
    <col min="6854" max="6855" width="0.109375" style="77" customWidth="1"/>
    <col min="6856" max="6856" width="11.88671875" style="77" customWidth="1"/>
    <col min="6857" max="6858" width="0.109375" style="77" customWidth="1"/>
    <col min="6859" max="6859" width="5" style="77" customWidth="1"/>
    <col min="6860" max="6860" width="0.5546875" style="77" customWidth="1"/>
    <col min="6861" max="6861" width="3.44140625" style="77" customWidth="1"/>
    <col min="6862" max="6862" width="0.88671875" style="77" customWidth="1"/>
    <col min="6863" max="6863" width="0.33203125" style="77" customWidth="1"/>
    <col min="6864" max="6865" width="0" style="77" hidden="1" customWidth="1"/>
    <col min="6866" max="7088" width="9.109375" style="77" customWidth="1"/>
    <col min="7089" max="7089" width="0" style="77" hidden="1" customWidth="1"/>
    <col min="7090" max="7090" width="1.6640625" style="77" customWidth="1"/>
    <col min="7091" max="7091" width="3.44140625" style="77" customWidth="1"/>
    <col min="7092" max="7092" width="2.33203125" style="77" customWidth="1"/>
    <col min="7093" max="7093" width="0.109375" style="77" customWidth="1"/>
    <col min="7094" max="7094" width="1.109375" style="77" customWidth="1"/>
    <col min="7095" max="7095" width="1.6640625" style="77" customWidth="1"/>
    <col min="7096" max="7096" width="2" style="77" customWidth="1"/>
    <col min="7097" max="7097" width="0.6640625" style="77" customWidth="1"/>
    <col min="7098" max="7098" width="0.33203125" style="77" customWidth="1"/>
    <col min="7099" max="7099" width="2.6640625" style="77" customWidth="1"/>
    <col min="7100" max="7100" width="0.5546875" style="77" customWidth="1"/>
    <col min="7101" max="7101" width="1.33203125" style="77" customWidth="1"/>
    <col min="7102" max="7102" width="4.5546875" style="77" customWidth="1"/>
    <col min="7103" max="7103" width="0.109375" style="77" customWidth="1"/>
    <col min="7104" max="7104" width="12.33203125" style="77" customWidth="1"/>
    <col min="7105" max="7105" width="10.5546875" style="77" customWidth="1"/>
    <col min="7106" max="7106" width="2.6640625" style="77" customWidth="1"/>
    <col min="7107" max="7107" width="2.33203125" style="77" customWidth="1"/>
    <col min="7108" max="7108" width="1.6640625" style="77" customWidth="1"/>
    <col min="7109" max="7109" width="21.109375" style="77" customWidth="1"/>
    <col min="7110" max="7111" width="0.109375" style="77" customWidth="1"/>
    <col min="7112" max="7112" width="11.88671875" style="77" customWidth="1"/>
    <col min="7113" max="7114" width="0.109375" style="77" customWidth="1"/>
    <col min="7115" max="7115" width="5" style="77" customWidth="1"/>
    <col min="7116" max="7116" width="0.5546875" style="77" customWidth="1"/>
    <col min="7117" max="7117" width="3.44140625" style="77" customWidth="1"/>
    <col min="7118" max="7118" width="0.88671875" style="77" customWidth="1"/>
    <col min="7119" max="7119" width="0.33203125" style="77" customWidth="1"/>
    <col min="7120" max="7121" width="0" style="77" hidden="1" customWidth="1"/>
    <col min="7122" max="7344" width="9.109375" style="77" customWidth="1"/>
    <col min="7345" max="7345" width="0" style="77" hidden="1" customWidth="1"/>
    <col min="7346" max="7346" width="1.6640625" style="77" customWidth="1"/>
    <col min="7347" max="7347" width="3.44140625" style="77" customWidth="1"/>
    <col min="7348" max="7348" width="2.33203125" style="77" customWidth="1"/>
    <col min="7349" max="7349" width="0.109375" style="77" customWidth="1"/>
    <col min="7350" max="7350" width="1.109375" style="77" customWidth="1"/>
    <col min="7351" max="7351" width="1.6640625" style="77" customWidth="1"/>
    <col min="7352" max="7352" width="2" style="77" customWidth="1"/>
    <col min="7353" max="7353" width="0.6640625" style="77" customWidth="1"/>
    <col min="7354" max="7354" width="0.33203125" style="77" customWidth="1"/>
    <col min="7355" max="7355" width="2.6640625" style="77" customWidth="1"/>
    <col min="7356" max="7356" width="0.5546875" style="77" customWidth="1"/>
    <col min="7357" max="7357" width="1.33203125" style="77" customWidth="1"/>
    <col min="7358" max="7358" width="4.5546875" style="77" customWidth="1"/>
    <col min="7359" max="7359" width="0.109375" style="77" customWidth="1"/>
    <col min="7360" max="7360" width="12.33203125" style="77" customWidth="1"/>
    <col min="7361" max="7361" width="10.5546875" style="77" customWidth="1"/>
    <col min="7362" max="7362" width="2.6640625" style="77" customWidth="1"/>
    <col min="7363" max="7363" width="2.33203125" style="77" customWidth="1"/>
    <col min="7364" max="7364" width="1.6640625" style="77" customWidth="1"/>
    <col min="7365" max="7365" width="21.109375" style="77" customWidth="1"/>
    <col min="7366" max="7367" width="0.109375" style="77" customWidth="1"/>
    <col min="7368" max="7368" width="11.88671875" style="77" customWidth="1"/>
    <col min="7369" max="7370" width="0.109375" style="77" customWidth="1"/>
    <col min="7371" max="7371" width="5" style="77" customWidth="1"/>
    <col min="7372" max="7372" width="0.5546875" style="77" customWidth="1"/>
    <col min="7373" max="7373" width="3.44140625" style="77" customWidth="1"/>
    <col min="7374" max="7374" width="0.88671875" style="77" customWidth="1"/>
    <col min="7375" max="7375" width="0.33203125" style="77" customWidth="1"/>
    <col min="7376" max="7377" width="0" style="77" hidden="1" customWidth="1"/>
    <col min="7378" max="7600" width="9.109375" style="77" customWidth="1"/>
    <col min="7601" max="7601" width="0" style="77" hidden="1" customWidth="1"/>
    <col min="7602" max="7602" width="1.6640625" style="77" customWidth="1"/>
    <col min="7603" max="7603" width="3.44140625" style="77" customWidth="1"/>
    <col min="7604" max="7604" width="2.33203125" style="77" customWidth="1"/>
    <col min="7605" max="7605" width="0.109375" style="77" customWidth="1"/>
    <col min="7606" max="7606" width="1.109375" style="77" customWidth="1"/>
    <col min="7607" max="7607" width="1.6640625" style="77" customWidth="1"/>
    <col min="7608" max="7608" width="2" style="77" customWidth="1"/>
    <col min="7609" max="7609" width="0.6640625" style="77" customWidth="1"/>
    <col min="7610" max="7610" width="0.33203125" style="77" customWidth="1"/>
    <col min="7611" max="7611" width="2.6640625" style="77" customWidth="1"/>
    <col min="7612" max="7612" width="0.5546875" style="77" customWidth="1"/>
    <col min="7613" max="7613" width="1.33203125" style="77" customWidth="1"/>
    <col min="7614" max="7614" width="4.5546875" style="77" customWidth="1"/>
    <col min="7615" max="7615" width="0.109375" style="77" customWidth="1"/>
    <col min="7616" max="7616" width="12.33203125" style="77" customWidth="1"/>
    <col min="7617" max="7617" width="10.5546875" style="77" customWidth="1"/>
    <col min="7618" max="7618" width="2.6640625" style="77" customWidth="1"/>
    <col min="7619" max="7619" width="2.33203125" style="77" customWidth="1"/>
    <col min="7620" max="7620" width="1.6640625" style="77" customWidth="1"/>
    <col min="7621" max="7621" width="21.109375" style="77" customWidth="1"/>
    <col min="7622" max="7623" width="0.109375" style="77" customWidth="1"/>
    <col min="7624" max="7624" width="11.88671875" style="77" customWidth="1"/>
    <col min="7625" max="7626" width="0.109375" style="77" customWidth="1"/>
    <col min="7627" max="7627" width="5" style="77" customWidth="1"/>
    <col min="7628" max="7628" width="0.5546875" style="77" customWidth="1"/>
    <col min="7629" max="7629" width="3.44140625" style="77" customWidth="1"/>
    <col min="7630" max="7630" width="0.88671875" style="77" customWidth="1"/>
    <col min="7631" max="7631" width="0.33203125" style="77" customWidth="1"/>
    <col min="7632" max="7633" width="0" style="77" hidden="1" customWidth="1"/>
    <col min="7634" max="7856" width="9.109375" style="77" customWidth="1"/>
    <col min="7857" max="7857" width="0" style="77" hidden="1" customWidth="1"/>
    <col min="7858" max="7858" width="1.6640625" style="77" customWidth="1"/>
    <col min="7859" max="7859" width="3.44140625" style="77" customWidth="1"/>
    <col min="7860" max="7860" width="2.33203125" style="77" customWidth="1"/>
    <col min="7861" max="7861" width="0.109375" style="77" customWidth="1"/>
    <col min="7862" max="7862" width="1.109375" style="77" customWidth="1"/>
    <col min="7863" max="7863" width="1.6640625" style="77" customWidth="1"/>
    <col min="7864" max="7864" width="2" style="77" customWidth="1"/>
    <col min="7865" max="7865" width="0.6640625" style="77" customWidth="1"/>
    <col min="7866" max="7866" width="0.33203125" style="77" customWidth="1"/>
    <col min="7867" max="7867" width="2.6640625" style="77" customWidth="1"/>
    <col min="7868" max="7868" width="0.5546875" style="77" customWidth="1"/>
    <col min="7869" max="7869" width="1.33203125" style="77" customWidth="1"/>
    <col min="7870" max="7870" width="4.5546875" style="77" customWidth="1"/>
    <col min="7871" max="7871" width="0.109375" style="77" customWidth="1"/>
    <col min="7872" max="7872" width="12.33203125" style="77" customWidth="1"/>
    <col min="7873" max="7873" width="10.5546875" style="77" customWidth="1"/>
    <col min="7874" max="7874" width="2.6640625" style="77" customWidth="1"/>
    <col min="7875" max="7875" width="2.33203125" style="77" customWidth="1"/>
    <col min="7876" max="7876" width="1.6640625" style="77" customWidth="1"/>
    <col min="7877" max="7877" width="21.109375" style="77" customWidth="1"/>
    <col min="7878" max="7879" width="0.109375" style="77" customWidth="1"/>
    <col min="7880" max="7880" width="11.88671875" style="77" customWidth="1"/>
    <col min="7881" max="7882" width="0.109375" style="77" customWidth="1"/>
    <col min="7883" max="7883" width="5" style="77" customWidth="1"/>
    <col min="7884" max="7884" width="0.5546875" style="77" customWidth="1"/>
    <col min="7885" max="7885" width="3.44140625" style="77" customWidth="1"/>
    <col min="7886" max="7886" width="0.88671875" style="77" customWidth="1"/>
    <col min="7887" max="7887" width="0.33203125" style="77" customWidth="1"/>
    <col min="7888" max="7889" width="0" style="77" hidden="1" customWidth="1"/>
    <col min="7890" max="8112" width="9.109375" style="77" customWidth="1"/>
    <col min="8113" max="8113" width="0" style="77" hidden="1" customWidth="1"/>
    <col min="8114" max="8114" width="1.6640625" style="77" customWidth="1"/>
    <col min="8115" max="8115" width="3.44140625" style="77" customWidth="1"/>
    <col min="8116" max="8116" width="2.33203125" style="77" customWidth="1"/>
    <col min="8117" max="8117" width="0.109375" style="77" customWidth="1"/>
    <col min="8118" max="8118" width="1.109375" style="77" customWidth="1"/>
    <col min="8119" max="8119" width="1.6640625" style="77" customWidth="1"/>
    <col min="8120" max="8120" width="2" style="77" customWidth="1"/>
    <col min="8121" max="8121" width="0.6640625" style="77" customWidth="1"/>
    <col min="8122" max="8122" width="0.33203125" style="77" customWidth="1"/>
    <col min="8123" max="8123" width="2.6640625" style="77" customWidth="1"/>
    <col min="8124" max="8124" width="0.5546875" style="77" customWidth="1"/>
    <col min="8125" max="8125" width="1.33203125" style="77" customWidth="1"/>
    <col min="8126" max="8126" width="4.5546875" style="77" customWidth="1"/>
    <col min="8127" max="8127" width="0.109375" style="77" customWidth="1"/>
    <col min="8128" max="8128" width="12.33203125" style="77" customWidth="1"/>
    <col min="8129" max="8129" width="10.5546875" style="77" customWidth="1"/>
    <col min="8130" max="8130" width="2.6640625" style="77" customWidth="1"/>
    <col min="8131" max="8131" width="2.33203125" style="77" customWidth="1"/>
    <col min="8132" max="8132" width="1.6640625" style="77" customWidth="1"/>
    <col min="8133" max="8133" width="21.109375" style="77" customWidth="1"/>
    <col min="8134" max="8135" width="0.109375" style="77" customWidth="1"/>
    <col min="8136" max="8136" width="11.88671875" style="77" customWidth="1"/>
    <col min="8137" max="8138" width="0.109375" style="77" customWidth="1"/>
    <col min="8139" max="8139" width="5" style="77" customWidth="1"/>
    <col min="8140" max="8140" width="0.5546875" style="77" customWidth="1"/>
    <col min="8141" max="8141" width="3.44140625" style="77" customWidth="1"/>
    <col min="8142" max="8142" width="0.88671875" style="77" customWidth="1"/>
    <col min="8143" max="8143" width="0.33203125" style="77" customWidth="1"/>
    <col min="8144" max="8145" width="0" style="77" hidden="1" customWidth="1"/>
    <col min="8146" max="8368" width="9.109375" style="77" customWidth="1"/>
    <col min="8369" max="8369" width="0" style="77" hidden="1" customWidth="1"/>
    <col min="8370" max="8370" width="1.6640625" style="77" customWidth="1"/>
    <col min="8371" max="8371" width="3.44140625" style="77" customWidth="1"/>
    <col min="8372" max="8372" width="2.33203125" style="77" customWidth="1"/>
    <col min="8373" max="8373" width="0.109375" style="77" customWidth="1"/>
    <col min="8374" max="8374" width="1.109375" style="77" customWidth="1"/>
    <col min="8375" max="8375" width="1.6640625" style="77" customWidth="1"/>
    <col min="8376" max="8376" width="2" style="77" customWidth="1"/>
    <col min="8377" max="8377" width="0.6640625" style="77" customWidth="1"/>
    <col min="8378" max="8378" width="0.33203125" style="77" customWidth="1"/>
    <col min="8379" max="8379" width="2.6640625" style="77" customWidth="1"/>
    <col min="8380" max="8380" width="0.5546875" style="77" customWidth="1"/>
    <col min="8381" max="8381" width="1.33203125" style="77" customWidth="1"/>
    <col min="8382" max="8382" width="4.5546875" style="77" customWidth="1"/>
    <col min="8383" max="8383" width="0.109375" style="77" customWidth="1"/>
    <col min="8384" max="8384" width="12.33203125" style="77" customWidth="1"/>
    <col min="8385" max="8385" width="10.5546875" style="77" customWidth="1"/>
    <col min="8386" max="8386" width="2.6640625" style="77" customWidth="1"/>
    <col min="8387" max="8387" width="2.33203125" style="77" customWidth="1"/>
    <col min="8388" max="8388" width="1.6640625" style="77" customWidth="1"/>
    <col min="8389" max="8389" width="21.109375" style="77" customWidth="1"/>
    <col min="8390" max="8391" width="0.109375" style="77" customWidth="1"/>
    <col min="8392" max="8392" width="11.88671875" style="77" customWidth="1"/>
    <col min="8393" max="8394" width="0.109375" style="77" customWidth="1"/>
    <col min="8395" max="8395" width="5" style="77" customWidth="1"/>
    <col min="8396" max="8396" width="0.5546875" style="77" customWidth="1"/>
    <col min="8397" max="8397" width="3.44140625" style="77" customWidth="1"/>
    <col min="8398" max="8398" width="0.88671875" style="77" customWidth="1"/>
    <col min="8399" max="8399" width="0.33203125" style="77" customWidth="1"/>
    <col min="8400" max="8401" width="0" style="77" hidden="1" customWidth="1"/>
    <col min="8402" max="8624" width="9.109375" style="77" customWidth="1"/>
    <col min="8625" max="8625" width="0" style="77" hidden="1" customWidth="1"/>
    <col min="8626" max="8626" width="1.6640625" style="77" customWidth="1"/>
    <col min="8627" max="8627" width="3.44140625" style="77" customWidth="1"/>
    <col min="8628" max="8628" width="2.33203125" style="77" customWidth="1"/>
    <col min="8629" max="8629" width="0.109375" style="77" customWidth="1"/>
    <col min="8630" max="8630" width="1.109375" style="77" customWidth="1"/>
    <col min="8631" max="8631" width="1.6640625" style="77" customWidth="1"/>
    <col min="8632" max="8632" width="2" style="77" customWidth="1"/>
    <col min="8633" max="8633" width="0.6640625" style="77" customWidth="1"/>
    <col min="8634" max="8634" width="0.33203125" style="77" customWidth="1"/>
    <col min="8635" max="8635" width="2.6640625" style="77" customWidth="1"/>
    <col min="8636" max="8636" width="0.5546875" style="77" customWidth="1"/>
    <col min="8637" max="8637" width="1.33203125" style="77" customWidth="1"/>
    <col min="8638" max="8638" width="4.5546875" style="77" customWidth="1"/>
    <col min="8639" max="8639" width="0.109375" style="77" customWidth="1"/>
    <col min="8640" max="8640" width="12.33203125" style="77" customWidth="1"/>
    <col min="8641" max="8641" width="10.5546875" style="77" customWidth="1"/>
    <col min="8642" max="8642" width="2.6640625" style="77" customWidth="1"/>
    <col min="8643" max="8643" width="2.33203125" style="77" customWidth="1"/>
    <col min="8644" max="8644" width="1.6640625" style="77" customWidth="1"/>
    <col min="8645" max="8645" width="21.109375" style="77" customWidth="1"/>
    <col min="8646" max="8647" width="0.109375" style="77" customWidth="1"/>
    <col min="8648" max="8648" width="11.88671875" style="77" customWidth="1"/>
    <col min="8649" max="8650" width="0.109375" style="77" customWidth="1"/>
    <col min="8651" max="8651" width="5" style="77" customWidth="1"/>
    <col min="8652" max="8652" width="0.5546875" style="77" customWidth="1"/>
    <col min="8653" max="8653" width="3.44140625" style="77" customWidth="1"/>
    <col min="8654" max="8654" width="0.88671875" style="77" customWidth="1"/>
    <col min="8655" max="8655" width="0.33203125" style="77" customWidth="1"/>
    <col min="8656" max="8657" width="0" style="77" hidden="1" customWidth="1"/>
    <col min="8658" max="8880" width="9.109375" style="77" customWidth="1"/>
    <col min="8881" max="8881" width="0" style="77" hidden="1" customWidth="1"/>
    <col min="8882" max="8882" width="1.6640625" style="77" customWidth="1"/>
    <col min="8883" max="8883" width="3.44140625" style="77" customWidth="1"/>
    <col min="8884" max="8884" width="2.33203125" style="77" customWidth="1"/>
    <col min="8885" max="8885" width="0.109375" style="77" customWidth="1"/>
    <col min="8886" max="8886" width="1.109375" style="77" customWidth="1"/>
    <col min="8887" max="8887" width="1.6640625" style="77" customWidth="1"/>
    <col min="8888" max="8888" width="2" style="77" customWidth="1"/>
    <col min="8889" max="8889" width="0.6640625" style="77" customWidth="1"/>
    <col min="8890" max="8890" width="0.33203125" style="77" customWidth="1"/>
    <col min="8891" max="8891" width="2.6640625" style="77" customWidth="1"/>
    <col min="8892" max="8892" width="0.5546875" style="77" customWidth="1"/>
    <col min="8893" max="8893" width="1.33203125" style="77" customWidth="1"/>
    <col min="8894" max="8894" width="4.5546875" style="77" customWidth="1"/>
    <col min="8895" max="8895" width="0.109375" style="77" customWidth="1"/>
    <col min="8896" max="8896" width="12.33203125" style="77" customWidth="1"/>
    <col min="8897" max="8897" width="10.5546875" style="77" customWidth="1"/>
    <col min="8898" max="8898" width="2.6640625" style="77" customWidth="1"/>
    <col min="8899" max="8899" width="2.33203125" style="77" customWidth="1"/>
    <col min="8900" max="8900" width="1.6640625" style="77" customWidth="1"/>
    <col min="8901" max="8901" width="21.109375" style="77" customWidth="1"/>
    <col min="8902" max="8903" width="0.109375" style="77" customWidth="1"/>
    <col min="8904" max="8904" width="11.88671875" style="77" customWidth="1"/>
    <col min="8905" max="8906" width="0.109375" style="77" customWidth="1"/>
    <col min="8907" max="8907" width="5" style="77" customWidth="1"/>
    <col min="8908" max="8908" width="0.5546875" style="77" customWidth="1"/>
    <col min="8909" max="8909" width="3.44140625" style="77" customWidth="1"/>
    <col min="8910" max="8910" width="0.88671875" style="77" customWidth="1"/>
    <col min="8911" max="8911" width="0.33203125" style="77" customWidth="1"/>
    <col min="8912" max="8913" width="0" style="77" hidden="1" customWidth="1"/>
    <col min="8914" max="9136" width="9.109375" style="77" customWidth="1"/>
    <col min="9137" max="9137" width="0" style="77" hidden="1" customWidth="1"/>
    <col min="9138" max="9138" width="1.6640625" style="77" customWidth="1"/>
    <col min="9139" max="9139" width="3.44140625" style="77" customWidth="1"/>
    <col min="9140" max="9140" width="2.33203125" style="77" customWidth="1"/>
    <col min="9141" max="9141" width="0.109375" style="77" customWidth="1"/>
    <col min="9142" max="9142" width="1.109375" style="77" customWidth="1"/>
    <col min="9143" max="9143" width="1.6640625" style="77" customWidth="1"/>
    <col min="9144" max="9144" width="2" style="77" customWidth="1"/>
    <col min="9145" max="9145" width="0.6640625" style="77" customWidth="1"/>
    <col min="9146" max="9146" width="0.33203125" style="77" customWidth="1"/>
    <col min="9147" max="9147" width="2.6640625" style="77" customWidth="1"/>
    <col min="9148" max="9148" width="0.5546875" style="77" customWidth="1"/>
    <col min="9149" max="9149" width="1.33203125" style="77" customWidth="1"/>
    <col min="9150" max="9150" width="4.5546875" style="77" customWidth="1"/>
    <col min="9151" max="9151" width="0.109375" style="77" customWidth="1"/>
    <col min="9152" max="9152" width="12.33203125" style="77" customWidth="1"/>
    <col min="9153" max="9153" width="10.5546875" style="77" customWidth="1"/>
    <col min="9154" max="9154" width="2.6640625" style="77" customWidth="1"/>
    <col min="9155" max="9155" width="2.33203125" style="77" customWidth="1"/>
    <col min="9156" max="9156" width="1.6640625" style="77" customWidth="1"/>
    <col min="9157" max="9157" width="21.109375" style="77" customWidth="1"/>
    <col min="9158" max="9159" width="0.109375" style="77" customWidth="1"/>
    <col min="9160" max="9160" width="11.88671875" style="77" customWidth="1"/>
    <col min="9161" max="9162" width="0.109375" style="77" customWidth="1"/>
    <col min="9163" max="9163" width="5" style="77" customWidth="1"/>
    <col min="9164" max="9164" width="0.5546875" style="77" customWidth="1"/>
    <col min="9165" max="9165" width="3.44140625" style="77" customWidth="1"/>
    <col min="9166" max="9166" width="0.88671875" style="77" customWidth="1"/>
    <col min="9167" max="9167" width="0.33203125" style="77" customWidth="1"/>
    <col min="9168" max="9169" width="0" style="77" hidden="1" customWidth="1"/>
    <col min="9170" max="9392" width="9.109375" style="77" customWidth="1"/>
    <col min="9393" max="9393" width="0" style="77" hidden="1" customWidth="1"/>
    <col min="9394" max="9394" width="1.6640625" style="77" customWidth="1"/>
    <col min="9395" max="9395" width="3.44140625" style="77" customWidth="1"/>
    <col min="9396" max="9396" width="2.33203125" style="77" customWidth="1"/>
    <col min="9397" max="9397" width="0.109375" style="77" customWidth="1"/>
    <col min="9398" max="9398" width="1.109375" style="77" customWidth="1"/>
    <col min="9399" max="9399" width="1.6640625" style="77" customWidth="1"/>
    <col min="9400" max="9400" width="2" style="77" customWidth="1"/>
    <col min="9401" max="9401" width="0.6640625" style="77" customWidth="1"/>
    <col min="9402" max="9402" width="0.33203125" style="77" customWidth="1"/>
    <col min="9403" max="9403" width="2.6640625" style="77" customWidth="1"/>
    <col min="9404" max="9404" width="0.5546875" style="77" customWidth="1"/>
    <col min="9405" max="9405" width="1.33203125" style="77" customWidth="1"/>
    <col min="9406" max="9406" width="4.5546875" style="77" customWidth="1"/>
    <col min="9407" max="9407" width="0.109375" style="77" customWidth="1"/>
    <col min="9408" max="9408" width="12.33203125" style="77" customWidth="1"/>
    <col min="9409" max="9409" width="10.5546875" style="77" customWidth="1"/>
    <col min="9410" max="9410" width="2.6640625" style="77" customWidth="1"/>
    <col min="9411" max="9411" width="2.33203125" style="77" customWidth="1"/>
    <col min="9412" max="9412" width="1.6640625" style="77" customWidth="1"/>
    <col min="9413" max="9413" width="21.109375" style="77" customWidth="1"/>
    <col min="9414" max="9415" width="0.109375" style="77" customWidth="1"/>
    <col min="9416" max="9416" width="11.88671875" style="77" customWidth="1"/>
    <col min="9417" max="9418" width="0.109375" style="77" customWidth="1"/>
    <col min="9419" max="9419" width="5" style="77" customWidth="1"/>
    <col min="9420" max="9420" width="0.5546875" style="77" customWidth="1"/>
    <col min="9421" max="9421" width="3.44140625" style="77" customWidth="1"/>
    <col min="9422" max="9422" width="0.88671875" style="77" customWidth="1"/>
    <col min="9423" max="9423" width="0.33203125" style="77" customWidth="1"/>
    <col min="9424" max="9425" width="0" style="77" hidden="1" customWidth="1"/>
    <col min="9426" max="9648" width="9.109375" style="77" customWidth="1"/>
    <col min="9649" max="9649" width="0" style="77" hidden="1" customWidth="1"/>
    <col min="9650" max="9650" width="1.6640625" style="77" customWidth="1"/>
    <col min="9651" max="9651" width="3.44140625" style="77" customWidth="1"/>
    <col min="9652" max="9652" width="2.33203125" style="77" customWidth="1"/>
    <col min="9653" max="9653" width="0.109375" style="77" customWidth="1"/>
    <col min="9654" max="9654" width="1.109375" style="77" customWidth="1"/>
    <col min="9655" max="9655" width="1.6640625" style="77" customWidth="1"/>
    <col min="9656" max="9656" width="2" style="77" customWidth="1"/>
    <col min="9657" max="9657" width="0.6640625" style="77" customWidth="1"/>
    <col min="9658" max="9658" width="0.33203125" style="77" customWidth="1"/>
    <col min="9659" max="9659" width="2.6640625" style="77" customWidth="1"/>
    <col min="9660" max="9660" width="0.5546875" style="77" customWidth="1"/>
    <col min="9661" max="9661" width="1.33203125" style="77" customWidth="1"/>
    <col min="9662" max="9662" width="4.5546875" style="77" customWidth="1"/>
    <col min="9663" max="9663" width="0.109375" style="77" customWidth="1"/>
    <col min="9664" max="9664" width="12.33203125" style="77" customWidth="1"/>
    <col min="9665" max="9665" width="10.5546875" style="77" customWidth="1"/>
    <col min="9666" max="9666" width="2.6640625" style="77" customWidth="1"/>
    <col min="9667" max="9667" width="2.33203125" style="77" customWidth="1"/>
    <col min="9668" max="9668" width="1.6640625" style="77" customWidth="1"/>
    <col min="9669" max="9669" width="21.109375" style="77" customWidth="1"/>
    <col min="9670" max="9671" width="0.109375" style="77" customWidth="1"/>
    <col min="9672" max="9672" width="11.88671875" style="77" customWidth="1"/>
    <col min="9673" max="9674" width="0.109375" style="77" customWidth="1"/>
    <col min="9675" max="9675" width="5" style="77" customWidth="1"/>
    <col min="9676" max="9676" width="0.5546875" style="77" customWidth="1"/>
    <col min="9677" max="9677" width="3.44140625" style="77" customWidth="1"/>
    <col min="9678" max="9678" width="0.88671875" style="77" customWidth="1"/>
    <col min="9679" max="9679" width="0.33203125" style="77" customWidth="1"/>
    <col min="9680" max="9681" width="0" style="77" hidden="1" customWidth="1"/>
    <col min="9682" max="9904" width="9.109375" style="77" customWidth="1"/>
    <col min="9905" max="9905" width="0" style="77" hidden="1" customWidth="1"/>
    <col min="9906" max="9906" width="1.6640625" style="77" customWidth="1"/>
    <col min="9907" max="9907" width="3.44140625" style="77" customWidth="1"/>
    <col min="9908" max="9908" width="2.33203125" style="77" customWidth="1"/>
    <col min="9909" max="9909" width="0.109375" style="77" customWidth="1"/>
    <col min="9910" max="9910" width="1.109375" style="77" customWidth="1"/>
    <col min="9911" max="9911" width="1.6640625" style="77" customWidth="1"/>
    <col min="9912" max="9912" width="2" style="77" customWidth="1"/>
    <col min="9913" max="9913" width="0.6640625" style="77" customWidth="1"/>
    <col min="9914" max="9914" width="0.33203125" style="77" customWidth="1"/>
    <col min="9915" max="9915" width="2.6640625" style="77" customWidth="1"/>
    <col min="9916" max="9916" width="0.5546875" style="77" customWidth="1"/>
    <col min="9917" max="9917" width="1.33203125" style="77" customWidth="1"/>
    <col min="9918" max="9918" width="4.5546875" style="77" customWidth="1"/>
    <col min="9919" max="9919" width="0.109375" style="77" customWidth="1"/>
    <col min="9920" max="9920" width="12.33203125" style="77" customWidth="1"/>
    <col min="9921" max="9921" width="10.5546875" style="77" customWidth="1"/>
    <col min="9922" max="9922" width="2.6640625" style="77" customWidth="1"/>
    <col min="9923" max="9923" width="2.33203125" style="77" customWidth="1"/>
    <col min="9924" max="9924" width="1.6640625" style="77" customWidth="1"/>
    <col min="9925" max="9925" width="21.109375" style="77" customWidth="1"/>
    <col min="9926" max="9927" width="0.109375" style="77" customWidth="1"/>
    <col min="9928" max="9928" width="11.88671875" style="77" customWidth="1"/>
    <col min="9929" max="9930" width="0.109375" style="77" customWidth="1"/>
    <col min="9931" max="9931" width="5" style="77" customWidth="1"/>
    <col min="9932" max="9932" width="0.5546875" style="77" customWidth="1"/>
    <col min="9933" max="9933" width="3.44140625" style="77" customWidth="1"/>
    <col min="9934" max="9934" width="0.88671875" style="77" customWidth="1"/>
    <col min="9935" max="9935" width="0.33203125" style="77" customWidth="1"/>
    <col min="9936" max="9937" width="0" style="77" hidden="1" customWidth="1"/>
    <col min="9938" max="10160" width="9.109375" style="77" customWidth="1"/>
    <col min="10161" max="10161" width="0" style="77" hidden="1" customWidth="1"/>
    <col min="10162" max="10162" width="1.6640625" style="77" customWidth="1"/>
    <col min="10163" max="10163" width="3.44140625" style="77" customWidth="1"/>
    <col min="10164" max="10164" width="2.33203125" style="77" customWidth="1"/>
    <col min="10165" max="10165" width="0.109375" style="77" customWidth="1"/>
    <col min="10166" max="10166" width="1.109375" style="77" customWidth="1"/>
    <col min="10167" max="10167" width="1.6640625" style="77" customWidth="1"/>
    <col min="10168" max="10168" width="2" style="77" customWidth="1"/>
    <col min="10169" max="10169" width="0.6640625" style="77" customWidth="1"/>
    <col min="10170" max="10170" width="0.33203125" style="77" customWidth="1"/>
    <col min="10171" max="10171" width="2.6640625" style="77" customWidth="1"/>
    <col min="10172" max="10172" width="0.5546875" style="77" customWidth="1"/>
    <col min="10173" max="10173" width="1.33203125" style="77" customWidth="1"/>
    <col min="10174" max="10174" width="4.5546875" style="77" customWidth="1"/>
    <col min="10175" max="10175" width="0.109375" style="77" customWidth="1"/>
    <col min="10176" max="10176" width="12.33203125" style="77" customWidth="1"/>
    <col min="10177" max="10177" width="10.5546875" style="77" customWidth="1"/>
    <col min="10178" max="10178" width="2.6640625" style="77" customWidth="1"/>
    <col min="10179" max="10179" width="2.33203125" style="77" customWidth="1"/>
    <col min="10180" max="10180" width="1.6640625" style="77" customWidth="1"/>
    <col min="10181" max="10181" width="21.109375" style="77" customWidth="1"/>
    <col min="10182" max="10183" width="0.109375" style="77" customWidth="1"/>
    <col min="10184" max="10184" width="11.88671875" style="77" customWidth="1"/>
    <col min="10185" max="10186" width="0.109375" style="77" customWidth="1"/>
    <col min="10187" max="10187" width="5" style="77" customWidth="1"/>
    <col min="10188" max="10188" width="0.5546875" style="77" customWidth="1"/>
    <col min="10189" max="10189" width="3.44140625" style="77" customWidth="1"/>
    <col min="10190" max="10190" width="0.88671875" style="77" customWidth="1"/>
    <col min="10191" max="10191" width="0.33203125" style="77" customWidth="1"/>
    <col min="10192" max="10193" width="0" style="77" hidden="1" customWidth="1"/>
    <col min="10194" max="10416" width="9.109375" style="77" customWidth="1"/>
    <col min="10417" max="10417" width="0" style="77" hidden="1" customWidth="1"/>
    <col min="10418" max="10418" width="1.6640625" style="77" customWidth="1"/>
    <col min="10419" max="10419" width="3.44140625" style="77" customWidth="1"/>
    <col min="10420" max="10420" width="2.33203125" style="77" customWidth="1"/>
    <col min="10421" max="10421" width="0.109375" style="77" customWidth="1"/>
    <col min="10422" max="10422" width="1.109375" style="77" customWidth="1"/>
    <col min="10423" max="10423" width="1.6640625" style="77" customWidth="1"/>
    <col min="10424" max="10424" width="2" style="77" customWidth="1"/>
    <col min="10425" max="10425" width="0.6640625" style="77" customWidth="1"/>
    <col min="10426" max="10426" width="0.33203125" style="77" customWidth="1"/>
    <col min="10427" max="10427" width="2.6640625" style="77" customWidth="1"/>
    <col min="10428" max="10428" width="0.5546875" style="77" customWidth="1"/>
    <col min="10429" max="10429" width="1.33203125" style="77" customWidth="1"/>
    <col min="10430" max="10430" width="4.5546875" style="77" customWidth="1"/>
    <col min="10431" max="10431" width="0.109375" style="77" customWidth="1"/>
    <col min="10432" max="10432" width="12.33203125" style="77" customWidth="1"/>
    <col min="10433" max="10433" width="10.5546875" style="77" customWidth="1"/>
    <col min="10434" max="10434" width="2.6640625" style="77" customWidth="1"/>
    <col min="10435" max="10435" width="2.33203125" style="77" customWidth="1"/>
    <col min="10436" max="10436" width="1.6640625" style="77" customWidth="1"/>
    <col min="10437" max="10437" width="21.109375" style="77" customWidth="1"/>
    <col min="10438" max="10439" width="0.109375" style="77" customWidth="1"/>
    <col min="10440" max="10440" width="11.88671875" style="77" customWidth="1"/>
    <col min="10441" max="10442" width="0.109375" style="77" customWidth="1"/>
    <col min="10443" max="10443" width="5" style="77" customWidth="1"/>
    <col min="10444" max="10444" width="0.5546875" style="77" customWidth="1"/>
    <col min="10445" max="10445" width="3.44140625" style="77" customWidth="1"/>
    <col min="10446" max="10446" width="0.88671875" style="77" customWidth="1"/>
    <col min="10447" max="10447" width="0.33203125" style="77" customWidth="1"/>
    <col min="10448" max="10449" width="0" style="77" hidden="1" customWidth="1"/>
    <col min="10450" max="10672" width="9.109375" style="77" customWidth="1"/>
    <col min="10673" max="10673" width="0" style="77" hidden="1" customWidth="1"/>
    <col min="10674" max="10674" width="1.6640625" style="77" customWidth="1"/>
    <col min="10675" max="10675" width="3.44140625" style="77" customWidth="1"/>
    <col min="10676" max="10676" width="2.33203125" style="77" customWidth="1"/>
    <col min="10677" max="10677" width="0.109375" style="77" customWidth="1"/>
    <col min="10678" max="10678" width="1.109375" style="77" customWidth="1"/>
    <col min="10679" max="10679" width="1.6640625" style="77" customWidth="1"/>
    <col min="10680" max="10680" width="2" style="77" customWidth="1"/>
    <col min="10681" max="10681" width="0.6640625" style="77" customWidth="1"/>
    <col min="10682" max="10682" width="0.33203125" style="77" customWidth="1"/>
    <col min="10683" max="10683" width="2.6640625" style="77" customWidth="1"/>
    <col min="10684" max="10684" width="0.5546875" style="77" customWidth="1"/>
    <col min="10685" max="10685" width="1.33203125" style="77" customWidth="1"/>
    <col min="10686" max="10686" width="4.5546875" style="77" customWidth="1"/>
    <col min="10687" max="10687" width="0.109375" style="77" customWidth="1"/>
    <col min="10688" max="10688" width="12.33203125" style="77" customWidth="1"/>
    <col min="10689" max="10689" width="10.5546875" style="77" customWidth="1"/>
    <col min="10690" max="10690" width="2.6640625" style="77" customWidth="1"/>
    <col min="10691" max="10691" width="2.33203125" style="77" customWidth="1"/>
    <col min="10692" max="10692" width="1.6640625" style="77" customWidth="1"/>
    <col min="10693" max="10693" width="21.109375" style="77" customWidth="1"/>
    <col min="10694" max="10695" width="0.109375" style="77" customWidth="1"/>
    <col min="10696" max="10696" width="11.88671875" style="77" customWidth="1"/>
    <col min="10697" max="10698" width="0.109375" style="77" customWidth="1"/>
    <col min="10699" max="10699" width="5" style="77" customWidth="1"/>
    <col min="10700" max="10700" width="0.5546875" style="77" customWidth="1"/>
    <col min="10701" max="10701" width="3.44140625" style="77" customWidth="1"/>
    <col min="10702" max="10702" width="0.88671875" style="77" customWidth="1"/>
    <col min="10703" max="10703" width="0.33203125" style="77" customWidth="1"/>
    <col min="10704" max="10705" width="0" style="77" hidden="1" customWidth="1"/>
    <col min="10706" max="10928" width="9.109375" style="77" customWidth="1"/>
    <col min="10929" max="10929" width="0" style="77" hidden="1" customWidth="1"/>
    <col min="10930" max="10930" width="1.6640625" style="77" customWidth="1"/>
    <col min="10931" max="10931" width="3.44140625" style="77" customWidth="1"/>
    <col min="10932" max="10932" width="2.33203125" style="77" customWidth="1"/>
    <col min="10933" max="10933" width="0.109375" style="77" customWidth="1"/>
    <col min="10934" max="10934" width="1.109375" style="77" customWidth="1"/>
    <col min="10935" max="10935" width="1.6640625" style="77" customWidth="1"/>
    <col min="10936" max="10936" width="2" style="77" customWidth="1"/>
    <col min="10937" max="10937" width="0.6640625" style="77" customWidth="1"/>
    <col min="10938" max="10938" width="0.33203125" style="77" customWidth="1"/>
    <col min="10939" max="10939" width="2.6640625" style="77" customWidth="1"/>
    <col min="10940" max="10940" width="0.5546875" style="77" customWidth="1"/>
    <col min="10941" max="10941" width="1.33203125" style="77" customWidth="1"/>
    <col min="10942" max="10942" width="4.5546875" style="77" customWidth="1"/>
    <col min="10943" max="10943" width="0.109375" style="77" customWidth="1"/>
    <col min="10944" max="10944" width="12.33203125" style="77" customWidth="1"/>
    <col min="10945" max="10945" width="10.5546875" style="77" customWidth="1"/>
    <col min="10946" max="10946" width="2.6640625" style="77" customWidth="1"/>
    <col min="10947" max="10947" width="2.33203125" style="77" customWidth="1"/>
    <col min="10948" max="10948" width="1.6640625" style="77" customWidth="1"/>
    <col min="10949" max="10949" width="21.109375" style="77" customWidth="1"/>
    <col min="10950" max="10951" width="0.109375" style="77" customWidth="1"/>
    <col min="10952" max="10952" width="11.88671875" style="77" customWidth="1"/>
    <col min="10953" max="10954" width="0.109375" style="77" customWidth="1"/>
    <col min="10955" max="10955" width="5" style="77" customWidth="1"/>
    <col min="10956" max="10956" width="0.5546875" style="77" customWidth="1"/>
    <col min="10957" max="10957" width="3.44140625" style="77" customWidth="1"/>
    <col min="10958" max="10958" width="0.88671875" style="77" customWidth="1"/>
    <col min="10959" max="10959" width="0.33203125" style="77" customWidth="1"/>
    <col min="10960" max="10961" width="0" style="77" hidden="1" customWidth="1"/>
    <col min="10962" max="11184" width="9.109375" style="77" customWidth="1"/>
    <col min="11185" max="11185" width="0" style="77" hidden="1" customWidth="1"/>
    <col min="11186" max="11186" width="1.6640625" style="77" customWidth="1"/>
    <col min="11187" max="11187" width="3.44140625" style="77" customWidth="1"/>
    <col min="11188" max="11188" width="2.33203125" style="77" customWidth="1"/>
    <col min="11189" max="11189" width="0.109375" style="77" customWidth="1"/>
    <col min="11190" max="11190" width="1.109375" style="77" customWidth="1"/>
    <col min="11191" max="11191" width="1.6640625" style="77" customWidth="1"/>
    <col min="11192" max="11192" width="2" style="77" customWidth="1"/>
    <col min="11193" max="11193" width="0.6640625" style="77" customWidth="1"/>
    <col min="11194" max="11194" width="0.33203125" style="77" customWidth="1"/>
    <col min="11195" max="11195" width="2.6640625" style="77" customWidth="1"/>
    <col min="11196" max="11196" width="0.5546875" style="77" customWidth="1"/>
    <col min="11197" max="11197" width="1.33203125" style="77" customWidth="1"/>
    <col min="11198" max="11198" width="4.5546875" style="77" customWidth="1"/>
    <col min="11199" max="11199" width="0.109375" style="77" customWidth="1"/>
    <col min="11200" max="11200" width="12.33203125" style="77" customWidth="1"/>
    <col min="11201" max="11201" width="10.5546875" style="77" customWidth="1"/>
    <col min="11202" max="11202" width="2.6640625" style="77" customWidth="1"/>
    <col min="11203" max="11203" width="2.33203125" style="77" customWidth="1"/>
    <col min="11204" max="11204" width="1.6640625" style="77" customWidth="1"/>
    <col min="11205" max="11205" width="21.109375" style="77" customWidth="1"/>
    <col min="11206" max="11207" width="0.109375" style="77" customWidth="1"/>
    <col min="11208" max="11208" width="11.88671875" style="77" customWidth="1"/>
    <col min="11209" max="11210" width="0.109375" style="77" customWidth="1"/>
    <col min="11211" max="11211" width="5" style="77" customWidth="1"/>
    <col min="11212" max="11212" width="0.5546875" style="77" customWidth="1"/>
    <col min="11213" max="11213" width="3.44140625" style="77" customWidth="1"/>
    <col min="11214" max="11214" width="0.88671875" style="77" customWidth="1"/>
    <col min="11215" max="11215" width="0.33203125" style="77" customWidth="1"/>
    <col min="11216" max="11217" width="0" style="77" hidden="1" customWidth="1"/>
    <col min="11218" max="11440" width="9.109375" style="77" customWidth="1"/>
    <col min="11441" max="11441" width="0" style="77" hidden="1" customWidth="1"/>
    <col min="11442" max="11442" width="1.6640625" style="77" customWidth="1"/>
    <col min="11443" max="11443" width="3.44140625" style="77" customWidth="1"/>
    <col min="11444" max="11444" width="2.33203125" style="77" customWidth="1"/>
    <col min="11445" max="11445" width="0.109375" style="77" customWidth="1"/>
    <col min="11446" max="11446" width="1.109375" style="77" customWidth="1"/>
    <col min="11447" max="11447" width="1.6640625" style="77" customWidth="1"/>
    <col min="11448" max="11448" width="2" style="77" customWidth="1"/>
    <col min="11449" max="11449" width="0.6640625" style="77" customWidth="1"/>
    <col min="11450" max="11450" width="0.33203125" style="77" customWidth="1"/>
    <col min="11451" max="11451" width="2.6640625" style="77" customWidth="1"/>
    <col min="11452" max="11452" width="0.5546875" style="77" customWidth="1"/>
    <col min="11453" max="11453" width="1.33203125" style="77" customWidth="1"/>
    <col min="11454" max="11454" width="4.5546875" style="77" customWidth="1"/>
    <col min="11455" max="11455" width="0.109375" style="77" customWidth="1"/>
    <col min="11456" max="11456" width="12.33203125" style="77" customWidth="1"/>
    <col min="11457" max="11457" width="10.5546875" style="77" customWidth="1"/>
    <col min="11458" max="11458" width="2.6640625" style="77" customWidth="1"/>
    <col min="11459" max="11459" width="2.33203125" style="77" customWidth="1"/>
    <col min="11460" max="11460" width="1.6640625" style="77" customWidth="1"/>
    <col min="11461" max="11461" width="21.109375" style="77" customWidth="1"/>
    <col min="11462" max="11463" width="0.109375" style="77" customWidth="1"/>
    <col min="11464" max="11464" width="11.88671875" style="77" customWidth="1"/>
    <col min="11465" max="11466" width="0.109375" style="77" customWidth="1"/>
    <col min="11467" max="11467" width="5" style="77" customWidth="1"/>
    <col min="11468" max="11468" width="0.5546875" style="77" customWidth="1"/>
    <col min="11469" max="11469" width="3.44140625" style="77" customWidth="1"/>
    <col min="11470" max="11470" width="0.88671875" style="77" customWidth="1"/>
    <col min="11471" max="11471" width="0.33203125" style="77" customWidth="1"/>
    <col min="11472" max="11473" width="0" style="77" hidden="1" customWidth="1"/>
    <col min="11474" max="11696" width="9.109375" style="77" customWidth="1"/>
    <col min="11697" max="11697" width="0" style="77" hidden="1" customWidth="1"/>
    <col min="11698" max="11698" width="1.6640625" style="77" customWidth="1"/>
    <col min="11699" max="11699" width="3.44140625" style="77" customWidth="1"/>
    <col min="11700" max="11700" width="2.33203125" style="77" customWidth="1"/>
    <col min="11701" max="11701" width="0.109375" style="77" customWidth="1"/>
    <col min="11702" max="11702" width="1.109375" style="77" customWidth="1"/>
    <col min="11703" max="11703" width="1.6640625" style="77" customWidth="1"/>
    <col min="11704" max="11704" width="2" style="77" customWidth="1"/>
    <col min="11705" max="11705" width="0.6640625" style="77" customWidth="1"/>
    <col min="11706" max="11706" width="0.33203125" style="77" customWidth="1"/>
    <col min="11707" max="11707" width="2.6640625" style="77" customWidth="1"/>
    <col min="11708" max="11708" width="0.5546875" style="77" customWidth="1"/>
    <col min="11709" max="11709" width="1.33203125" style="77" customWidth="1"/>
    <col min="11710" max="11710" width="4.5546875" style="77" customWidth="1"/>
    <col min="11711" max="11711" width="0.109375" style="77" customWidth="1"/>
    <col min="11712" max="11712" width="12.33203125" style="77" customWidth="1"/>
    <col min="11713" max="11713" width="10.5546875" style="77" customWidth="1"/>
    <col min="11714" max="11714" width="2.6640625" style="77" customWidth="1"/>
    <col min="11715" max="11715" width="2.33203125" style="77" customWidth="1"/>
    <col min="11716" max="11716" width="1.6640625" style="77" customWidth="1"/>
    <col min="11717" max="11717" width="21.109375" style="77" customWidth="1"/>
    <col min="11718" max="11719" width="0.109375" style="77" customWidth="1"/>
    <col min="11720" max="11720" width="11.88671875" style="77" customWidth="1"/>
    <col min="11721" max="11722" width="0.109375" style="77" customWidth="1"/>
    <col min="11723" max="11723" width="5" style="77" customWidth="1"/>
    <col min="11724" max="11724" width="0.5546875" style="77" customWidth="1"/>
    <col min="11725" max="11725" width="3.44140625" style="77" customWidth="1"/>
    <col min="11726" max="11726" width="0.88671875" style="77" customWidth="1"/>
    <col min="11727" max="11727" width="0.33203125" style="77" customWidth="1"/>
    <col min="11728" max="11729" width="0" style="77" hidden="1" customWidth="1"/>
    <col min="11730" max="11952" width="9.109375" style="77" customWidth="1"/>
    <col min="11953" max="11953" width="0" style="77" hidden="1" customWidth="1"/>
    <col min="11954" max="11954" width="1.6640625" style="77" customWidth="1"/>
    <col min="11955" max="11955" width="3.44140625" style="77" customWidth="1"/>
    <col min="11956" max="11956" width="2.33203125" style="77" customWidth="1"/>
    <col min="11957" max="11957" width="0.109375" style="77" customWidth="1"/>
    <col min="11958" max="11958" width="1.109375" style="77" customWidth="1"/>
    <col min="11959" max="11959" width="1.6640625" style="77" customWidth="1"/>
    <col min="11960" max="11960" width="2" style="77" customWidth="1"/>
    <col min="11961" max="11961" width="0.6640625" style="77" customWidth="1"/>
    <col min="11962" max="11962" width="0.33203125" style="77" customWidth="1"/>
    <col min="11963" max="11963" width="2.6640625" style="77" customWidth="1"/>
    <col min="11964" max="11964" width="0.5546875" style="77" customWidth="1"/>
    <col min="11965" max="11965" width="1.33203125" style="77" customWidth="1"/>
    <col min="11966" max="11966" width="4.5546875" style="77" customWidth="1"/>
    <col min="11967" max="11967" width="0.109375" style="77" customWidth="1"/>
    <col min="11968" max="11968" width="12.33203125" style="77" customWidth="1"/>
    <col min="11969" max="11969" width="10.5546875" style="77" customWidth="1"/>
    <col min="11970" max="11970" width="2.6640625" style="77" customWidth="1"/>
    <col min="11971" max="11971" width="2.33203125" style="77" customWidth="1"/>
    <col min="11972" max="11972" width="1.6640625" style="77" customWidth="1"/>
    <col min="11973" max="11973" width="21.109375" style="77" customWidth="1"/>
    <col min="11974" max="11975" width="0.109375" style="77" customWidth="1"/>
    <col min="11976" max="11976" width="11.88671875" style="77" customWidth="1"/>
    <col min="11977" max="11978" width="0.109375" style="77" customWidth="1"/>
    <col min="11979" max="11979" width="5" style="77" customWidth="1"/>
    <col min="11980" max="11980" width="0.5546875" style="77" customWidth="1"/>
    <col min="11981" max="11981" width="3.44140625" style="77" customWidth="1"/>
    <col min="11982" max="11982" width="0.88671875" style="77" customWidth="1"/>
    <col min="11983" max="11983" width="0.33203125" style="77" customWidth="1"/>
    <col min="11984" max="11985" width="0" style="77" hidden="1" customWidth="1"/>
    <col min="11986" max="12208" width="9.109375" style="77" customWidth="1"/>
    <col min="12209" max="12209" width="0" style="77" hidden="1" customWidth="1"/>
    <col min="12210" max="12210" width="1.6640625" style="77" customWidth="1"/>
    <col min="12211" max="12211" width="3.44140625" style="77" customWidth="1"/>
    <col min="12212" max="12212" width="2.33203125" style="77" customWidth="1"/>
    <col min="12213" max="12213" width="0.109375" style="77" customWidth="1"/>
    <col min="12214" max="12214" width="1.109375" style="77" customWidth="1"/>
    <col min="12215" max="12215" width="1.6640625" style="77" customWidth="1"/>
    <col min="12216" max="12216" width="2" style="77" customWidth="1"/>
    <col min="12217" max="12217" width="0.6640625" style="77" customWidth="1"/>
    <col min="12218" max="12218" width="0.33203125" style="77" customWidth="1"/>
    <col min="12219" max="12219" width="2.6640625" style="77" customWidth="1"/>
    <col min="12220" max="12220" width="0.5546875" style="77" customWidth="1"/>
    <col min="12221" max="12221" width="1.33203125" style="77" customWidth="1"/>
    <col min="12222" max="12222" width="4.5546875" style="77" customWidth="1"/>
    <col min="12223" max="12223" width="0.109375" style="77" customWidth="1"/>
    <col min="12224" max="12224" width="12.33203125" style="77" customWidth="1"/>
    <col min="12225" max="12225" width="10.5546875" style="77" customWidth="1"/>
    <col min="12226" max="12226" width="2.6640625" style="77" customWidth="1"/>
    <col min="12227" max="12227" width="2.33203125" style="77" customWidth="1"/>
    <col min="12228" max="12228" width="1.6640625" style="77" customWidth="1"/>
    <col min="12229" max="12229" width="21.109375" style="77" customWidth="1"/>
    <col min="12230" max="12231" width="0.109375" style="77" customWidth="1"/>
    <col min="12232" max="12232" width="11.88671875" style="77" customWidth="1"/>
    <col min="12233" max="12234" width="0.109375" style="77" customWidth="1"/>
    <col min="12235" max="12235" width="5" style="77" customWidth="1"/>
    <col min="12236" max="12236" width="0.5546875" style="77" customWidth="1"/>
    <col min="12237" max="12237" width="3.44140625" style="77" customWidth="1"/>
    <col min="12238" max="12238" width="0.88671875" style="77" customWidth="1"/>
    <col min="12239" max="12239" width="0.33203125" style="77" customWidth="1"/>
    <col min="12240" max="12241" width="0" style="77" hidden="1" customWidth="1"/>
    <col min="12242" max="12464" width="9.109375" style="77" customWidth="1"/>
    <col min="12465" max="12465" width="0" style="77" hidden="1" customWidth="1"/>
    <col min="12466" max="12466" width="1.6640625" style="77" customWidth="1"/>
    <col min="12467" max="12467" width="3.44140625" style="77" customWidth="1"/>
    <col min="12468" max="12468" width="2.33203125" style="77" customWidth="1"/>
    <col min="12469" max="12469" width="0.109375" style="77" customWidth="1"/>
    <col min="12470" max="12470" width="1.109375" style="77" customWidth="1"/>
    <col min="12471" max="12471" width="1.6640625" style="77" customWidth="1"/>
    <col min="12472" max="12472" width="2" style="77" customWidth="1"/>
    <col min="12473" max="12473" width="0.6640625" style="77" customWidth="1"/>
    <col min="12474" max="12474" width="0.33203125" style="77" customWidth="1"/>
    <col min="12475" max="12475" width="2.6640625" style="77" customWidth="1"/>
    <col min="12476" max="12476" width="0.5546875" style="77" customWidth="1"/>
    <col min="12477" max="12477" width="1.33203125" style="77" customWidth="1"/>
    <col min="12478" max="12478" width="4.5546875" style="77" customWidth="1"/>
    <col min="12479" max="12479" width="0.109375" style="77" customWidth="1"/>
    <col min="12480" max="12480" width="12.33203125" style="77" customWidth="1"/>
    <col min="12481" max="12481" width="10.5546875" style="77" customWidth="1"/>
    <col min="12482" max="12482" width="2.6640625" style="77" customWidth="1"/>
    <col min="12483" max="12483" width="2.33203125" style="77" customWidth="1"/>
    <col min="12484" max="12484" width="1.6640625" style="77" customWidth="1"/>
    <col min="12485" max="12485" width="21.109375" style="77" customWidth="1"/>
    <col min="12486" max="12487" width="0.109375" style="77" customWidth="1"/>
    <col min="12488" max="12488" width="11.88671875" style="77" customWidth="1"/>
    <col min="12489" max="12490" width="0.109375" style="77" customWidth="1"/>
    <col min="12491" max="12491" width="5" style="77" customWidth="1"/>
    <col min="12492" max="12492" width="0.5546875" style="77" customWidth="1"/>
    <col min="12493" max="12493" width="3.44140625" style="77" customWidth="1"/>
    <col min="12494" max="12494" width="0.88671875" style="77" customWidth="1"/>
    <col min="12495" max="12495" width="0.33203125" style="77" customWidth="1"/>
    <col min="12496" max="12497" width="0" style="77" hidden="1" customWidth="1"/>
    <col min="12498" max="12720" width="9.109375" style="77" customWidth="1"/>
    <col min="12721" max="12721" width="0" style="77" hidden="1" customWidth="1"/>
    <col min="12722" max="12722" width="1.6640625" style="77" customWidth="1"/>
    <col min="12723" max="12723" width="3.44140625" style="77" customWidth="1"/>
    <col min="12724" max="12724" width="2.33203125" style="77" customWidth="1"/>
    <col min="12725" max="12725" width="0.109375" style="77" customWidth="1"/>
    <col min="12726" max="12726" width="1.109375" style="77" customWidth="1"/>
    <col min="12727" max="12727" width="1.6640625" style="77" customWidth="1"/>
    <col min="12728" max="12728" width="2" style="77" customWidth="1"/>
    <col min="12729" max="12729" width="0.6640625" style="77" customWidth="1"/>
    <col min="12730" max="12730" width="0.33203125" style="77" customWidth="1"/>
    <col min="12731" max="12731" width="2.6640625" style="77" customWidth="1"/>
    <col min="12732" max="12732" width="0.5546875" style="77" customWidth="1"/>
    <col min="12733" max="12733" width="1.33203125" style="77" customWidth="1"/>
    <col min="12734" max="12734" width="4.5546875" style="77" customWidth="1"/>
    <col min="12735" max="12735" width="0.109375" style="77" customWidth="1"/>
    <col min="12736" max="12736" width="12.33203125" style="77" customWidth="1"/>
    <col min="12737" max="12737" width="10.5546875" style="77" customWidth="1"/>
    <col min="12738" max="12738" width="2.6640625" style="77" customWidth="1"/>
    <col min="12739" max="12739" width="2.33203125" style="77" customWidth="1"/>
    <col min="12740" max="12740" width="1.6640625" style="77" customWidth="1"/>
    <col min="12741" max="12741" width="21.109375" style="77" customWidth="1"/>
    <col min="12742" max="12743" width="0.109375" style="77" customWidth="1"/>
    <col min="12744" max="12744" width="11.88671875" style="77" customWidth="1"/>
    <col min="12745" max="12746" width="0.109375" style="77" customWidth="1"/>
    <col min="12747" max="12747" width="5" style="77" customWidth="1"/>
    <col min="12748" max="12748" width="0.5546875" style="77" customWidth="1"/>
    <col min="12749" max="12749" width="3.44140625" style="77" customWidth="1"/>
    <col min="12750" max="12750" width="0.88671875" style="77" customWidth="1"/>
    <col min="12751" max="12751" width="0.33203125" style="77" customWidth="1"/>
    <col min="12752" max="12753" width="0" style="77" hidden="1" customWidth="1"/>
    <col min="12754" max="12976" width="9.109375" style="77" customWidth="1"/>
    <col min="12977" max="12977" width="0" style="77" hidden="1" customWidth="1"/>
    <col min="12978" max="12978" width="1.6640625" style="77" customWidth="1"/>
    <col min="12979" max="12979" width="3.44140625" style="77" customWidth="1"/>
    <col min="12980" max="12980" width="2.33203125" style="77" customWidth="1"/>
    <col min="12981" max="12981" width="0.109375" style="77" customWidth="1"/>
    <col min="12982" max="12982" width="1.109375" style="77" customWidth="1"/>
    <col min="12983" max="12983" width="1.6640625" style="77" customWidth="1"/>
    <col min="12984" max="12984" width="2" style="77" customWidth="1"/>
    <col min="12985" max="12985" width="0.6640625" style="77" customWidth="1"/>
    <col min="12986" max="12986" width="0.33203125" style="77" customWidth="1"/>
    <col min="12987" max="12987" width="2.6640625" style="77" customWidth="1"/>
    <col min="12988" max="12988" width="0.5546875" style="77" customWidth="1"/>
    <col min="12989" max="12989" width="1.33203125" style="77" customWidth="1"/>
    <col min="12990" max="12990" width="4.5546875" style="77" customWidth="1"/>
    <col min="12991" max="12991" width="0.109375" style="77" customWidth="1"/>
    <col min="12992" max="12992" width="12.33203125" style="77" customWidth="1"/>
    <col min="12993" max="12993" width="10.5546875" style="77" customWidth="1"/>
    <col min="12994" max="12994" width="2.6640625" style="77" customWidth="1"/>
    <col min="12995" max="12995" width="2.33203125" style="77" customWidth="1"/>
    <col min="12996" max="12996" width="1.6640625" style="77" customWidth="1"/>
    <col min="12997" max="12997" width="21.109375" style="77" customWidth="1"/>
    <col min="12998" max="12999" width="0.109375" style="77" customWidth="1"/>
    <col min="13000" max="13000" width="11.88671875" style="77" customWidth="1"/>
    <col min="13001" max="13002" width="0.109375" style="77" customWidth="1"/>
    <col min="13003" max="13003" width="5" style="77" customWidth="1"/>
    <col min="13004" max="13004" width="0.5546875" style="77" customWidth="1"/>
    <col min="13005" max="13005" width="3.44140625" style="77" customWidth="1"/>
    <col min="13006" max="13006" width="0.88671875" style="77" customWidth="1"/>
    <col min="13007" max="13007" width="0.33203125" style="77" customWidth="1"/>
    <col min="13008" max="13009" width="0" style="77" hidden="1" customWidth="1"/>
    <col min="13010" max="13232" width="9.109375" style="77" customWidth="1"/>
    <col min="13233" max="13233" width="0" style="77" hidden="1" customWidth="1"/>
    <col min="13234" max="13234" width="1.6640625" style="77" customWidth="1"/>
    <col min="13235" max="13235" width="3.44140625" style="77" customWidth="1"/>
    <col min="13236" max="13236" width="2.33203125" style="77" customWidth="1"/>
    <col min="13237" max="13237" width="0.109375" style="77" customWidth="1"/>
    <col min="13238" max="13238" width="1.109375" style="77" customWidth="1"/>
    <col min="13239" max="13239" width="1.6640625" style="77" customWidth="1"/>
    <col min="13240" max="13240" width="2" style="77" customWidth="1"/>
    <col min="13241" max="13241" width="0.6640625" style="77" customWidth="1"/>
    <col min="13242" max="13242" width="0.33203125" style="77" customWidth="1"/>
    <col min="13243" max="13243" width="2.6640625" style="77" customWidth="1"/>
    <col min="13244" max="13244" width="0.5546875" style="77" customWidth="1"/>
    <col min="13245" max="13245" width="1.33203125" style="77" customWidth="1"/>
    <col min="13246" max="13246" width="4.5546875" style="77" customWidth="1"/>
    <col min="13247" max="13247" width="0.109375" style="77" customWidth="1"/>
    <col min="13248" max="13248" width="12.33203125" style="77" customWidth="1"/>
    <col min="13249" max="13249" width="10.5546875" style="77" customWidth="1"/>
    <col min="13250" max="13250" width="2.6640625" style="77" customWidth="1"/>
    <col min="13251" max="13251" width="2.33203125" style="77" customWidth="1"/>
    <col min="13252" max="13252" width="1.6640625" style="77" customWidth="1"/>
    <col min="13253" max="13253" width="21.109375" style="77" customWidth="1"/>
    <col min="13254" max="13255" width="0.109375" style="77" customWidth="1"/>
    <col min="13256" max="13256" width="11.88671875" style="77" customWidth="1"/>
    <col min="13257" max="13258" width="0.109375" style="77" customWidth="1"/>
    <col min="13259" max="13259" width="5" style="77" customWidth="1"/>
    <col min="13260" max="13260" width="0.5546875" style="77" customWidth="1"/>
    <col min="13261" max="13261" width="3.44140625" style="77" customWidth="1"/>
    <col min="13262" max="13262" width="0.88671875" style="77" customWidth="1"/>
    <col min="13263" max="13263" width="0.33203125" style="77" customWidth="1"/>
    <col min="13264" max="13265" width="0" style="77" hidden="1" customWidth="1"/>
    <col min="13266" max="13488" width="9.109375" style="77" customWidth="1"/>
    <col min="13489" max="13489" width="0" style="77" hidden="1" customWidth="1"/>
    <col min="13490" max="13490" width="1.6640625" style="77" customWidth="1"/>
    <col min="13491" max="13491" width="3.44140625" style="77" customWidth="1"/>
    <col min="13492" max="13492" width="2.33203125" style="77" customWidth="1"/>
    <col min="13493" max="13493" width="0.109375" style="77" customWidth="1"/>
    <col min="13494" max="13494" width="1.109375" style="77" customWidth="1"/>
    <col min="13495" max="13495" width="1.6640625" style="77" customWidth="1"/>
    <col min="13496" max="13496" width="2" style="77" customWidth="1"/>
    <col min="13497" max="13497" width="0.6640625" style="77" customWidth="1"/>
    <col min="13498" max="13498" width="0.33203125" style="77" customWidth="1"/>
    <col min="13499" max="13499" width="2.6640625" style="77" customWidth="1"/>
    <col min="13500" max="13500" width="0.5546875" style="77" customWidth="1"/>
    <col min="13501" max="13501" width="1.33203125" style="77" customWidth="1"/>
    <col min="13502" max="13502" width="4.5546875" style="77" customWidth="1"/>
    <col min="13503" max="13503" width="0.109375" style="77" customWidth="1"/>
    <col min="13504" max="13504" width="12.33203125" style="77" customWidth="1"/>
    <col min="13505" max="13505" width="10.5546875" style="77" customWidth="1"/>
    <col min="13506" max="13506" width="2.6640625" style="77" customWidth="1"/>
    <col min="13507" max="13507" width="2.33203125" style="77" customWidth="1"/>
    <col min="13508" max="13508" width="1.6640625" style="77" customWidth="1"/>
    <col min="13509" max="13509" width="21.109375" style="77" customWidth="1"/>
    <col min="13510" max="13511" width="0.109375" style="77" customWidth="1"/>
    <col min="13512" max="13512" width="11.88671875" style="77" customWidth="1"/>
    <col min="13513" max="13514" width="0.109375" style="77" customWidth="1"/>
    <col min="13515" max="13515" width="5" style="77" customWidth="1"/>
    <col min="13516" max="13516" width="0.5546875" style="77" customWidth="1"/>
    <col min="13517" max="13517" width="3.44140625" style="77" customWidth="1"/>
    <col min="13518" max="13518" width="0.88671875" style="77" customWidth="1"/>
    <col min="13519" max="13519" width="0.33203125" style="77" customWidth="1"/>
    <col min="13520" max="13521" width="0" style="77" hidden="1" customWidth="1"/>
    <col min="13522" max="13744" width="9.109375" style="77" customWidth="1"/>
    <col min="13745" max="13745" width="0" style="77" hidden="1" customWidth="1"/>
    <col min="13746" max="13746" width="1.6640625" style="77" customWidth="1"/>
    <col min="13747" max="13747" width="3.44140625" style="77" customWidth="1"/>
    <col min="13748" max="13748" width="2.33203125" style="77" customWidth="1"/>
    <col min="13749" max="13749" width="0.109375" style="77" customWidth="1"/>
    <col min="13750" max="13750" width="1.109375" style="77" customWidth="1"/>
    <col min="13751" max="13751" width="1.6640625" style="77" customWidth="1"/>
    <col min="13752" max="13752" width="2" style="77" customWidth="1"/>
    <col min="13753" max="13753" width="0.6640625" style="77" customWidth="1"/>
    <col min="13754" max="13754" width="0.33203125" style="77" customWidth="1"/>
    <col min="13755" max="13755" width="2.6640625" style="77" customWidth="1"/>
    <col min="13756" max="13756" width="0.5546875" style="77" customWidth="1"/>
    <col min="13757" max="13757" width="1.33203125" style="77" customWidth="1"/>
    <col min="13758" max="13758" width="4.5546875" style="77" customWidth="1"/>
    <col min="13759" max="13759" width="0.109375" style="77" customWidth="1"/>
    <col min="13760" max="13760" width="12.33203125" style="77" customWidth="1"/>
    <col min="13761" max="13761" width="10.5546875" style="77" customWidth="1"/>
    <col min="13762" max="13762" width="2.6640625" style="77" customWidth="1"/>
    <col min="13763" max="13763" width="2.33203125" style="77" customWidth="1"/>
    <col min="13764" max="13764" width="1.6640625" style="77" customWidth="1"/>
    <col min="13765" max="13765" width="21.109375" style="77" customWidth="1"/>
    <col min="13766" max="13767" width="0.109375" style="77" customWidth="1"/>
    <col min="13768" max="13768" width="11.88671875" style="77" customWidth="1"/>
    <col min="13769" max="13770" width="0.109375" style="77" customWidth="1"/>
    <col min="13771" max="13771" width="5" style="77" customWidth="1"/>
    <col min="13772" max="13772" width="0.5546875" style="77" customWidth="1"/>
    <col min="13773" max="13773" width="3.44140625" style="77" customWidth="1"/>
    <col min="13774" max="13774" width="0.88671875" style="77" customWidth="1"/>
    <col min="13775" max="13775" width="0.33203125" style="77" customWidth="1"/>
    <col min="13776" max="13777" width="0" style="77" hidden="1" customWidth="1"/>
    <col min="13778" max="14000" width="9.109375" style="77" customWidth="1"/>
    <col min="14001" max="14001" width="0" style="77" hidden="1" customWidth="1"/>
    <col min="14002" max="14002" width="1.6640625" style="77" customWidth="1"/>
    <col min="14003" max="14003" width="3.44140625" style="77" customWidth="1"/>
    <col min="14004" max="14004" width="2.33203125" style="77" customWidth="1"/>
    <col min="14005" max="14005" width="0.109375" style="77" customWidth="1"/>
    <col min="14006" max="14006" width="1.109375" style="77" customWidth="1"/>
    <col min="14007" max="14007" width="1.6640625" style="77" customWidth="1"/>
    <col min="14008" max="14008" width="2" style="77" customWidth="1"/>
    <col min="14009" max="14009" width="0.6640625" style="77" customWidth="1"/>
    <col min="14010" max="14010" width="0.33203125" style="77" customWidth="1"/>
    <col min="14011" max="14011" width="2.6640625" style="77" customWidth="1"/>
    <col min="14012" max="14012" width="0.5546875" style="77" customWidth="1"/>
    <col min="14013" max="14013" width="1.33203125" style="77" customWidth="1"/>
    <col min="14014" max="14014" width="4.5546875" style="77" customWidth="1"/>
    <col min="14015" max="14015" width="0.109375" style="77" customWidth="1"/>
    <col min="14016" max="14016" width="12.33203125" style="77" customWidth="1"/>
    <col min="14017" max="14017" width="10.5546875" style="77" customWidth="1"/>
    <col min="14018" max="14018" width="2.6640625" style="77" customWidth="1"/>
    <col min="14019" max="14019" width="2.33203125" style="77" customWidth="1"/>
    <col min="14020" max="14020" width="1.6640625" style="77" customWidth="1"/>
    <col min="14021" max="14021" width="21.109375" style="77" customWidth="1"/>
    <col min="14022" max="14023" width="0.109375" style="77" customWidth="1"/>
    <col min="14024" max="14024" width="11.88671875" style="77" customWidth="1"/>
    <col min="14025" max="14026" width="0.109375" style="77" customWidth="1"/>
    <col min="14027" max="14027" width="5" style="77" customWidth="1"/>
    <col min="14028" max="14028" width="0.5546875" style="77" customWidth="1"/>
    <col min="14029" max="14029" width="3.44140625" style="77" customWidth="1"/>
    <col min="14030" max="14030" width="0.88671875" style="77" customWidth="1"/>
    <col min="14031" max="14031" width="0.33203125" style="77" customWidth="1"/>
    <col min="14032" max="14033" width="0" style="77" hidden="1" customWidth="1"/>
    <col min="14034" max="14256" width="9.109375" style="77" customWidth="1"/>
    <col min="14257" max="14257" width="0" style="77" hidden="1" customWidth="1"/>
    <col min="14258" max="14258" width="1.6640625" style="77" customWidth="1"/>
    <col min="14259" max="14259" width="3.44140625" style="77" customWidth="1"/>
    <col min="14260" max="14260" width="2.33203125" style="77" customWidth="1"/>
    <col min="14261" max="14261" width="0.109375" style="77" customWidth="1"/>
    <col min="14262" max="14262" width="1.109375" style="77" customWidth="1"/>
    <col min="14263" max="14263" width="1.6640625" style="77" customWidth="1"/>
    <col min="14264" max="14264" width="2" style="77" customWidth="1"/>
    <col min="14265" max="14265" width="0.6640625" style="77" customWidth="1"/>
    <col min="14266" max="14266" width="0.33203125" style="77" customWidth="1"/>
    <col min="14267" max="14267" width="2.6640625" style="77" customWidth="1"/>
    <col min="14268" max="14268" width="0.5546875" style="77" customWidth="1"/>
    <col min="14269" max="14269" width="1.33203125" style="77" customWidth="1"/>
    <col min="14270" max="14270" width="4.5546875" style="77" customWidth="1"/>
    <col min="14271" max="14271" width="0.109375" style="77" customWidth="1"/>
    <col min="14272" max="14272" width="12.33203125" style="77" customWidth="1"/>
    <col min="14273" max="14273" width="10.5546875" style="77" customWidth="1"/>
    <col min="14274" max="14274" width="2.6640625" style="77" customWidth="1"/>
    <col min="14275" max="14275" width="2.33203125" style="77" customWidth="1"/>
    <col min="14276" max="14276" width="1.6640625" style="77" customWidth="1"/>
    <col min="14277" max="14277" width="21.109375" style="77" customWidth="1"/>
    <col min="14278" max="14279" width="0.109375" style="77" customWidth="1"/>
    <col min="14280" max="14280" width="11.88671875" style="77" customWidth="1"/>
    <col min="14281" max="14282" width="0.109375" style="77" customWidth="1"/>
    <col min="14283" max="14283" width="5" style="77" customWidth="1"/>
    <col min="14284" max="14284" width="0.5546875" style="77" customWidth="1"/>
    <col min="14285" max="14285" width="3.44140625" style="77" customWidth="1"/>
    <col min="14286" max="14286" width="0.88671875" style="77" customWidth="1"/>
    <col min="14287" max="14287" width="0.33203125" style="77" customWidth="1"/>
    <col min="14288" max="14289" width="0" style="77" hidden="1" customWidth="1"/>
    <col min="14290" max="14512" width="9.109375" style="77" customWidth="1"/>
    <col min="14513" max="14513" width="0" style="77" hidden="1" customWidth="1"/>
    <col min="14514" max="14514" width="1.6640625" style="77" customWidth="1"/>
    <col min="14515" max="14515" width="3.44140625" style="77" customWidth="1"/>
    <col min="14516" max="14516" width="2.33203125" style="77" customWidth="1"/>
    <col min="14517" max="14517" width="0.109375" style="77" customWidth="1"/>
    <col min="14518" max="14518" width="1.109375" style="77" customWidth="1"/>
    <col min="14519" max="14519" width="1.6640625" style="77" customWidth="1"/>
    <col min="14520" max="14520" width="2" style="77" customWidth="1"/>
    <col min="14521" max="14521" width="0.6640625" style="77" customWidth="1"/>
    <col min="14522" max="14522" width="0.33203125" style="77" customWidth="1"/>
    <col min="14523" max="14523" width="2.6640625" style="77" customWidth="1"/>
    <col min="14524" max="14524" width="0.5546875" style="77" customWidth="1"/>
    <col min="14525" max="14525" width="1.33203125" style="77" customWidth="1"/>
    <col min="14526" max="14526" width="4.5546875" style="77" customWidth="1"/>
    <col min="14527" max="14527" width="0.109375" style="77" customWidth="1"/>
    <col min="14528" max="14528" width="12.33203125" style="77" customWidth="1"/>
    <col min="14529" max="14529" width="10.5546875" style="77" customWidth="1"/>
    <col min="14530" max="14530" width="2.6640625" style="77" customWidth="1"/>
    <col min="14531" max="14531" width="2.33203125" style="77" customWidth="1"/>
    <col min="14532" max="14532" width="1.6640625" style="77" customWidth="1"/>
    <col min="14533" max="14533" width="21.109375" style="77" customWidth="1"/>
    <col min="14534" max="14535" width="0.109375" style="77" customWidth="1"/>
    <col min="14536" max="14536" width="11.88671875" style="77" customWidth="1"/>
    <col min="14537" max="14538" width="0.109375" style="77" customWidth="1"/>
    <col min="14539" max="14539" width="5" style="77" customWidth="1"/>
    <col min="14540" max="14540" width="0.5546875" style="77" customWidth="1"/>
    <col min="14541" max="14541" width="3.44140625" style="77" customWidth="1"/>
    <col min="14542" max="14542" width="0.88671875" style="77" customWidth="1"/>
    <col min="14543" max="14543" width="0.33203125" style="77" customWidth="1"/>
    <col min="14544" max="14545" width="0" style="77" hidden="1" customWidth="1"/>
    <col min="14546" max="14768" width="9.109375" style="77" customWidth="1"/>
    <col min="14769" max="14769" width="0" style="77" hidden="1" customWidth="1"/>
    <col min="14770" max="14770" width="1.6640625" style="77" customWidth="1"/>
    <col min="14771" max="14771" width="3.44140625" style="77" customWidth="1"/>
    <col min="14772" max="14772" width="2.33203125" style="77" customWidth="1"/>
    <col min="14773" max="14773" width="0.109375" style="77" customWidth="1"/>
    <col min="14774" max="14774" width="1.109375" style="77" customWidth="1"/>
    <col min="14775" max="14775" width="1.6640625" style="77" customWidth="1"/>
    <col min="14776" max="14776" width="2" style="77" customWidth="1"/>
    <col min="14777" max="14777" width="0.6640625" style="77" customWidth="1"/>
    <col min="14778" max="14778" width="0.33203125" style="77" customWidth="1"/>
    <col min="14779" max="14779" width="2.6640625" style="77" customWidth="1"/>
    <col min="14780" max="14780" width="0.5546875" style="77" customWidth="1"/>
    <col min="14781" max="14781" width="1.33203125" style="77" customWidth="1"/>
    <col min="14782" max="14782" width="4.5546875" style="77" customWidth="1"/>
    <col min="14783" max="14783" width="0.109375" style="77" customWidth="1"/>
    <col min="14784" max="14784" width="12.33203125" style="77" customWidth="1"/>
    <col min="14785" max="14785" width="10.5546875" style="77" customWidth="1"/>
    <col min="14786" max="14786" width="2.6640625" style="77" customWidth="1"/>
    <col min="14787" max="14787" width="2.33203125" style="77" customWidth="1"/>
    <col min="14788" max="14788" width="1.6640625" style="77" customWidth="1"/>
    <col min="14789" max="14789" width="21.109375" style="77" customWidth="1"/>
    <col min="14790" max="14791" width="0.109375" style="77" customWidth="1"/>
    <col min="14792" max="14792" width="11.88671875" style="77" customWidth="1"/>
    <col min="14793" max="14794" width="0.109375" style="77" customWidth="1"/>
    <col min="14795" max="14795" width="5" style="77" customWidth="1"/>
    <col min="14796" max="14796" width="0.5546875" style="77" customWidth="1"/>
    <col min="14797" max="14797" width="3.44140625" style="77" customWidth="1"/>
    <col min="14798" max="14798" width="0.88671875" style="77" customWidth="1"/>
    <col min="14799" max="14799" width="0.33203125" style="77" customWidth="1"/>
    <col min="14800" max="14801" width="0" style="77" hidden="1" customWidth="1"/>
    <col min="14802" max="15024" width="9.109375" style="77" customWidth="1"/>
    <col min="15025" max="15025" width="0" style="77" hidden="1" customWidth="1"/>
    <col min="15026" max="15026" width="1.6640625" style="77" customWidth="1"/>
    <col min="15027" max="15027" width="3.44140625" style="77" customWidth="1"/>
    <col min="15028" max="15028" width="2.33203125" style="77" customWidth="1"/>
    <col min="15029" max="15029" width="0.109375" style="77" customWidth="1"/>
    <col min="15030" max="15030" width="1.109375" style="77" customWidth="1"/>
    <col min="15031" max="15031" width="1.6640625" style="77" customWidth="1"/>
    <col min="15032" max="15032" width="2" style="77" customWidth="1"/>
    <col min="15033" max="15033" width="0.6640625" style="77" customWidth="1"/>
    <col min="15034" max="15034" width="0.33203125" style="77" customWidth="1"/>
    <col min="15035" max="15035" width="2.6640625" style="77" customWidth="1"/>
    <col min="15036" max="15036" width="0.5546875" style="77" customWidth="1"/>
    <col min="15037" max="15037" width="1.33203125" style="77" customWidth="1"/>
    <col min="15038" max="15038" width="4.5546875" style="77" customWidth="1"/>
    <col min="15039" max="15039" width="0.109375" style="77" customWidth="1"/>
    <col min="15040" max="15040" width="12.33203125" style="77" customWidth="1"/>
    <col min="15041" max="15041" width="10.5546875" style="77" customWidth="1"/>
    <col min="15042" max="15042" width="2.6640625" style="77" customWidth="1"/>
    <col min="15043" max="15043" width="2.33203125" style="77" customWidth="1"/>
    <col min="15044" max="15044" width="1.6640625" style="77" customWidth="1"/>
    <col min="15045" max="15045" width="21.109375" style="77" customWidth="1"/>
    <col min="15046" max="15047" width="0.109375" style="77" customWidth="1"/>
    <col min="15048" max="15048" width="11.88671875" style="77" customWidth="1"/>
    <col min="15049" max="15050" width="0.109375" style="77" customWidth="1"/>
    <col min="15051" max="15051" width="5" style="77" customWidth="1"/>
    <col min="15052" max="15052" width="0.5546875" style="77" customWidth="1"/>
    <col min="15053" max="15053" width="3.44140625" style="77" customWidth="1"/>
    <col min="15054" max="15054" width="0.88671875" style="77" customWidth="1"/>
    <col min="15055" max="15055" width="0.33203125" style="77" customWidth="1"/>
    <col min="15056" max="15057" width="0" style="77" hidden="1" customWidth="1"/>
    <col min="15058" max="15280" width="9.109375" style="77" customWidth="1"/>
    <col min="15281" max="15281" width="0" style="77" hidden="1" customWidth="1"/>
    <col min="15282" max="15282" width="1.6640625" style="77" customWidth="1"/>
    <col min="15283" max="15283" width="3.44140625" style="77" customWidth="1"/>
    <col min="15284" max="15284" width="2.33203125" style="77" customWidth="1"/>
    <col min="15285" max="15285" width="0.109375" style="77" customWidth="1"/>
    <col min="15286" max="15286" width="1.109375" style="77" customWidth="1"/>
    <col min="15287" max="15287" width="1.6640625" style="77" customWidth="1"/>
    <col min="15288" max="15288" width="2" style="77" customWidth="1"/>
    <col min="15289" max="15289" width="0.6640625" style="77" customWidth="1"/>
    <col min="15290" max="15290" width="0.33203125" style="77" customWidth="1"/>
    <col min="15291" max="15291" width="2.6640625" style="77" customWidth="1"/>
    <col min="15292" max="15292" width="0.5546875" style="77" customWidth="1"/>
    <col min="15293" max="15293" width="1.33203125" style="77" customWidth="1"/>
    <col min="15294" max="15294" width="4.5546875" style="77" customWidth="1"/>
    <col min="15295" max="15295" width="0.109375" style="77" customWidth="1"/>
    <col min="15296" max="15296" width="12.33203125" style="77" customWidth="1"/>
    <col min="15297" max="15297" width="10.5546875" style="77" customWidth="1"/>
    <col min="15298" max="15298" width="2.6640625" style="77" customWidth="1"/>
    <col min="15299" max="15299" width="2.33203125" style="77" customWidth="1"/>
    <col min="15300" max="15300" width="1.6640625" style="77" customWidth="1"/>
    <col min="15301" max="15301" width="21.109375" style="77" customWidth="1"/>
    <col min="15302" max="15303" width="0.109375" style="77" customWidth="1"/>
    <col min="15304" max="15304" width="11.88671875" style="77" customWidth="1"/>
    <col min="15305" max="15306" width="0.109375" style="77" customWidth="1"/>
    <col min="15307" max="15307" width="5" style="77" customWidth="1"/>
    <col min="15308" max="15308" width="0.5546875" style="77" customWidth="1"/>
    <col min="15309" max="15309" width="3.44140625" style="77" customWidth="1"/>
    <col min="15310" max="15310" width="0.88671875" style="77" customWidth="1"/>
    <col min="15311" max="15311" width="0.33203125" style="77" customWidth="1"/>
    <col min="15312" max="15313" width="0" style="77" hidden="1" customWidth="1"/>
    <col min="15314" max="15536" width="9.109375" style="77" customWidth="1"/>
    <col min="15537" max="15537" width="0" style="77" hidden="1" customWidth="1"/>
    <col min="15538" max="15538" width="1.6640625" style="77" customWidth="1"/>
    <col min="15539" max="15539" width="3.44140625" style="77" customWidth="1"/>
    <col min="15540" max="15540" width="2.33203125" style="77" customWidth="1"/>
    <col min="15541" max="15541" width="0.109375" style="77" customWidth="1"/>
    <col min="15542" max="15542" width="1.109375" style="77" customWidth="1"/>
    <col min="15543" max="15543" width="1.6640625" style="77" customWidth="1"/>
    <col min="15544" max="15544" width="2" style="77" customWidth="1"/>
    <col min="15545" max="15545" width="0.6640625" style="77" customWidth="1"/>
    <col min="15546" max="15546" width="0.33203125" style="77" customWidth="1"/>
    <col min="15547" max="15547" width="2.6640625" style="77" customWidth="1"/>
    <col min="15548" max="15548" width="0.5546875" style="77" customWidth="1"/>
    <col min="15549" max="15549" width="1.33203125" style="77" customWidth="1"/>
    <col min="15550" max="15550" width="4.5546875" style="77" customWidth="1"/>
    <col min="15551" max="15551" width="0.109375" style="77" customWidth="1"/>
    <col min="15552" max="15552" width="12.33203125" style="77" customWidth="1"/>
    <col min="15553" max="15553" width="10.5546875" style="77" customWidth="1"/>
    <col min="15554" max="15554" width="2.6640625" style="77" customWidth="1"/>
    <col min="15555" max="15555" width="2.33203125" style="77" customWidth="1"/>
    <col min="15556" max="15556" width="1.6640625" style="77" customWidth="1"/>
    <col min="15557" max="15557" width="21.109375" style="77" customWidth="1"/>
    <col min="15558" max="15559" width="0.109375" style="77" customWidth="1"/>
    <col min="15560" max="15560" width="11.88671875" style="77" customWidth="1"/>
    <col min="15561" max="15562" width="0.109375" style="77" customWidth="1"/>
    <col min="15563" max="15563" width="5" style="77" customWidth="1"/>
    <col min="15564" max="15564" width="0.5546875" style="77" customWidth="1"/>
    <col min="15565" max="15565" width="3.44140625" style="77" customWidth="1"/>
    <col min="15566" max="15566" width="0.88671875" style="77" customWidth="1"/>
    <col min="15567" max="15567" width="0.33203125" style="77" customWidth="1"/>
    <col min="15568" max="15569" width="0" style="77" hidden="1" customWidth="1"/>
    <col min="15570" max="15792" width="9.109375" style="77" customWidth="1"/>
    <col min="15793" max="15793" width="0" style="77" hidden="1" customWidth="1"/>
    <col min="15794" max="15794" width="1.6640625" style="77" customWidth="1"/>
    <col min="15795" max="15795" width="3.44140625" style="77" customWidth="1"/>
    <col min="15796" max="15796" width="2.33203125" style="77" customWidth="1"/>
    <col min="15797" max="15797" width="0.109375" style="77" customWidth="1"/>
    <col min="15798" max="15798" width="1.109375" style="77" customWidth="1"/>
    <col min="15799" max="15799" width="1.6640625" style="77" customWidth="1"/>
    <col min="15800" max="15800" width="2" style="77" customWidth="1"/>
    <col min="15801" max="15801" width="0.6640625" style="77" customWidth="1"/>
    <col min="15802" max="15802" width="0.33203125" style="77" customWidth="1"/>
    <col min="15803" max="15803" width="2.6640625" style="77" customWidth="1"/>
    <col min="15804" max="15804" width="0.5546875" style="77" customWidth="1"/>
    <col min="15805" max="15805" width="1.33203125" style="77" customWidth="1"/>
    <col min="15806" max="15806" width="4.5546875" style="77" customWidth="1"/>
    <col min="15807" max="15807" width="0.109375" style="77" customWidth="1"/>
    <col min="15808" max="15808" width="12.33203125" style="77" customWidth="1"/>
    <col min="15809" max="15809" width="10.5546875" style="77" customWidth="1"/>
    <col min="15810" max="15810" width="2.6640625" style="77" customWidth="1"/>
    <col min="15811" max="15811" width="2.33203125" style="77" customWidth="1"/>
    <col min="15812" max="15812" width="1.6640625" style="77" customWidth="1"/>
    <col min="15813" max="15813" width="21.109375" style="77" customWidth="1"/>
    <col min="15814" max="15815" width="0.109375" style="77" customWidth="1"/>
    <col min="15816" max="15816" width="11.88671875" style="77" customWidth="1"/>
    <col min="15817" max="15818" width="0.109375" style="77" customWidth="1"/>
    <col min="15819" max="15819" width="5" style="77" customWidth="1"/>
    <col min="15820" max="15820" width="0.5546875" style="77" customWidth="1"/>
    <col min="15821" max="15821" width="3.44140625" style="77" customWidth="1"/>
    <col min="15822" max="15822" width="0.88671875" style="77" customWidth="1"/>
    <col min="15823" max="15823" width="0.33203125" style="77" customWidth="1"/>
    <col min="15824" max="15825" width="0" style="77" hidden="1" customWidth="1"/>
    <col min="15826" max="16048" width="9.109375" style="77" customWidth="1"/>
    <col min="16049" max="16049" width="0" style="77" hidden="1" customWidth="1"/>
    <col min="16050" max="16050" width="1.6640625" style="77" customWidth="1"/>
    <col min="16051" max="16051" width="3.44140625" style="77" customWidth="1"/>
    <col min="16052" max="16052" width="2.33203125" style="77" customWidth="1"/>
    <col min="16053" max="16053" width="0.109375" style="77" customWidth="1"/>
    <col min="16054" max="16054" width="1.109375" style="77" customWidth="1"/>
    <col min="16055" max="16055" width="1.6640625" style="77" customWidth="1"/>
    <col min="16056" max="16056" width="2" style="77" customWidth="1"/>
    <col min="16057" max="16057" width="0.6640625" style="77" customWidth="1"/>
    <col min="16058" max="16058" width="0.33203125" style="77" customWidth="1"/>
    <col min="16059" max="16059" width="2.6640625" style="77" customWidth="1"/>
    <col min="16060" max="16060" width="0.5546875" style="77" customWidth="1"/>
    <col min="16061" max="16061" width="1.33203125" style="77" customWidth="1"/>
    <col min="16062" max="16062" width="4.5546875" style="77" customWidth="1"/>
    <col min="16063" max="16063" width="0.109375" style="77" customWidth="1"/>
    <col min="16064" max="16064" width="12.33203125" style="77" customWidth="1"/>
    <col min="16065" max="16065" width="10.5546875" style="77" customWidth="1"/>
    <col min="16066" max="16066" width="2.6640625" style="77" customWidth="1"/>
    <col min="16067" max="16067" width="2.33203125" style="77" customWidth="1"/>
    <col min="16068" max="16068" width="1.6640625" style="77" customWidth="1"/>
    <col min="16069" max="16069" width="21.109375" style="77" customWidth="1"/>
    <col min="16070" max="16071" width="0.109375" style="77" customWidth="1"/>
    <col min="16072" max="16072" width="11.88671875" style="77" customWidth="1"/>
    <col min="16073" max="16074" width="0.109375" style="77" customWidth="1"/>
    <col min="16075" max="16075" width="5" style="77" customWidth="1"/>
    <col min="16076" max="16076" width="0.5546875" style="77" customWidth="1"/>
    <col min="16077" max="16077" width="3.44140625" style="77" customWidth="1"/>
    <col min="16078" max="16078" width="0.88671875" style="77" customWidth="1"/>
    <col min="16079" max="16079" width="0.33203125" style="77" customWidth="1"/>
    <col min="16080" max="16081" width="0" style="77" hidden="1" customWidth="1"/>
    <col min="16082" max="16384" width="9.109375" style="77" customWidth="1"/>
  </cols>
  <sheetData>
    <row r="3" spans="2:10" ht="15" customHeight="1">
      <c r="C3" s="954" t="s">
        <v>265</v>
      </c>
      <c r="D3" s="954"/>
      <c r="E3" s="954"/>
      <c r="F3" s="954"/>
    </row>
    <row r="4" spans="2:10" ht="13.95" customHeight="1">
      <c r="C4" s="955" t="s">
        <v>474</v>
      </c>
      <c r="D4" s="955"/>
      <c r="E4" s="955"/>
      <c r="F4" s="955"/>
    </row>
    <row r="5" spans="2:10" ht="13.95" customHeight="1">
      <c r="C5" s="955"/>
      <c r="D5" s="955"/>
      <c r="E5" s="955"/>
      <c r="F5" s="955"/>
    </row>
    <row r="6" spans="2:10" ht="13.8" thickBot="1">
      <c r="C6" s="388"/>
      <c r="D6" s="388"/>
      <c r="E6" s="389"/>
      <c r="F6" s="656"/>
      <c r="H6" s="175"/>
    </row>
    <row r="7" spans="2:10" ht="13.8" thickBot="1">
      <c r="B7" s="176" t="s">
        <v>128</v>
      </c>
      <c r="C7" s="664" t="s">
        <v>84</v>
      </c>
      <c r="D7" s="394" t="s">
        <v>134</v>
      </c>
      <c r="E7" s="394" t="s">
        <v>137</v>
      </c>
      <c r="F7" s="657" t="s">
        <v>87</v>
      </c>
      <c r="H7" s="175"/>
    </row>
    <row r="8" spans="2:10" ht="15.6" customHeight="1">
      <c r="B8" s="708">
        <v>1</v>
      </c>
      <c r="C8" s="665" t="s">
        <v>382</v>
      </c>
      <c r="D8" s="390" t="s">
        <v>62</v>
      </c>
      <c r="E8" s="391">
        <v>15496427</v>
      </c>
      <c r="F8" s="666">
        <v>13.21</v>
      </c>
      <c r="H8" s="175"/>
    </row>
    <row r="9" spans="2:10" s="230" customFormat="1" ht="14.4">
      <c r="B9" s="393">
        <v>2</v>
      </c>
      <c r="C9" s="667" t="s">
        <v>382</v>
      </c>
      <c r="D9" s="384" t="s">
        <v>62</v>
      </c>
      <c r="E9" s="385">
        <v>17091341</v>
      </c>
      <c r="F9" s="658">
        <v>25.89</v>
      </c>
      <c r="H9" s="229"/>
    </row>
    <row r="10" spans="2:10" s="230" customFormat="1" ht="14.4">
      <c r="B10" s="393">
        <v>3</v>
      </c>
      <c r="C10" s="667" t="s">
        <v>382</v>
      </c>
      <c r="D10" s="384" t="s">
        <v>62</v>
      </c>
      <c r="E10" s="385">
        <v>18698061</v>
      </c>
      <c r="F10" s="658">
        <v>59.39</v>
      </c>
      <c r="H10" s="229"/>
      <c r="I10" s="580" t="s">
        <v>228</v>
      </c>
      <c r="J10" t="s">
        <v>346</v>
      </c>
    </row>
    <row r="11" spans="2:10" s="230" customFormat="1" ht="13.2" customHeight="1">
      <c r="B11" s="392">
        <v>4</v>
      </c>
      <c r="C11" s="667" t="s">
        <v>382</v>
      </c>
      <c r="D11" s="384" t="s">
        <v>62</v>
      </c>
      <c r="E11" s="385">
        <v>13715336</v>
      </c>
      <c r="F11" s="658">
        <v>11.53</v>
      </c>
      <c r="H11" s="229"/>
      <c r="I11" s="78" t="s">
        <v>426</v>
      </c>
      <c r="J11">
        <v>261.63</v>
      </c>
    </row>
    <row r="12" spans="2:10" s="230" customFormat="1" ht="16.2" customHeight="1">
      <c r="B12" s="393">
        <v>5</v>
      </c>
      <c r="C12" s="667" t="s">
        <v>382</v>
      </c>
      <c r="D12" s="384" t="s">
        <v>62</v>
      </c>
      <c r="E12" s="385">
        <v>14750228</v>
      </c>
      <c r="F12" s="658">
        <v>19.829999999999998</v>
      </c>
      <c r="H12" s="229"/>
      <c r="I12" s="78" t="s">
        <v>62</v>
      </c>
      <c r="J12">
        <v>87.66</v>
      </c>
    </row>
    <row r="13" spans="2:10" s="230" customFormat="1" ht="14.4">
      <c r="B13" s="393">
        <v>6</v>
      </c>
      <c r="C13" s="667" t="s">
        <v>382</v>
      </c>
      <c r="D13" s="384" t="s">
        <v>62</v>
      </c>
      <c r="E13" s="385">
        <v>16294333</v>
      </c>
      <c r="F13" s="658">
        <v>16.690000000000001</v>
      </c>
      <c r="H13" s="229"/>
      <c r="I13" s="78" t="s">
        <v>65</v>
      </c>
      <c r="J13">
        <v>20.96</v>
      </c>
    </row>
    <row r="14" spans="2:10" s="230" customFormat="1" ht="14.4">
      <c r="B14" s="393">
        <v>7</v>
      </c>
      <c r="C14" s="667" t="s">
        <v>383</v>
      </c>
      <c r="D14" s="384" t="s">
        <v>65</v>
      </c>
      <c r="E14" s="385">
        <v>16038686</v>
      </c>
      <c r="F14" s="658">
        <v>20.96</v>
      </c>
      <c r="I14" s="78" t="s">
        <v>68</v>
      </c>
      <c r="J14">
        <v>36.130000000000003</v>
      </c>
    </row>
    <row r="15" spans="2:10" s="230" customFormat="1" ht="14.4">
      <c r="B15" s="392">
        <v>8</v>
      </c>
      <c r="C15" s="667" t="s">
        <v>384</v>
      </c>
      <c r="D15" s="384" t="s">
        <v>66</v>
      </c>
      <c r="E15" s="385">
        <v>18644981</v>
      </c>
      <c r="F15" s="658">
        <v>15.48</v>
      </c>
      <c r="I15" s="78" t="s">
        <v>66</v>
      </c>
      <c r="J15">
        <v>27.17</v>
      </c>
    </row>
    <row r="16" spans="2:10" s="230" customFormat="1" ht="14.4">
      <c r="B16" s="393">
        <v>9</v>
      </c>
      <c r="C16" s="667" t="s">
        <v>384</v>
      </c>
      <c r="D16" s="384" t="s">
        <v>66</v>
      </c>
      <c r="E16" s="385">
        <v>17678636</v>
      </c>
      <c r="F16" s="658">
        <v>11.69</v>
      </c>
      <c r="I16" s="78" t="s">
        <v>315</v>
      </c>
      <c r="J16">
        <v>35.22</v>
      </c>
    </row>
    <row r="17" spans="2:10" s="230" customFormat="1" ht="14.4">
      <c r="B17" s="393">
        <v>10</v>
      </c>
      <c r="C17" s="667" t="s">
        <v>281</v>
      </c>
      <c r="D17" s="384" t="s">
        <v>280</v>
      </c>
      <c r="E17" s="385">
        <v>18861527</v>
      </c>
      <c r="F17" s="658">
        <v>58.15</v>
      </c>
      <c r="I17" s="78" t="s">
        <v>250</v>
      </c>
      <c r="J17">
        <v>161.05000000000001</v>
      </c>
    </row>
    <row r="18" spans="2:10" s="230" customFormat="1" ht="14.4">
      <c r="B18" s="393">
        <v>11</v>
      </c>
      <c r="C18" s="667" t="s">
        <v>332</v>
      </c>
      <c r="D18" s="384" t="s">
        <v>315</v>
      </c>
      <c r="E18" s="385">
        <v>17447992</v>
      </c>
      <c r="F18" s="658">
        <v>34.979999999999997</v>
      </c>
      <c r="I18" s="78" t="s">
        <v>26</v>
      </c>
      <c r="J18">
        <v>80.94</v>
      </c>
    </row>
    <row r="19" spans="2:10" s="230" customFormat="1" ht="14.4">
      <c r="B19" s="392">
        <v>12</v>
      </c>
      <c r="C19" s="667" t="s">
        <v>438</v>
      </c>
      <c r="D19" s="384" t="s">
        <v>26</v>
      </c>
      <c r="E19" s="385">
        <v>18546441</v>
      </c>
      <c r="F19" s="658">
        <v>80.94</v>
      </c>
      <c r="I19" s="78" t="s">
        <v>55</v>
      </c>
      <c r="J19">
        <v>71.05</v>
      </c>
    </row>
    <row r="20" spans="2:10" s="230" customFormat="1" ht="14.4">
      <c r="B20" s="393">
        <v>13</v>
      </c>
      <c r="C20" s="667" t="s">
        <v>385</v>
      </c>
      <c r="D20" s="384" t="s">
        <v>55</v>
      </c>
      <c r="E20" s="385">
        <v>18902486</v>
      </c>
      <c r="F20" s="658">
        <v>37.159999999999997</v>
      </c>
      <c r="I20" s="78" t="s">
        <v>39</v>
      </c>
      <c r="J20">
        <v>55.57</v>
      </c>
    </row>
    <row r="21" spans="2:10" s="230" customFormat="1" ht="14.4">
      <c r="B21" s="393">
        <v>14</v>
      </c>
      <c r="C21" s="667" t="s">
        <v>385</v>
      </c>
      <c r="D21" s="384" t="s">
        <v>55</v>
      </c>
      <c r="E21" s="385">
        <v>18385843</v>
      </c>
      <c r="F21" s="658">
        <v>37.04</v>
      </c>
      <c r="I21" s="78" t="s">
        <v>27</v>
      </c>
      <c r="J21">
        <v>84.3</v>
      </c>
    </row>
    <row r="22" spans="2:10" s="230" customFormat="1" ht="14.4">
      <c r="B22" s="393">
        <v>15</v>
      </c>
      <c r="C22" s="667" t="s">
        <v>385</v>
      </c>
      <c r="D22" s="384" t="s">
        <v>55</v>
      </c>
      <c r="E22" s="385">
        <v>17552082</v>
      </c>
      <c r="F22" s="658">
        <v>33.409999999999997</v>
      </c>
      <c r="I22" s="78" t="s">
        <v>248</v>
      </c>
      <c r="J22"/>
    </row>
    <row r="23" spans="2:10" s="230" customFormat="1" ht="14.4">
      <c r="B23" s="392">
        <v>16</v>
      </c>
      <c r="C23" s="668" t="s">
        <v>386</v>
      </c>
      <c r="D23" s="501" t="s">
        <v>39</v>
      </c>
      <c r="E23" s="502">
        <v>16124684</v>
      </c>
      <c r="F23" s="659">
        <v>22.78</v>
      </c>
      <c r="I23" s="78" t="s">
        <v>345</v>
      </c>
      <c r="J23">
        <v>921.68</v>
      </c>
    </row>
    <row r="24" spans="2:10" s="230" customFormat="1" ht="14.4">
      <c r="B24" s="393">
        <v>17</v>
      </c>
      <c r="C24" s="668" t="s">
        <v>386</v>
      </c>
      <c r="D24" s="501" t="s">
        <v>39</v>
      </c>
      <c r="E24" s="502">
        <v>14534491</v>
      </c>
      <c r="F24" s="659">
        <v>10.97</v>
      </c>
    </row>
    <row r="25" spans="2:10" s="230" customFormat="1" ht="14.4">
      <c r="B25" s="393">
        <v>18</v>
      </c>
      <c r="C25" s="668" t="s">
        <v>386</v>
      </c>
      <c r="D25" s="501" t="s">
        <v>39</v>
      </c>
      <c r="E25" s="502">
        <v>17321972</v>
      </c>
      <c r="F25" s="659">
        <v>21.82</v>
      </c>
    </row>
    <row r="26" spans="2:10" s="230" customFormat="1" ht="14.4">
      <c r="B26" s="393">
        <v>19</v>
      </c>
      <c r="C26" s="668" t="s">
        <v>387</v>
      </c>
      <c r="D26" s="501" t="s">
        <v>27</v>
      </c>
      <c r="E26" s="502">
        <v>14576862</v>
      </c>
      <c r="F26" s="659">
        <v>84.3</v>
      </c>
    </row>
    <row r="27" spans="2:10" s="230" customFormat="1" ht="14.4">
      <c r="B27" s="392">
        <v>20</v>
      </c>
      <c r="C27" s="668">
        <v>918741448</v>
      </c>
      <c r="D27" s="501" t="s">
        <v>426</v>
      </c>
      <c r="E27" s="502">
        <v>10070196</v>
      </c>
      <c r="F27" s="659">
        <v>261.63</v>
      </c>
    </row>
    <row r="28" spans="2:10" s="230" customFormat="1" ht="14.4">
      <c r="B28" s="393">
        <v>21</v>
      </c>
      <c r="C28" s="668">
        <v>925240525</v>
      </c>
      <c r="D28" t="s">
        <v>54</v>
      </c>
      <c r="E28">
        <v>18667642</v>
      </c>
      <c r="F28" s="659">
        <v>710.01</v>
      </c>
    </row>
    <row r="29" spans="2:10" s="230" customFormat="1" ht="15" thickBot="1">
      <c r="B29" s="709"/>
      <c r="C29" s="669"/>
      <c r="D29" s="386"/>
      <c r="E29" s="387"/>
      <c r="F29" s="660"/>
    </row>
    <row r="32" spans="2:10">
      <c r="G32" s="623">
        <f>+SUM(F8:F28)</f>
        <v>1587.8600000000001</v>
      </c>
    </row>
    <row r="33" spans="2:14">
      <c r="B33" s="285"/>
      <c r="C33" s="285"/>
      <c r="D33" s="285"/>
      <c r="E33" s="285"/>
      <c r="F33" s="662"/>
    </row>
    <row r="34" spans="2:14" ht="14.4">
      <c r="B34" s="112"/>
      <c r="C34" s="477"/>
      <c r="D34" s="398" t="s">
        <v>228</v>
      </c>
      <c r="E34" s="398" t="s">
        <v>249</v>
      </c>
      <c r="F34" s="663"/>
    </row>
    <row r="35" spans="2:14" ht="14.4">
      <c r="B35" s="112"/>
      <c r="C35" s="477"/>
      <c r="D35" s="78" t="s">
        <v>426</v>
      </c>
      <c r="E35" s="34">
        <f>+GETPIVOTDATA("VALOR",$I$10,"NOMBRES Y APELLIDOS","DEFAS CHICAIZA JOEL ALBERTO")</f>
        <v>261.63</v>
      </c>
      <c r="F35" s="663"/>
    </row>
    <row r="36" spans="2:14" ht="14.4">
      <c r="B36" s="112"/>
      <c r="C36" s="477"/>
      <c r="D36" s="78" t="s">
        <v>261</v>
      </c>
      <c r="E36" s="34">
        <f>+GETPIVOTDATA("VALOR",$I$10,"NOMBRES Y APELLIDOS","GARCIA VERA HENRY LUIS")</f>
        <v>87.66</v>
      </c>
      <c r="F36" s="663"/>
      <c r="I36" s="711"/>
      <c r="M36"/>
      <c r="N36"/>
    </row>
    <row r="37" spans="2:14" ht="14.4">
      <c r="B37" s="112"/>
      <c r="C37" s="477"/>
      <c r="D37" s="78" t="s">
        <v>65</v>
      </c>
      <c r="E37" s="34">
        <f>+GETPIVOTDATA("VALOR",$I$10,"NOMBRES Y APELLIDOS","GUAYANLEMA RUIZ EDINSON DAVID")</f>
        <v>20.96</v>
      </c>
      <c r="F37" s="663"/>
      <c r="I37" s="711"/>
      <c r="M37"/>
      <c r="N37"/>
    </row>
    <row r="38" spans="2:14" ht="14.4">
      <c r="B38" s="112"/>
      <c r="C38" s="477"/>
      <c r="D38" s="78" t="s">
        <v>68</v>
      </c>
      <c r="E38" s="34">
        <f>+GETPIVOTDATA("VALOR",$I$10,"NOMBRES Y APELLIDOS","MALAN DELGADO JOSE ALBERTO")</f>
        <v>36.130000000000003</v>
      </c>
      <c r="F38" s="663"/>
      <c r="I38" s="711"/>
      <c r="M38"/>
      <c r="N38"/>
    </row>
    <row r="39" spans="2:14" ht="14.4">
      <c r="D39" s="78" t="s">
        <v>66</v>
      </c>
      <c r="E39" s="34">
        <f>+GETPIVOTDATA("VALOR",$I$10,"NOMBRES Y APELLIDOS","MARSHALL VEGA YULIANA LISSETT")</f>
        <v>27.17</v>
      </c>
      <c r="I39" s="711"/>
      <c r="M39"/>
      <c r="N39"/>
    </row>
    <row r="40" spans="2:14" ht="14.4">
      <c r="D40" s="78" t="s">
        <v>315</v>
      </c>
      <c r="E40" s="34">
        <f>+GETPIVOTDATA("VALOR",$I$10,"NOMBRES Y APELLIDOS","MOREIRA ESPINOZA LINDA ELIZABETH")</f>
        <v>35.22</v>
      </c>
      <c r="I40" s="711"/>
      <c r="M40"/>
      <c r="N40"/>
    </row>
    <row r="41" spans="2:14" ht="14.4">
      <c r="D41" s="78" t="s">
        <v>250</v>
      </c>
      <c r="E41" s="34">
        <f>+GETPIVOTDATA("VALOR",$I$10,"NOMBRES Y APELLIDOS","MUÑOZ MOLINA VERONICA PATRICIA")</f>
        <v>161.05000000000001</v>
      </c>
      <c r="I41" s="711"/>
      <c r="M41"/>
      <c r="N41"/>
    </row>
    <row r="42" spans="2:14" ht="14.4">
      <c r="D42" s="78" t="s">
        <v>26</v>
      </c>
      <c r="E42" s="34">
        <v>80.94</v>
      </c>
      <c r="I42" s="711"/>
      <c r="M42"/>
      <c r="N42"/>
    </row>
    <row r="43" spans="2:14" ht="14.4">
      <c r="D43" s="78" t="s">
        <v>55</v>
      </c>
      <c r="E43" s="34">
        <f>+GETPIVOTDATA("VALOR",$I$10,"NOMBRES Y APELLIDOS","RECALDE NARANJO ANGEL ALEXIS")</f>
        <v>71.05</v>
      </c>
      <c r="I43" s="711"/>
      <c r="M43"/>
      <c r="N43"/>
    </row>
    <row r="44" spans="2:14" ht="14.4">
      <c r="D44" s="78" t="s">
        <v>39</v>
      </c>
      <c r="E44" s="34">
        <f>+GETPIVOTDATA("VALOR",$I$10,"NOMBRES Y APELLIDOS","SANISACA MITE ISRAEL BENJAMIN")</f>
        <v>55.57</v>
      </c>
      <c r="I44" s="711"/>
      <c r="M44"/>
      <c r="N44"/>
    </row>
    <row r="45" spans="2:14" ht="14.4">
      <c r="D45" s="78" t="s">
        <v>263</v>
      </c>
      <c r="E45" s="34">
        <f>+GETPIVOTDATA("VALOR",$I$10,"NOMBRES Y APELLIDOS","TADAY GUAMAN NESTOR ALONSO")</f>
        <v>84.3</v>
      </c>
      <c r="I45" s="711"/>
      <c r="M45"/>
      <c r="N45"/>
    </row>
    <row r="46" spans="2:14" ht="14.4">
      <c r="D46" s="78"/>
      <c r="E46" s="34"/>
      <c r="M46"/>
      <c r="N46"/>
    </row>
    <row r="47" spans="2:14" ht="14.4">
      <c r="D47" s="78" t="s">
        <v>248</v>
      </c>
      <c r="E47" s="34">
        <f>SUM(E35:E46)</f>
        <v>921.68</v>
      </c>
      <c r="M47"/>
      <c r="N47"/>
    </row>
    <row r="48" spans="2:14" ht="14.4">
      <c r="E48" s="77"/>
      <c r="M48"/>
      <c r="N48"/>
    </row>
    <row r="49" spans="5:14" ht="14.4">
      <c r="E49" s="77"/>
      <c r="M49"/>
      <c r="N49"/>
    </row>
    <row r="50" spans="5:14">
      <c r="E50" s="77"/>
    </row>
    <row r="51" spans="5:14">
      <c r="E51" s="77"/>
    </row>
    <row r="52" spans="5:14">
      <c r="E52" s="77"/>
    </row>
    <row r="53" spans="5:14">
      <c r="E53" s="77"/>
    </row>
    <row r="54" spans="5:14">
      <c r="E54" s="77"/>
    </row>
    <row r="55" spans="5:14">
      <c r="E55" s="77"/>
    </row>
    <row r="56" spans="5:14">
      <c r="E56" s="77"/>
    </row>
  </sheetData>
  <autoFilter ref="B7:F29" xr:uid="{AA33968D-602F-41C4-B032-57DE8869C699}"/>
  <mergeCells count="2">
    <mergeCell ref="C3:F3"/>
    <mergeCell ref="C4:F5"/>
  </mergeCells>
  <pageMargins left="0.27" right="0.12" top="0.3" bottom="0.37" header="0.33" footer="0.12"/>
  <pageSetup orientation="portrait" horizontalDpi="300" verticalDpi="300" r:id="rId2"/>
  <headerFooter alignWithMargins="0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7E5D-233C-450F-A888-8B69D25DCCA2}">
  <sheetPr codeName="Hoja11">
    <tabColor theme="2" tint="-0.749992370372631"/>
    <pageSetUpPr fitToPage="1"/>
  </sheetPr>
  <dimension ref="B2:U61"/>
  <sheetViews>
    <sheetView showGridLines="0" topLeftCell="B1" zoomScale="70" zoomScaleNormal="70" workbookViewId="0">
      <pane xSplit="7" ySplit="5" topLeftCell="I27" activePane="bottomRight" state="frozen"/>
      <selection activeCell="B1" sqref="B1"/>
      <selection pane="topRight" activeCell="J1" sqref="J1"/>
      <selection pane="bottomLeft" activeCell="B8" sqref="B8"/>
      <selection pane="bottomRight" activeCell="Y13" sqref="Y13"/>
    </sheetView>
  </sheetViews>
  <sheetFormatPr baseColWidth="10" defaultRowHeight="14.4"/>
  <cols>
    <col min="1" max="1" width="1" customWidth="1"/>
    <col min="2" max="2" width="5.6640625" customWidth="1"/>
    <col min="3" max="3" width="11.33203125" bestFit="1" customWidth="1"/>
    <col min="4" max="4" width="40.33203125" customWidth="1"/>
    <col min="5" max="5" width="6.5546875" style="191" customWidth="1"/>
    <col min="6" max="6" width="11.44140625" customWidth="1"/>
    <col min="7" max="7" width="14" bestFit="1" customWidth="1"/>
    <col min="8" max="8" width="11.44140625" customWidth="1"/>
    <col min="9" max="9" width="11.44140625" style="395" customWidth="1"/>
    <col min="10" max="10" width="8" style="619" customWidth="1"/>
    <col min="11" max="11" width="12.33203125" customWidth="1"/>
    <col min="12" max="12" width="9.88671875" customWidth="1"/>
    <col min="13" max="13" width="13.33203125" customWidth="1"/>
    <col min="14" max="14" width="11.44140625"/>
    <col min="15" max="16" width="0" hidden="1" customWidth="1"/>
    <col min="17" max="17" width="0" style="34" hidden="1" customWidth="1"/>
    <col min="18" max="18" width="0" style="405" hidden="1" customWidth="1"/>
    <col min="19" max="19" width="0" hidden="1" customWidth="1"/>
    <col min="20" max="20" width="0" style="34" hidden="1" customWidth="1"/>
  </cols>
  <sheetData>
    <row r="2" spans="2:20" ht="23.4">
      <c r="B2" s="77"/>
      <c r="C2" s="331"/>
      <c r="D2" s="956" t="s">
        <v>138</v>
      </c>
      <c r="E2" s="956"/>
      <c r="F2" s="956"/>
      <c r="G2" s="956"/>
      <c r="H2" s="956"/>
      <c r="I2" s="956"/>
      <c r="J2" s="956"/>
      <c r="K2" s="956"/>
      <c r="L2" s="956"/>
      <c r="M2" s="956"/>
    </row>
    <row r="3" spans="2:20">
      <c r="B3" s="77"/>
      <c r="C3" s="331"/>
      <c r="D3" s="897" t="s">
        <v>479</v>
      </c>
      <c r="E3" s="897"/>
      <c r="F3" s="897"/>
      <c r="G3" s="897"/>
      <c r="H3" s="897"/>
      <c r="I3" s="897"/>
      <c r="J3" s="897"/>
      <c r="K3" s="897"/>
      <c r="L3" s="897"/>
      <c r="M3" s="897"/>
    </row>
    <row r="4" spans="2:20" ht="15" thickBot="1">
      <c r="B4" s="332"/>
      <c r="C4" s="332"/>
      <c r="D4" s="332"/>
      <c r="E4" s="574"/>
      <c r="F4" s="332"/>
      <c r="G4" s="332"/>
      <c r="H4" s="332"/>
      <c r="I4" s="571"/>
      <c r="J4" s="396"/>
      <c r="K4" s="332"/>
      <c r="L4" s="332"/>
      <c r="M4" s="332"/>
    </row>
    <row r="5" spans="2:20" ht="33" customHeight="1" thickBot="1">
      <c r="B5" s="333" t="s">
        <v>139</v>
      </c>
      <c r="C5" s="334" t="s">
        <v>140</v>
      </c>
      <c r="D5" s="334" t="s">
        <v>134</v>
      </c>
      <c r="E5" s="335" t="s">
        <v>135</v>
      </c>
      <c r="F5" s="336" t="s">
        <v>227</v>
      </c>
      <c r="G5" s="337" t="s">
        <v>141</v>
      </c>
      <c r="H5" s="338" t="s">
        <v>225</v>
      </c>
      <c r="I5" s="572" t="s">
        <v>102</v>
      </c>
      <c r="J5" s="617" t="s">
        <v>142</v>
      </c>
      <c r="K5" s="339" t="s">
        <v>143</v>
      </c>
      <c r="L5" s="334" t="s">
        <v>144</v>
      </c>
      <c r="M5" s="340" t="s">
        <v>32</v>
      </c>
      <c r="Q5" s="645" t="s">
        <v>405</v>
      </c>
      <c r="R5" s="646" t="s">
        <v>404</v>
      </c>
    </row>
    <row r="6" spans="2:20">
      <c r="B6" s="396">
        <v>1</v>
      </c>
      <c r="C6" s="184">
        <v>925813685</v>
      </c>
      <c r="D6" s="184" t="str">
        <f>+VLOOKUP(C6,'OCTUBRE 2025'!$C$8:$D$57,2,0)</f>
        <v>ASITIMBAY CRIOLLO JOHN ANDERSON</v>
      </c>
      <c r="E6" s="191">
        <v>1</v>
      </c>
      <c r="F6" s="341" t="s">
        <v>128</v>
      </c>
      <c r="G6" s="341"/>
      <c r="H6" s="341" t="s">
        <v>136</v>
      </c>
      <c r="I6" s="573">
        <f>+VLOOKUP(C6,'OCTUBRE 2025'!$C$8:$J$57,3,0)</f>
        <v>44292</v>
      </c>
      <c r="J6" s="618">
        <f>+VLOOKUP(C6,'OCTUBRE 2025'!$C$8:$J$57,7,0)</f>
        <v>30</v>
      </c>
      <c r="K6" s="342">
        <f>+'OCTUBRE 2025'!T8</f>
        <v>835.54</v>
      </c>
      <c r="L6" s="343"/>
      <c r="M6" s="344">
        <f>+((K6)*8.33%)</f>
        <v>69.600482</v>
      </c>
    </row>
    <row r="7" spans="2:20">
      <c r="B7" s="396">
        <f>+B6+1</f>
        <v>2</v>
      </c>
      <c r="C7" s="777">
        <v>944405737</v>
      </c>
      <c r="D7" s="777" t="str">
        <f>+VLOOKUP(C7,'OCTUBRE 2025'!$C$8:$D$57,2,0)</f>
        <v>BARAHONA ZAMBRANO DAYANA NICOLE</v>
      </c>
      <c r="E7" s="778">
        <v>1</v>
      </c>
      <c r="F7" s="779" t="s">
        <v>136</v>
      </c>
      <c r="G7" s="780">
        <v>44998</v>
      </c>
      <c r="H7" s="779" t="s">
        <v>136</v>
      </c>
      <c r="I7" s="781">
        <f>+VLOOKUP(C7,'OCTUBRE 2025'!$C$8:$J$57,3,0)</f>
        <v>45029</v>
      </c>
      <c r="J7" s="782">
        <f>+VLOOKUP(C7,'OCTUBRE 2025'!$C$8:$J$57,7,0)</f>
        <v>1</v>
      </c>
      <c r="K7" s="783">
        <f>+'OCTUBRE 2025'!T9</f>
        <v>50.88</v>
      </c>
      <c r="L7" s="343"/>
      <c r="M7" s="344" t="s">
        <v>144</v>
      </c>
      <c r="R7" s="34"/>
    </row>
    <row r="8" spans="2:20">
      <c r="B8" s="396">
        <f t="shared" ref="B8:B38" si="0">+B7+1</f>
        <v>3</v>
      </c>
      <c r="C8" s="184">
        <v>604394502</v>
      </c>
      <c r="D8" s="184" t="str">
        <f>+VLOOKUP(C8,'OCTUBRE 2025'!$C$8:$D$57,2,0)</f>
        <v>BETUN CHAFLA JULIO CESAR</v>
      </c>
      <c r="E8" s="575">
        <v>1</v>
      </c>
      <c r="F8" s="341" t="s">
        <v>128</v>
      </c>
      <c r="G8" s="341"/>
      <c r="H8" s="341" t="s">
        <v>136</v>
      </c>
      <c r="I8" s="573">
        <f>+VLOOKUP(C8,'OCTUBRE 2025'!$C$8:$J$57,3,0)</f>
        <v>44735</v>
      </c>
      <c r="J8" s="618">
        <f>+VLOOKUP(C8,'OCTUBRE 2025'!$C$8:$J$57,7,0)</f>
        <v>30</v>
      </c>
      <c r="K8" s="342">
        <f>+'OCTUBRE 2025'!T10</f>
        <v>626.65000000000009</v>
      </c>
      <c r="L8" s="343"/>
      <c r="M8" s="344">
        <f>(+(K8)*8.33%)</f>
        <v>52.199945000000007</v>
      </c>
    </row>
    <row r="9" spans="2:20">
      <c r="B9" s="396">
        <f t="shared" si="0"/>
        <v>4</v>
      </c>
      <c r="C9" s="184">
        <v>955741970</v>
      </c>
      <c r="D9" s="184" t="str">
        <f>+VLOOKUP(C9,'OCTUBRE 2025'!$C$8:$D$57,2,0)</f>
        <v>CHACAGUASAY CHACAGUASAY ROBERTH CRISTHIAN</v>
      </c>
      <c r="E9" s="576">
        <v>1</v>
      </c>
      <c r="F9" s="71" t="s">
        <v>128</v>
      </c>
      <c r="G9" s="71"/>
      <c r="H9" s="71" t="s">
        <v>136</v>
      </c>
      <c r="I9" s="573">
        <f>+VLOOKUP(C9,'OCTUBRE 2025'!$C$8:$J$57,3,0)</f>
        <v>44986</v>
      </c>
      <c r="J9" s="618">
        <f>+VLOOKUP(C9,'OCTUBRE 2025'!$C$8:$J$57,7,0)</f>
        <v>30</v>
      </c>
      <c r="K9" s="342">
        <f>+'OCTUBRE 2025'!T11</f>
        <v>583.91</v>
      </c>
      <c r="L9" s="345"/>
      <c r="M9" s="344">
        <f>(+(K9)*8.33%)</f>
        <v>48.639702999999997</v>
      </c>
    </row>
    <row r="10" spans="2:20" s="155" customFormat="1">
      <c r="B10" s="764">
        <f t="shared" si="0"/>
        <v>5</v>
      </c>
      <c r="C10" s="701" t="s">
        <v>481</v>
      </c>
      <c r="D10" s="701" t="str">
        <f>+VLOOKUP(C10,'OCTUBRE 2025'!$C$8:$D$57,2,0)</f>
        <v>CHACAGUASAY GUAMAN KEVIN NEHEMIAS</v>
      </c>
      <c r="E10" s="577">
        <v>2</v>
      </c>
      <c r="F10" s="349" t="s">
        <v>128</v>
      </c>
      <c r="G10" s="349"/>
      <c r="H10" s="349" t="s">
        <v>128</v>
      </c>
      <c r="I10" s="702">
        <f>+VLOOKUP(C10,'OCTUBRE 2025'!$C$8:$J$57,3,0)</f>
        <v>45945</v>
      </c>
      <c r="J10" s="703">
        <f>+VLOOKUP(C10,'OCTUBRE 2025'!$C$8:$J$57,7,0)</f>
        <v>16</v>
      </c>
      <c r="K10" s="704">
        <f>+'OCTUBRE 2025'!T12</f>
        <v>625.29999999999995</v>
      </c>
      <c r="L10" s="765"/>
      <c r="M10" s="766"/>
      <c r="Q10" s="767"/>
      <c r="R10" s="768"/>
      <c r="T10" s="767"/>
    </row>
    <row r="11" spans="2:20" s="155" customFormat="1">
      <c r="B11" s="764">
        <f t="shared" si="0"/>
        <v>6</v>
      </c>
      <c r="C11" s="771">
        <v>944143148</v>
      </c>
      <c r="D11" s="771" t="str">
        <f>+VLOOKUP(C11,'OCTUBRE 2025'!$C$8:$D$57,2,0)</f>
        <v>CHIMBOLEMA YUNGAN MARIO EFRAIN</v>
      </c>
      <c r="E11" s="772">
        <v>2</v>
      </c>
      <c r="F11" s="773" t="s">
        <v>128</v>
      </c>
      <c r="G11" s="773"/>
      <c r="H11" s="773" t="s">
        <v>128</v>
      </c>
      <c r="I11" s="774">
        <f>+VLOOKUP(C11,'OCTUBRE 2025'!$C$8:$J$57,3,0)</f>
        <v>45884</v>
      </c>
      <c r="J11" s="775">
        <f>+VLOOKUP(C11,'OCTUBRE 2025'!$C$8:$J$57,7,0)</f>
        <v>9</v>
      </c>
      <c r="K11" s="776">
        <f>+'OCTUBRE 2025'!T13</f>
        <v>172.15999999999997</v>
      </c>
      <c r="L11" s="765"/>
      <c r="M11" s="766">
        <v>0</v>
      </c>
      <c r="Q11" s="767"/>
      <c r="R11" s="768"/>
      <c r="T11" s="767"/>
    </row>
    <row r="12" spans="2:20" s="155" customFormat="1">
      <c r="B12" s="764">
        <f t="shared" si="0"/>
        <v>7</v>
      </c>
      <c r="C12" s="769">
        <v>955325238</v>
      </c>
      <c r="D12" s="701" t="str">
        <f>+VLOOKUP(C12,'OCTUBRE 2025'!$C$8:$D$57,2,0)</f>
        <v>CHOCA CEPEDA INES VIVIANA</v>
      </c>
      <c r="E12" s="577">
        <v>2</v>
      </c>
      <c r="F12" s="349" t="s">
        <v>128</v>
      </c>
      <c r="G12" s="349"/>
      <c r="H12" s="350" t="s">
        <v>128</v>
      </c>
      <c r="I12" s="702">
        <f>+VLOOKUP(C12,'OCTUBRE 2025'!$C$8:$J$57,3,0)</f>
        <v>45945</v>
      </c>
      <c r="J12" s="703">
        <f>+VLOOKUP(C12,'OCTUBRE 2025'!$C$8:$J$57,7,0)</f>
        <v>16</v>
      </c>
      <c r="K12" s="704">
        <f>+'OCTUBRE 2025'!T16</f>
        <v>252.74</v>
      </c>
      <c r="L12" s="770"/>
      <c r="M12" s="766"/>
      <c r="Q12" s="767"/>
      <c r="R12" s="768"/>
      <c r="T12" s="767"/>
    </row>
    <row r="13" spans="2:20">
      <c r="B13" s="396">
        <f t="shared" si="0"/>
        <v>8</v>
      </c>
      <c r="C13" s="184">
        <v>914163654</v>
      </c>
      <c r="D13" s="184" t="str">
        <f>+VLOOKUP(C13,'OCTUBRE 2025'!$C$8:$D$57,2,0)</f>
        <v>COCA BENITEZ JORGE MANUEL</v>
      </c>
      <c r="E13" s="576">
        <v>1</v>
      </c>
      <c r="F13" s="71" t="s">
        <v>128</v>
      </c>
      <c r="G13" s="71"/>
      <c r="H13" s="17" t="s">
        <v>136</v>
      </c>
      <c r="I13" s="573">
        <f>+VLOOKUP(C13,'OCTUBRE 2025'!$C$8:$J$57,3,0)</f>
        <v>44470</v>
      </c>
      <c r="J13" s="618">
        <f>+VLOOKUP(C13,'OCTUBRE 2025'!$C$8:$J$57,7,0)</f>
        <v>15</v>
      </c>
      <c r="K13" s="342">
        <f>+'OCTUBRE 2025'!T15</f>
        <v>1200</v>
      </c>
      <c r="L13" s="346"/>
      <c r="M13" s="344">
        <f>(+(K13)*8.33%)</f>
        <v>99.96</v>
      </c>
    </row>
    <row r="14" spans="2:20" s="155" customFormat="1">
      <c r="B14" s="764">
        <f t="shared" si="0"/>
        <v>9</v>
      </c>
      <c r="C14" s="769">
        <v>956668305</v>
      </c>
      <c r="D14" s="701" t="str">
        <f>+VLOOKUP(C14,'OCTUBRE 2025'!$C$8:$D$57,2,0)</f>
        <v>CORO YUQUILEMA RUTH NOEMI</v>
      </c>
      <c r="E14" s="577">
        <v>2</v>
      </c>
      <c r="F14" s="349" t="s">
        <v>128</v>
      </c>
      <c r="G14" s="349"/>
      <c r="H14" s="350" t="s">
        <v>128</v>
      </c>
      <c r="I14" s="702">
        <f>+VLOOKUP(C14,'OCTUBRE 2025'!$C$8:$J$57,3,0)</f>
        <v>45945</v>
      </c>
      <c r="J14" s="703">
        <f>+VLOOKUP(C14,'OCTUBRE 2025'!$C$8:$J$57,7,0)</f>
        <v>16</v>
      </c>
      <c r="K14" s="704">
        <f>+'OCTUBRE 2025'!T16</f>
        <v>252.74</v>
      </c>
      <c r="L14" s="770"/>
      <c r="M14" s="766"/>
      <c r="Q14" s="767"/>
      <c r="R14" s="768"/>
      <c r="T14" s="767"/>
    </row>
    <row r="15" spans="2:20" s="155" customFormat="1">
      <c r="B15" s="764">
        <f t="shared" si="0"/>
        <v>10</v>
      </c>
      <c r="C15" s="769" t="s">
        <v>485</v>
      </c>
      <c r="D15" s="701" t="str">
        <f>+VLOOKUP(C15,'OCTUBRE 2025'!$C$8:$D$57,2,0)</f>
        <v>DEFAS CHICAIZA JOEL ALBERTO</v>
      </c>
      <c r="E15" s="577">
        <v>3</v>
      </c>
      <c r="F15" s="349" t="s">
        <v>128</v>
      </c>
      <c r="G15" s="349"/>
      <c r="H15" s="350" t="s">
        <v>128</v>
      </c>
      <c r="I15" s="702">
        <f>+VLOOKUP(C15,'OCTUBRE 2025'!$C$8:$J$57,3,0)</f>
        <v>45823</v>
      </c>
      <c r="J15" s="703">
        <f>+VLOOKUP(C15,'OCTUBRE 2025'!$C$8:$J$57,7,0)</f>
        <v>30</v>
      </c>
      <c r="K15" s="704">
        <f>+'OCTUBRE 2025'!T17</f>
        <v>626.65</v>
      </c>
      <c r="L15" s="770"/>
      <c r="M15" s="766"/>
      <c r="Q15" s="767"/>
      <c r="R15" s="768"/>
      <c r="T15" s="767"/>
    </row>
    <row r="16" spans="2:20" s="155" customFormat="1">
      <c r="B16" s="764">
        <f t="shared" si="0"/>
        <v>11</v>
      </c>
      <c r="C16" s="769">
        <v>931097620</v>
      </c>
      <c r="D16" s="701" t="str">
        <f>+VLOOKUP(C16,'OCTUBRE 2025'!$C$8:$D$57,2,0)</f>
        <v>DEL ROSARIO RODRIGUEZ JUDY ANGELICA</v>
      </c>
      <c r="E16" s="577">
        <v>4</v>
      </c>
      <c r="F16" s="349" t="s">
        <v>128</v>
      </c>
      <c r="G16" s="349"/>
      <c r="H16" s="350" t="s">
        <v>128</v>
      </c>
      <c r="I16" s="702">
        <f>+VLOOKUP(C16,'OCTUBRE 2025'!$C$8:$J$57,3,0)</f>
        <v>45945</v>
      </c>
      <c r="J16" s="703">
        <f>+VLOOKUP(C16,'OCTUBRE 2025'!$C$8:$J$57,7,0)</f>
        <v>16</v>
      </c>
      <c r="K16" s="704">
        <f>+'OCTUBRE 2025'!T18</f>
        <v>625.29999999999995</v>
      </c>
      <c r="L16" s="770"/>
      <c r="M16" s="766"/>
      <c r="Q16" s="767"/>
      <c r="R16" s="768"/>
      <c r="T16" s="767"/>
    </row>
    <row r="17" spans="2:21">
      <c r="B17" s="396">
        <f t="shared" si="0"/>
        <v>12</v>
      </c>
      <c r="C17" s="184">
        <v>1105483422</v>
      </c>
      <c r="D17" s="184" t="str">
        <f>+VLOOKUP(C17,'OCTUBRE 2025'!$C$8:$D$57,2,0)</f>
        <v>FLORES HERRERA WENDY DEL CISNE</v>
      </c>
      <c r="E17" s="576">
        <v>3</v>
      </c>
      <c r="F17" s="71" t="s">
        <v>128</v>
      </c>
      <c r="G17" s="71"/>
      <c r="H17" s="17" t="s">
        <v>136</v>
      </c>
      <c r="I17" s="573">
        <f>+VLOOKUP(C17,'OCTUBRE 2025'!$C$8:$J$57,3,0)</f>
        <v>45065</v>
      </c>
      <c r="J17" s="618">
        <f>+VLOOKUP(C17,'OCTUBRE 2025'!$C$8:$J$57,7,0)</f>
        <v>30</v>
      </c>
      <c r="K17" s="342">
        <f>+'OCTUBRE 2025'!T17</f>
        <v>626.65</v>
      </c>
      <c r="L17" s="346"/>
      <c r="M17" s="344">
        <f t="shared" ref="M17" si="1">(+(K17)*8.33%)</f>
        <v>52.199945</v>
      </c>
    </row>
    <row r="18" spans="2:21">
      <c r="B18" s="396">
        <f t="shared" si="0"/>
        <v>13</v>
      </c>
      <c r="C18" s="184">
        <v>942614645</v>
      </c>
      <c r="D18" s="184" t="str">
        <f>+VLOOKUP(C18,'OCTUBRE 2025'!$C$8:$D$57,2,0)</f>
        <v>FUELA TOABANDA JOSUE CHRISTIAN</v>
      </c>
      <c r="E18" s="722" t="s">
        <v>279</v>
      </c>
      <c r="F18" s="723" t="s">
        <v>128</v>
      </c>
      <c r="G18" s="348"/>
      <c r="H18" s="17" t="s">
        <v>136</v>
      </c>
      <c r="I18" s="573">
        <f>+VLOOKUP(C18,'OCTUBRE 2025'!$C$8:$J$57,3,0)</f>
        <v>45474</v>
      </c>
      <c r="J18" s="618">
        <f>+VLOOKUP(C18,'OCTUBRE 2025'!$C$8:$J$57,7,0)</f>
        <v>30</v>
      </c>
      <c r="K18" s="724">
        <f>+'OCTUBRE 2025'!T20</f>
        <v>700</v>
      </c>
      <c r="L18" s="343"/>
      <c r="M18" s="344">
        <f>(+(K18)*8.33%)</f>
        <v>58.31</v>
      </c>
      <c r="R18" s="34"/>
    </row>
    <row r="19" spans="2:21" ht="13.95" customHeight="1">
      <c r="B19" s="396">
        <f t="shared" si="0"/>
        <v>14</v>
      </c>
      <c r="C19" s="184">
        <v>951200062</v>
      </c>
      <c r="D19" s="184" t="str">
        <f>+VLOOKUP(C19,'OCTUBRE 2025'!$C$8:$D$57,2,0)</f>
        <v>GALAN LEMACHE INGRID GISELA</v>
      </c>
      <c r="E19" s="576">
        <v>1</v>
      </c>
      <c r="F19" s="71" t="s">
        <v>128</v>
      </c>
      <c r="G19" s="71"/>
      <c r="H19" s="17" t="s">
        <v>136</v>
      </c>
      <c r="I19" s="573">
        <f>+VLOOKUP(C19,'OCTUBRE 2025'!$C$8:$J$57,3,0)</f>
        <v>45139</v>
      </c>
      <c r="J19" s="618">
        <f>+VLOOKUP(C19,'OCTUBRE 2025'!$C$8:$J$57,7,0)</f>
        <v>30</v>
      </c>
      <c r="K19" s="342">
        <f>+'OCTUBRE 2025'!T21</f>
        <v>664.13</v>
      </c>
      <c r="L19" s="343"/>
      <c r="M19" s="344">
        <f>(+(K19)*8.33%)</f>
        <v>55.322029000000001</v>
      </c>
      <c r="U19" s="648"/>
    </row>
    <row r="20" spans="2:21">
      <c r="B20" s="396">
        <f t="shared" si="0"/>
        <v>15</v>
      </c>
      <c r="C20" s="184">
        <v>950929232</v>
      </c>
      <c r="D20" s="184" t="str">
        <f>+VLOOKUP(C20,'OCTUBRE 2025'!$C$8:$D$57,2,0)</f>
        <v>GARCIA VERA HENRY  LUIS</v>
      </c>
      <c r="E20" s="576">
        <v>1</v>
      </c>
      <c r="F20" s="71" t="s">
        <v>136</v>
      </c>
      <c r="G20" s="395">
        <v>45279</v>
      </c>
      <c r="H20" s="17" t="s">
        <v>136</v>
      </c>
      <c r="I20" s="573">
        <f>+VLOOKUP(C20,'OCTUBRE 2025'!$C$8:$J$57,3,0)</f>
        <v>44726</v>
      </c>
      <c r="J20" s="618">
        <f>+VLOOKUP(C20,'OCTUBRE 2025'!$C$8:$J$57,7,0)</f>
        <v>30</v>
      </c>
      <c r="K20" s="342">
        <f>+'OCTUBRE 2025'!T22</f>
        <v>715.54</v>
      </c>
      <c r="L20" s="343"/>
      <c r="M20" s="344" t="s">
        <v>144</v>
      </c>
      <c r="R20" s="34"/>
      <c r="U20" s="648"/>
    </row>
    <row r="21" spans="2:21">
      <c r="B21" s="396">
        <f t="shared" si="0"/>
        <v>16</v>
      </c>
      <c r="C21" s="184">
        <v>953819646</v>
      </c>
      <c r="D21" s="184" t="str">
        <f>+VLOOKUP(C21,'OCTUBRE 2025'!$C$8:$D$57,2,0)</f>
        <v>GUALACEO ÑAMO JONATHAN IVÁN</v>
      </c>
      <c r="E21" s="576">
        <v>1</v>
      </c>
      <c r="F21" s="71" t="s">
        <v>128</v>
      </c>
      <c r="G21" s="71"/>
      <c r="H21" s="17" t="s">
        <v>136</v>
      </c>
      <c r="I21" s="573">
        <f>+VLOOKUP(C21,'OCTUBRE 2025'!$C$8:$J$57,3,0)</f>
        <v>44637</v>
      </c>
      <c r="J21" s="618">
        <f>+VLOOKUP(C21,'OCTUBRE 2025'!$C$8:$J$57,7,0)</f>
        <v>30</v>
      </c>
      <c r="K21" s="342">
        <f>+'OCTUBRE 2025'!T23</f>
        <v>622.21</v>
      </c>
      <c r="L21" s="343"/>
      <c r="M21" s="344">
        <f>(+(K21)*8.33%)</f>
        <v>51.830093000000005</v>
      </c>
    </row>
    <row r="22" spans="2:21">
      <c r="B22" s="396">
        <f t="shared" si="0"/>
        <v>17</v>
      </c>
      <c r="C22" s="184">
        <v>956953392</v>
      </c>
      <c r="D22" s="701" t="str">
        <f>+VLOOKUP(C22,'OCTUBRE 2025'!$C$8:$D$57,2,0)</f>
        <v>GUAPI YUMAGLLA OSCAR EDUARDO</v>
      </c>
      <c r="E22" s="576">
        <v>1</v>
      </c>
      <c r="F22" s="71" t="s">
        <v>128</v>
      </c>
      <c r="G22" s="71"/>
      <c r="H22" s="17" t="s">
        <v>136</v>
      </c>
      <c r="I22" s="573">
        <f>+VLOOKUP(C22,'OCTUBRE 2025'!$C$8:$J$57,3,0)</f>
        <v>45357</v>
      </c>
      <c r="J22" s="618">
        <f>+VLOOKUP(C22,'OCTUBRE 2025'!$C$8:$J$57,7,0)</f>
        <v>30</v>
      </c>
      <c r="K22" s="342">
        <f>+'OCTUBRE 2025'!T24</f>
        <v>550</v>
      </c>
      <c r="L22" s="343"/>
      <c r="M22" s="344">
        <f>(+(K22)*8.33%)</f>
        <v>45.814999999999998</v>
      </c>
    </row>
    <row r="23" spans="2:21">
      <c r="B23" s="396">
        <f t="shared" si="0"/>
        <v>18</v>
      </c>
      <c r="C23" s="184">
        <v>956796767</v>
      </c>
      <c r="D23" s="184" t="str">
        <f>+VLOOKUP(C23,'OCTUBRE 2025'!$C$8:$D$57,2,0)</f>
        <v>GUAYANLEMA RUIZ EDINSON DAVID</v>
      </c>
      <c r="E23" s="576">
        <v>1</v>
      </c>
      <c r="F23" s="71" t="s">
        <v>128</v>
      </c>
      <c r="G23" s="71"/>
      <c r="H23" s="17" t="s">
        <v>136</v>
      </c>
      <c r="I23" s="573">
        <f>+VLOOKUP(C23,'OCTUBRE 2025'!$C$8:$J$57,3,0)</f>
        <v>44763</v>
      </c>
      <c r="J23" s="618">
        <f>+VLOOKUP(C23,'OCTUBRE 2025'!$C$8:$J$57,7,0)</f>
        <v>30</v>
      </c>
      <c r="K23" s="342">
        <f>+'OCTUBRE 2025'!T25</f>
        <v>584.17999999999995</v>
      </c>
      <c r="L23" s="343"/>
      <c r="M23" s="344">
        <f>(+(K23)*8.33%)+Q23+R23</f>
        <v>48.662193999999992</v>
      </c>
      <c r="S23" s="34"/>
    </row>
    <row r="24" spans="2:21">
      <c r="B24" s="396">
        <f t="shared" si="0"/>
        <v>19</v>
      </c>
      <c r="C24" s="712" t="s">
        <v>427</v>
      </c>
      <c r="D24" s="712" t="str">
        <f>+VLOOKUP(C24,'OCTUBRE 2025'!$C$8:$D$57,2,0)</f>
        <v>HERRERA JIMENEZ CAROLINA ADELIHER</v>
      </c>
      <c r="E24" s="713">
        <v>2</v>
      </c>
      <c r="F24" s="714" t="s">
        <v>128</v>
      </c>
      <c r="G24" s="714"/>
      <c r="H24" s="715" t="s">
        <v>128</v>
      </c>
      <c r="I24" s="716">
        <f>+VLOOKUP(C24,'OCTUBRE 2025'!$C$8:$J$57,3,0)</f>
        <v>45839</v>
      </c>
      <c r="J24" s="717">
        <f>+VLOOKUP(C24,'OCTUBRE 2025'!$C$8:$J$57,7,0)</f>
        <v>30</v>
      </c>
      <c r="K24" s="718">
        <f>+'OCTUBRE 2025'!T26</f>
        <v>481</v>
      </c>
      <c r="L24" s="719"/>
      <c r="M24" s="720">
        <v>0</v>
      </c>
      <c r="S24" s="34"/>
    </row>
    <row r="25" spans="2:21">
      <c r="B25" s="396">
        <f t="shared" si="0"/>
        <v>20</v>
      </c>
      <c r="C25" s="184">
        <v>1724102940</v>
      </c>
      <c r="D25" s="184" t="str">
        <f>+VLOOKUP(C25,'OCTUBRE 2025'!$C$8:$D$57,2,0)</f>
        <v>HIDALGO CHERRES NESTOR VLADIMIR</v>
      </c>
      <c r="E25" s="576">
        <v>1</v>
      </c>
      <c r="F25" s="71" t="s">
        <v>128</v>
      </c>
      <c r="G25" s="71"/>
      <c r="H25" s="17" t="s">
        <v>136</v>
      </c>
      <c r="I25" s="573">
        <f>+VLOOKUP(C25,'OCTUBRE 2025'!$C$8:$J$57,3,0)</f>
        <v>45308</v>
      </c>
      <c r="J25" s="618">
        <f>+VLOOKUP(C25,'OCTUBRE 2025'!$C$8:$J$57,7,0)</f>
        <v>30</v>
      </c>
      <c r="K25" s="342">
        <f>+'OCTUBRE 2025'!T27</f>
        <v>835.54</v>
      </c>
      <c r="L25" s="343"/>
      <c r="M25" s="344">
        <f>(+(K25)*8.33%)</f>
        <v>69.600482</v>
      </c>
    </row>
    <row r="26" spans="2:21">
      <c r="B26" s="396">
        <f t="shared" si="0"/>
        <v>21</v>
      </c>
      <c r="C26" s="184">
        <v>943322974</v>
      </c>
      <c r="D26" s="184" t="str">
        <f>+VLOOKUP(C26,'OCTUBRE 2025'!$C$8:$D$57,2,0)</f>
        <v>JANETA RUIZ ALEXANDRA DEL ROCIO</v>
      </c>
      <c r="E26" s="576">
        <v>1</v>
      </c>
      <c r="F26" s="71" t="s">
        <v>128</v>
      </c>
      <c r="G26" s="71"/>
      <c r="H26" s="17" t="s">
        <v>136</v>
      </c>
      <c r="I26" s="573">
        <f>+VLOOKUP(C26,'OCTUBRE 2025'!$C$8:$J$57,3,0)</f>
        <v>45114</v>
      </c>
      <c r="J26" s="618">
        <f>+VLOOKUP(C26,'OCTUBRE 2025'!$C$8:$J$57,7,0)</f>
        <v>30</v>
      </c>
      <c r="K26" s="342">
        <f>+'OCTUBRE 2025'!T28</f>
        <v>484.18</v>
      </c>
      <c r="L26" s="343"/>
      <c r="M26" s="344">
        <f>(+(K26)*8.33%)+Q26+R26</f>
        <v>40.332194000000001</v>
      </c>
      <c r="S26" s="80"/>
    </row>
    <row r="27" spans="2:21">
      <c r="B27" s="396">
        <f t="shared" si="0"/>
        <v>22</v>
      </c>
      <c r="C27" s="184">
        <v>941096851</v>
      </c>
      <c r="D27" s="184" t="str">
        <f>+VLOOKUP(C27,'OCTUBRE 2025'!$C$8:$D$57,2,0)</f>
        <v>LEMA CHIRAU RAMONA MARIA</v>
      </c>
      <c r="E27" s="576">
        <v>1</v>
      </c>
      <c r="F27" s="71" t="s">
        <v>128</v>
      </c>
      <c r="G27" s="71"/>
      <c r="H27" s="17" t="s">
        <v>136</v>
      </c>
      <c r="I27" s="573">
        <f>+VLOOKUP(C27,'OCTUBRE 2025'!$C$8:$J$57,3,0)</f>
        <v>43033</v>
      </c>
      <c r="J27" s="618">
        <f>+VLOOKUP(C27,'OCTUBRE 2025'!$C$8:$J$57,7,0)</f>
        <v>30</v>
      </c>
      <c r="K27" s="342">
        <f>+'OCTUBRE 2025'!T29</f>
        <v>700</v>
      </c>
      <c r="L27" s="343"/>
      <c r="M27" s="344">
        <f>(+(K27)*8.33%)+Q27+R27</f>
        <v>58.31</v>
      </c>
    </row>
    <row r="28" spans="2:21">
      <c r="B28" s="396">
        <f t="shared" si="0"/>
        <v>23</v>
      </c>
      <c r="C28" s="609">
        <v>957093800</v>
      </c>
      <c r="D28" s="609" t="str">
        <f>+VLOOKUP(C28,'OCTUBRE 2025'!$C$8:$D$57,2,0)</f>
        <v>LEMA TADAY BRAYAN WIDINSON</v>
      </c>
      <c r="E28" s="615"/>
      <c r="F28" s="616" t="s">
        <v>128</v>
      </c>
      <c r="G28" s="616"/>
      <c r="H28" s="610" t="s">
        <v>128</v>
      </c>
      <c r="I28" s="611">
        <f>+VLOOKUP(C28,'OCTUBRE 2025'!$C$8:$J$57,3,0)</f>
        <v>45793</v>
      </c>
      <c r="J28" s="620">
        <f>+VLOOKUP(C28,'OCTUBRE 2025'!$C$8:$J$57,7,0)</f>
        <v>30</v>
      </c>
      <c r="K28" s="612">
        <f>+'OCTUBRE 2025'!T30</f>
        <v>513.87999999999988</v>
      </c>
      <c r="L28" s="613"/>
      <c r="M28" s="614">
        <v>0</v>
      </c>
    </row>
    <row r="29" spans="2:21">
      <c r="B29" s="396">
        <f t="shared" si="0"/>
        <v>24</v>
      </c>
      <c r="C29" s="609">
        <v>957924350</v>
      </c>
      <c r="D29" s="609" t="str">
        <f>+VLOOKUP(C29,'OCTUBRE 2025'!$C$8:$D$57,2,0)</f>
        <v>LLUMI YUQUILEMA MAYCOOL DANNY</v>
      </c>
      <c r="E29" s="615"/>
      <c r="F29" s="616" t="s">
        <v>128</v>
      </c>
      <c r="G29" s="616"/>
      <c r="H29" s="610" t="s">
        <v>128</v>
      </c>
      <c r="I29" s="611">
        <f>+VLOOKUP(C29,'OCTUBRE 2025'!$C$8:$J$57,3,0)</f>
        <v>45727</v>
      </c>
      <c r="J29" s="620">
        <f>+VLOOKUP(C29,'OCTUBRE 2025'!$C$8:$J$57,7,0)</f>
        <v>30</v>
      </c>
      <c r="K29" s="612">
        <f>+'OCTUBRE 2025'!T31</f>
        <v>481</v>
      </c>
      <c r="L29" s="613"/>
      <c r="M29" s="614">
        <v>0</v>
      </c>
      <c r="Q29" s="670"/>
      <c r="R29" s="671"/>
      <c r="T29" s="670"/>
    </row>
    <row r="30" spans="2:21">
      <c r="B30" s="396">
        <f t="shared" si="0"/>
        <v>25</v>
      </c>
      <c r="C30" s="184">
        <v>603838657</v>
      </c>
      <c r="D30" s="184" t="str">
        <f>+VLOOKUP(C30,'OCTUBRE 2025'!$C$8:$D$57,2,0)</f>
        <v>MALAN DELGADO JOSE ALBERTO</v>
      </c>
      <c r="E30" s="576">
        <v>1</v>
      </c>
      <c r="F30" s="71" t="s">
        <v>128</v>
      </c>
      <c r="G30" s="71"/>
      <c r="H30" s="17" t="s">
        <v>136</v>
      </c>
      <c r="I30" s="573">
        <f>+VLOOKUP(C30,'OCTUBRE 2025'!$C$8:$J$57,3,0)</f>
        <v>44835</v>
      </c>
      <c r="J30" s="618">
        <f>+VLOOKUP(C30,'OCTUBRE 2025'!$C$8:$J$57,7,0)</f>
        <v>30</v>
      </c>
      <c r="K30" s="342">
        <f>+'OCTUBRE 2025'!T32</f>
        <v>684.18000000000006</v>
      </c>
      <c r="L30" s="343"/>
      <c r="M30" s="344">
        <f t="shared" ref="M30" si="2">(+(K30)*8.33%)+Q30+R30</f>
        <v>56.992194000000005</v>
      </c>
    </row>
    <row r="31" spans="2:21">
      <c r="B31" s="396">
        <f t="shared" si="0"/>
        <v>26</v>
      </c>
      <c r="C31" s="184">
        <v>925240525</v>
      </c>
      <c r="D31" s="184" t="str">
        <f>+VLOOKUP(C31,'OCTUBRE 2025'!$C$8:$D$57,2,0)</f>
        <v>MALAN YUQUILEMA RAUL ALBERTO</v>
      </c>
      <c r="E31" s="576">
        <v>1</v>
      </c>
      <c r="F31" s="71" t="s">
        <v>128</v>
      </c>
      <c r="G31" s="71"/>
      <c r="H31" s="17" t="s">
        <v>136</v>
      </c>
      <c r="I31" s="573">
        <f>+VLOOKUP(C31,'OCTUBRE 2025'!$C$8:$J$57,3,0)</f>
        <v>38869</v>
      </c>
      <c r="J31" s="618">
        <f>+VLOOKUP(C31,'OCTUBRE 2025'!$C$8:$J$57,7,0)</f>
        <v>30</v>
      </c>
      <c r="K31" s="342">
        <f>+'OCTUBRE 2025'!T33</f>
        <v>2700</v>
      </c>
      <c r="L31" s="343"/>
      <c r="M31" s="344">
        <f>(+(K31)*8.33%)+Q31+R31</f>
        <v>224.91</v>
      </c>
    </row>
    <row r="32" spans="2:21">
      <c r="B32" s="396">
        <f t="shared" si="0"/>
        <v>27</v>
      </c>
      <c r="C32" s="184">
        <v>954520599</v>
      </c>
      <c r="D32" s="184" t="str">
        <f>+VLOOKUP(C32,'OCTUBRE 2025'!$C$8:$D$57,2,0)</f>
        <v>MARSHALL VEGA YULIANA LISSETT</v>
      </c>
      <c r="E32" s="576">
        <v>2</v>
      </c>
      <c r="F32" s="71" t="s">
        <v>128</v>
      </c>
      <c r="G32" s="71"/>
      <c r="H32" s="17" t="s">
        <v>136</v>
      </c>
      <c r="I32" s="573">
        <f>+VLOOKUP(C32,'OCTUBRE 2025'!$C$8:$J$57,3,0)</f>
        <v>44743</v>
      </c>
      <c r="J32" s="618">
        <f>+VLOOKUP(C32,'OCTUBRE 2025'!$C$8:$J$57,7,0)</f>
        <v>30</v>
      </c>
      <c r="K32" s="342">
        <f>+'OCTUBRE 2025'!T34</f>
        <v>626.65000000000009</v>
      </c>
      <c r="L32" s="343"/>
      <c r="M32" s="344">
        <f>(+(K32)*8.33%)+Q32+R32</f>
        <v>52.199945000000007</v>
      </c>
    </row>
    <row r="33" spans="2:19">
      <c r="B33" s="396">
        <f t="shared" si="0"/>
        <v>28</v>
      </c>
      <c r="C33" s="696" t="s">
        <v>281</v>
      </c>
      <c r="D33" s="696" t="str">
        <f>+VLOOKUP(C33,'OCTUBRE 2025'!$C$8:$D$57,2,0)</f>
        <v>MEZA RODRIGUEZ MICHAEL FERNANDO</v>
      </c>
      <c r="E33" s="737">
        <v>1</v>
      </c>
      <c r="F33" s="697" t="s">
        <v>128</v>
      </c>
      <c r="G33" s="697"/>
      <c r="H33" s="283" t="s">
        <v>136</v>
      </c>
      <c r="I33" s="698">
        <f>+VLOOKUP(C33,'OCTUBRE 2025'!$C$8:$J$57,3,0)</f>
        <v>45524</v>
      </c>
      <c r="J33" s="699">
        <f>+VLOOKUP(C33,'OCTUBRE 2025'!$C$8:$J$57,7,0)</f>
        <v>30</v>
      </c>
      <c r="K33" s="700">
        <f>+'OCTUBRE 2025'!T35</f>
        <v>584.17999999999995</v>
      </c>
      <c r="L33" s="343"/>
      <c r="M33" s="344">
        <f>(+(K33)*8.33%)+Q33+R33</f>
        <v>48.662193999999992</v>
      </c>
      <c r="R33" s="34"/>
    </row>
    <row r="34" spans="2:19">
      <c r="B34" s="396">
        <f t="shared" si="0"/>
        <v>29</v>
      </c>
      <c r="C34" s="696" t="s">
        <v>245</v>
      </c>
      <c r="D34" s="696" t="str">
        <f>+VLOOKUP(C34,'OCTUBRE 2025'!$C$8:$D$57,2,0)</f>
        <v>MORAN GARCIA DANNY FAVIAN</v>
      </c>
      <c r="E34" s="672">
        <v>1</v>
      </c>
      <c r="F34" s="697" t="s">
        <v>128</v>
      </c>
      <c r="G34" s="673"/>
      <c r="H34" s="283" t="s">
        <v>136</v>
      </c>
      <c r="I34" s="698">
        <f>+VLOOKUP(C34,'OCTUBRE 2025'!$C$8:$J$57,3,0)</f>
        <v>45376</v>
      </c>
      <c r="J34" s="699">
        <f>+VLOOKUP(C34,'OCTUBRE 2025'!$C$8:$J$57,7,0)</f>
        <v>30</v>
      </c>
      <c r="K34" s="700">
        <f>+'OCTUBRE 2025'!T36</f>
        <v>813.04399999999998</v>
      </c>
      <c r="L34" s="674"/>
      <c r="M34" s="344">
        <f>(+(K34)*8.33%)</f>
        <v>67.726565199999996</v>
      </c>
      <c r="P34" s="648"/>
      <c r="R34" s="34"/>
    </row>
    <row r="35" spans="2:19">
      <c r="B35" s="396">
        <f t="shared" si="0"/>
        <v>30</v>
      </c>
      <c r="C35" s="729" t="s">
        <v>332</v>
      </c>
      <c r="D35" s="729" t="str">
        <f>+VLOOKUP(C35,'OCTUBRE 2025'!$C$8:$D$57,2,0)</f>
        <v>MOREIRA ESPINOZA LINDA ELIZABETH</v>
      </c>
      <c r="E35" s="730">
        <v>1</v>
      </c>
      <c r="F35" s="731" t="s">
        <v>128</v>
      </c>
      <c r="G35" s="731"/>
      <c r="H35" s="732" t="s">
        <v>136</v>
      </c>
      <c r="I35" s="733">
        <f>+VLOOKUP(C35,'OCTUBRE 2025'!$C$8:$J$57,3,0)</f>
        <v>45551</v>
      </c>
      <c r="J35" s="734">
        <f>+VLOOKUP(C35,'OCTUBRE 2025'!$C$8:$J$57,7,0)</f>
        <v>30</v>
      </c>
      <c r="K35" s="735">
        <f>+'OCTUBRE 2025'!T37</f>
        <v>491.46</v>
      </c>
      <c r="L35" s="736"/>
      <c r="M35" s="726">
        <f>+((K35*8.33%)/30)*14</f>
        <v>19.104688399999997</v>
      </c>
      <c r="P35" s="34"/>
      <c r="R35" s="34"/>
    </row>
    <row r="36" spans="2:19">
      <c r="B36" s="396">
        <f t="shared" si="0"/>
        <v>31</v>
      </c>
      <c r="C36" s="184">
        <v>955395686</v>
      </c>
      <c r="D36" s="184" t="str">
        <f>+VLOOKUP(C36,'OCTUBRE 2025'!$C$8:$D$57,2,0)</f>
        <v>MOROCHO DUCHI SANDRA STEPHANIE</v>
      </c>
      <c r="E36" s="576">
        <v>1</v>
      </c>
      <c r="F36" s="71" t="s">
        <v>128</v>
      </c>
      <c r="G36" s="71"/>
      <c r="H36" s="17" t="s">
        <v>136</v>
      </c>
      <c r="I36" s="573">
        <f>+VLOOKUP(C36,'OCTUBRE 2025'!$C$8:$J$57,3,0)</f>
        <v>44211</v>
      </c>
      <c r="J36" s="618">
        <f>+VLOOKUP(C36,'OCTUBRE 2025'!$C$8:$J$57,7,0)</f>
        <v>30</v>
      </c>
      <c r="K36" s="342">
        <f>+'OCTUBRE 2025'!T38</f>
        <v>626.65000000000009</v>
      </c>
      <c r="L36" s="343"/>
      <c r="M36" s="344">
        <f>(+(K36)*8.33%)</f>
        <v>52.199945000000007</v>
      </c>
    </row>
    <row r="37" spans="2:19">
      <c r="B37" s="396">
        <f t="shared" si="0"/>
        <v>32</v>
      </c>
      <c r="C37" s="184">
        <v>940991987</v>
      </c>
      <c r="D37" s="184" t="str">
        <f>+VLOOKUP(C37,'OCTUBRE 2025'!$C$8:$D$57,2,0)</f>
        <v>MOROCHO YANTALEMA DINA MAGALY</v>
      </c>
      <c r="E37" s="576">
        <v>1</v>
      </c>
      <c r="F37" s="71" t="s">
        <v>128</v>
      </c>
      <c r="G37" s="71"/>
      <c r="H37" s="17" t="s">
        <v>136</v>
      </c>
      <c r="I37" s="573">
        <f>+VLOOKUP(C37,'OCTUBRE 2025'!$C$8:$J$57,3,0)</f>
        <v>43074</v>
      </c>
      <c r="J37" s="618">
        <f>+VLOOKUP(C37,'OCTUBRE 2025'!$C$8:$J$57,7,0)</f>
        <v>30</v>
      </c>
      <c r="K37" s="342">
        <f>+'OCTUBRE 2025'!T39</f>
        <v>850</v>
      </c>
      <c r="L37" s="343"/>
      <c r="M37" s="344">
        <f>(+(K37)*8.33%)</f>
        <v>70.804999999999993</v>
      </c>
    </row>
    <row r="38" spans="2:19">
      <c r="B38" s="396">
        <f t="shared" si="0"/>
        <v>33</v>
      </c>
      <c r="C38" s="609">
        <v>956929277</v>
      </c>
      <c r="D38" s="609" t="str">
        <f>+VLOOKUP(C38,'OCTUBRE 2025'!$C$8:$D$57,2,0)</f>
        <v>NAULA CRIOLLO CINTHYA ABIGAIL</v>
      </c>
      <c r="E38" s="615"/>
      <c r="F38" s="616" t="s">
        <v>128</v>
      </c>
      <c r="G38" s="675"/>
      <c r="H38" s="610" t="s">
        <v>128</v>
      </c>
      <c r="I38" s="611">
        <f>+VLOOKUP(C38,'OCTUBRE 2025'!$C$8:$J$57,3,0)</f>
        <v>45721</v>
      </c>
      <c r="J38" s="620">
        <f>+VLOOKUP(C38,'OCTUBRE 2025'!$C$8:$J$57,7,0)</f>
        <v>30</v>
      </c>
      <c r="K38" s="612">
        <f>+'OCTUBRE 2025'!T40</f>
        <v>650</v>
      </c>
      <c r="L38" s="613"/>
      <c r="M38" s="614">
        <v>0</v>
      </c>
      <c r="O38" s="648"/>
      <c r="R38" s="34"/>
    </row>
    <row r="39" spans="2:19">
      <c r="B39" s="396">
        <f t="shared" ref="B39:B55" si="3">+B38+1</f>
        <v>34</v>
      </c>
      <c r="C39" s="184">
        <v>951763994</v>
      </c>
      <c r="D39" s="184" t="str">
        <f>+VLOOKUP(C39,'OCTUBRE 2025'!$C$8:$D$57,2,0)</f>
        <v>NEVAREZ PEÑAFIEL EVELYN JULEXY</v>
      </c>
      <c r="E39" s="576">
        <v>1</v>
      </c>
      <c r="F39" s="71" t="s">
        <v>136</v>
      </c>
      <c r="G39" s="347">
        <v>44991</v>
      </c>
      <c r="H39" s="17" t="s">
        <v>136</v>
      </c>
      <c r="I39" s="573">
        <f>+VLOOKUP(C39,'OCTUBRE 2025'!$C$8:$J$57,3,0)</f>
        <v>45240</v>
      </c>
      <c r="J39" s="618">
        <f>+VLOOKUP(C39,'OCTUBRE 2025'!$C$8:$J$57,7,0)</f>
        <v>30</v>
      </c>
      <c r="K39" s="342">
        <f>+'OCTUBRE 2025'!T41</f>
        <v>669.68000000000006</v>
      </c>
      <c r="L39" s="343"/>
      <c r="M39" s="344" t="s">
        <v>144</v>
      </c>
      <c r="O39" s="648"/>
      <c r="R39" s="34"/>
    </row>
    <row r="40" spans="2:19">
      <c r="B40" s="396">
        <f t="shared" si="3"/>
        <v>35</v>
      </c>
      <c r="C40" s="184">
        <v>950703199</v>
      </c>
      <c r="D40" s="184" t="str">
        <f>+VLOOKUP(C40,'OCTUBRE 2025'!$C$8:$D$57,2,0)</f>
        <v>ÑAMO GUALACEO BRYAN JAVIER</v>
      </c>
      <c r="E40" s="577">
        <v>1</v>
      </c>
      <c r="F40" s="349" t="s">
        <v>128</v>
      </c>
      <c r="G40" s="349"/>
      <c r="H40" s="350" t="s">
        <v>136</v>
      </c>
      <c r="I40" s="573">
        <f>+VLOOKUP(C40,'OCTUBRE 2025'!$C$8:$J$57,3,0)</f>
        <v>44847</v>
      </c>
      <c r="J40" s="618">
        <f>+VLOOKUP(C40,'OCTUBRE 2025'!$C$8:$J$57,7,0)</f>
        <v>30</v>
      </c>
      <c r="K40" s="342">
        <f>+'OCTUBRE 2025'!T42</f>
        <v>584.17999999999995</v>
      </c>
      <c r="L40" s="343"/>
      <c r="M40" s="344">
        <f>(+(K40)*8.33%)+Q40+R40</f>
        <v>48.662193999999992</v>
      </c>
    </row>
    <row r="41" spans="2:19">
      <c r="B41" s="396">
        <f t="shared" si="3"/>
        <v>36</v>
      </c>
      <c r="C41" s="184" t="s">
        <v>434</v>
      </c>
      <c r="D41" s="701" t="str">
        <f>+VLOOKUP(C41,'OCTUBRE 2025'!$C$8:$D$57,2,0)</f>
        <v>ORELLANA MANZO WHITNEY YAILYN</v>
      </c>
      <c r="E41" s="577">
        <v>2</v>
      </c>
      <c r="F41" s="349" t="s">
        <v>128</v>
      </c>
      <c r="G41" s="349"/>
      <c r="H41" s="350" t="s">
        <v>128</v>
      </c>
      <c r="I41" s="702">
        <f>+VLOOKUP(C41,'OCTUBRE 2025'!$C$8:$J$57,3,0)</f>
        <v>45870</v>
      </c>
      <c r="J41" s="703">
        <f>+VLOOKUP(C41,'OCTUBRE 2025'!$C$8:$J$57,7,0)</f>
        <v>30</v>
      </c>
      <c r="K41" s="704">
        <f>+'OCTUBRE 2025'!T43</f>
        <v>600</v>
      </c>
      <c r="L41" s="705"/>
      <c r="M41" s="766">
        <v>0</v>
      </c>
    </row>
    <row r="42" spans="2:19">
      <c r="B42" s="396">
        <f t="shared" si="3"/>
        <v>37</v>
      </c>
      <c r="C42" s="184">
        <v>925830689</v>
      </c>
      <c r="D42" s="184" t="str">
        <f>+VLOOKUP(C42,'OCTUBRE 2025'!$C$8:$D$57,2,0)</f>
        <v>PERALTA MENDEZ LINA LISSETTE</v>
      </c>
      <c r="E42" s="576">
        <v>1</v>
      </c>
      <c r="F42" s="71" t="s">
        <v>128</v>
      </c>
      <c r="G42" s="71"/>
      <c r="H42" s="17" t="s">
        <v>136</v>
      </c>
      <c r="I42" s="573">
        <f>+VLOOKUP(C42,'OCTUBRE 2025'!$C$8:$J$57,3,0)</f>
        <v>43678</v>
      </c>
      <c r="J42" s="618">
        <f>+VLOOKUP(C42,'OCTUBRE 2025'!$C$8:$J$57,7,0)</f>
        <v>30</v>
      </c>
      <c r="K42" s="342">
        <f>+'OCTUBRE 2025'!T44</f>
        <v>1044.42</v>
      </c>
      <c r="L42" s="343"/>
      <c r="M42" s="344">
        <f>(+(K42)*8.33%)+Q42+R42</f>
        <v>87.000185999999999</v>
      </c>
    </row>
    <row r="43" spans="2:19">
      <c r="B43" s="396">
        <f t="shared" si="3"/>
        <v>38</v>
      </c>
      <c r="C43" s="184">
        <v>944034842</v>
      </c>
      <c r="D43" s="184" t="str">
        <f>+VLOOKUP(C43,'OCTUBRE 2025'!$C$8:$D$57,2,0)</f>
        <v>PEREZ ZAMORA ANA DE LOS ANGELES</v>
      </c>
      <c r="E43" s="576">
        <v>2</v>
      </c>
      <c r="F43" s="71" t="s">
        <v>128</v>
      </c>
      <c r="G43" s="71"/>
      <c r="H43" s="17" t="s">
        <v>128</v>
      </c>
      <c r="I43" s="573">
        <f>+VLOOKUP(C43,'OCTUBRE 2025'!$C$8:$J$57,3,0)</f>
        <v>45945</v>
      </c>
      <c r="J43" s="618">
        <f>+VLOOKUP(C43,'OCTUBRE 2025'!$C$8:$J$57,7,0)</f>
        <v>16</v>
      </c>
      <c r="K43" s="342">
        <f>+'OCTUBRE 2025'!T45</f>
        <v>256.52999999999997</v>
      </c>
      <c r="L43" s="343"/>
      <c r="M43" s="344"/>
    </row>
    <row r="44" spans="2:19">
      <c r="B44" s="396">
        <f t="shared" si="3"/>
        <v>39</v>
      </c>
      <c r="C44" s="184">
        <v>951340702</v>
      </c>
      <c r="D44" s="184" t="str">
        <f>+VLOOKUP(C44,'OCTUBRE 2025'!$C$8:$D$57,2,0)</f>
        <v>QUITO CALDERON JONATHAN ENRIQUE</v>
      </c>
      <c r="E44" s="576">
        <v>1</v>
      </c>
      <c r="F44" s="71" t="s">
        <v>128</v>
      </c>
      <c r="G44" s="71"/>
      <c r="H44" s="17" t="s">
        <v>136</v>
      </c>
      <c r="I44" s="573">
        <f>+VLOOKUP(C44,'OCTUBRE 2025'!$C$8:$J$57,3,0)</f>
        <v>44579</v>
      </c>
      <c r="J44" s="618">
        <f>+VLOOKUP(C44,'OCTUBRE 2025'!$C$8:$J$57,7,0)</f>
        <v>30</v>
      </c>
      <c r="K44" s="342">
        <f>+'OCTUBRE 2025'!T46</f>
        <v>835.54</v>
      </c>
      <c r="L44" s="343"/>
      <c r="M44" s="344">
        <f>(+(K44)*8.33%)</f>
        <v>69.600482</v>
      </c>
      <c r="S44" s="120"/>
    </row>
    <row r="45" spans="2:19">
      <c r="B45" s="396">
        <f t="shared" si="3"/>
        <v>40</v>
      </c>
      <c r="C45" s="184">
        <v>650112949</v>
      </c>
      <c r="D45" s="184" t="str">
        <f>+VLOOKUP(C45,'OCTUBRE 2025'!$C$8:$D$57,2,0)</f>
        <v>QUITO UCHUBANDA JANETH ALEXANDRA</v>
      </c>
      <c r="E45" s="576">
        <v>1</v>
      </c>
      <c r="F45" s="71" t="s">
        <v>128</v>
      </c>
      <c r="G45" s="71"/>
      <c r="H45" s="17" t="s">
        <v>136</v>
      </c>
      <c r="I45" s="573">
        <f>+VLOOKUP(C45,'OCTUBRE 2025'!$C$8:$J$57,3,0)</f>
        <v>44929</v>
      </c>
      <c r="J45" s="618">
        <f>+VLOOKUP(C45,'OCTUBRE 2025'!$C$8:$J$57,7,0)</f>
        <v>30</v>
      </c>
      <c r="K45" s="342">
        <f>+'OCTUBRE 2025'!T47</f>
        <v>484.18</v>
      </c>
      <c r="L45" s="343"/>
      <c r="M45" s="344">
        <f>(+(K45)*8.33%)</f>
        <v>40.332194000000001</v>
      </c>
    </row>
    <row r="46" spans="2:19">
      <c r="B46" s="396">
        <f t="shared" si="3"/>
        <v>41</v>
      </c>
      <c r="C46" s="184">
        <v>924232804</v>
      </c>
      <c r="D46" s="184" t="str">
        <f>+VLOOKUP(C46,'OCTUBRE 2025'!$C$8:$D$57,2,0)</f>
        <v>RECALDE NARANJO ANGEL ALEXIS</v>
      </c>
      <c r="E46" s="576">
        <v>1</v>
      </c>
      <c r="F46" s="71" t="s">
        <v>128</v>
      </c>
      <c r="G46" s="71"/>
      <c r="H46" s="17" t="s">
        <v>136</v>
      </c>
      <c r="I46" s="573">
        <f>+VLOOKUP(C46,'OCTUBRE 2025'!$C$8:$J$57,3,0)</f>
        <v>44532</v>
      </c>
      <c r="J46" s="618">
        <f>+VLOOKUP(C46,'OCTUBRE 2025'!$C$8:$J$57,7,0)</f>
        <v>30</v>
      </c>
      <c r="K46" s="342">
        <f>+'OCTUBRE 2025'!T48</f>
        <v>1044.42</v>
      </c>
      <c r="L46" s="343"/>
      <c r="M46" s="344">
        <f t="shared" ref="M46:M55" si="4">(+(K46)*8.33%)</f>
        <v>87.000185999999999</v>
      </c>
    </row>
    <row r="47" spans="2:19">
      <c r="B47" s="396">
        <f t="shared" si="3"/>
        <v>42</v>
      </c>
      <c r="C47" s="184">
        <v>605031145</v>
      </c>
      <c r="D47" s="184" t="str">
        <f>+VLOOKUP(C47,'OCTUBRE 2025'!$C$8:$D$57,2,0)</f>
        <v>SALAO PEREZ GERMAN FABRICIO</v>
      </c>
      <c r="E47" s="576">
        <v>1</v>
      </c>
      <c r="F47" s="71" t="s">
        <v>128</v>
      </c>
      <c r="G47" s="347"/>
      <c r="H47" s="17" t="s">
        <v>136</v>
      </c>
      <c r="I47" s="573">
        <f>+VLOOKUP(C47,'OCTUBRE 2025'!$C$8:$J$57,3,0)</f>
        <v>45066</v>
      </c>
      <c r="J47" s="618">
        <f>+VLOOKUP(C47,'OCTUBRE 2025'!$C$8:$J$57,7,0)</f>
        <v>30</v>
      </c>
      <c r="K47" s="342">
        <f>+'OCTUBRE 2025'!T49</f>
        <v>626.65000000000009</v>
      </c>
      <c r="L47" s="343"/>
      <c r="M47" s="344">
        <f t="shared" si="4"/>
        <v>52.199945000000007</v>
      </c>
    </row>
    <row r="48" spans="2:19">
      <c r="B48" s="396">
        <f t="shared" si="3"/>
        <v>43</v>
      </c>
      <c r="C48" s="184">
        <v>927257576</v>
      </c>
      <c r="D48" s="184" t="str">
        <f>+VLOOKUP(C48,'OCTUBRE 2025'!$C$8:$D$57,2,0)</f>
        <v>SANISACA MITE ISRAEL BENJAMIN</v>
      </c>
      <c r="E48" s="576">
        <v>1</v>
      </c>
      <c r="F48" s="71" t="s">
        <v>128</v>
      </c>
      <c r="G48" s="71"/>
      <c r="H48" s="17" t="s">
        <v>136</v>
      </c>
      <c r="I48" s="573">
        <f>+VLOOKUP(C48,'OCTUBRE 2025'!$C$8:$J$57,3,0)</f>
        <v>44139</v>
      </c>
      <c r="J48" s="618">
        <f>+VLOOKUP(C48,'OCTUBRE 2025'!$C$8:$J$57,7,0)</f>
        <v>30</v>
      </c>
      <c r="K48" s="342">
        <f>+'OCTUBRE 2025'!T50</f>
        <v>1044.422628</v>
      </c>
      <c r="L48" s="343"/>
      <c r="M48" s="344">
        <f t="shared" si="4"/>
        <v>87.000404912400001</v>
      </c>
    </row>
    <row r="49" spans="2:19">
      <c r="B49" s="396">
        <f t="shared" si="3"/>
        <v>44</v>
      </c>
      <c r="C49" s="184">
        <v>928901800</v>
      </c>
      <c r="D49" s="184" t="str">
        <f>+VLOOKUP(C49,'OCTUBRE 2025'!$C$8:$D$57,2,0)</f>
        <v>TADAY GUAMAN NÉSTOR ALONSO</v>
      </c>
      <c r="E49" s="576">
        <v>1</v>
      </c>
      <c r="F49" s="71" t="s">
        <v>128</v>
      </c>
      <c r="G49" s="71"/>
      <c r="H49" s="17" t="s">
        <v>136</v>
      </c>
      <c r="I49" s="573">
        <f>+VLOOKUP(C49,'OCTUBRE 2025'!$C$8:$J$57,3,0)</f>
        <v>42856</v>
      </c>
      <c r="J49" s="618">
        <f>+VLOOKUP(C49,'OCTUBRE 2025'!$C$8:$J$57,7,0)</f>
        <v>30</v>
      </c>
      <c r="K49" s="342">
        <f>+'OCTUBRE 2025'!T51</f>
        <v>622.21</v>
      </c>
      <c r="L49" s="343"/>
      <c r="M49" s="344">
        <f t="shared" si="4"/>
        <v>51.830093000000005</v>
      </c>
    </row>
    <row r="50" spans="2:19">
      <c r="B50" s="396">
        <f t="shared" si="3"/>
        <v>45</v>
      </c>
      <c r="C50" s="184">
        <v>951315746</v>
      </c>
      <c r="D50" s="184" t="str">
        <f>+VLOOKUP(C50,'OCTUBRE 2025'!$C$8:$D$57,2,0)</f>
        <v>TIGUA MONTERO KAREN LISBETH</v>
      </c>
      <c r="E50" s="576">
        <v>1</v>
      </c>
      <c r="F50" s="71" t="s">
        <v>128</v>
      </c>
      <c r="G50" s="71"/>
      <c r="H50" s="17" t="s">
        <v>136</v>
      </c>
      <c r="I50" s="573">
        <f>+VLOOKUP(C50,'OCTUBRE 2025'!$C$8:$J$57,3,0)</f>
        <v>44837</v>
      </c>
      <c r="J50" s="618">
        <f>+VLOOKUP(C50,'OCTUBRE 2025'!$C$8:$J$57,7,0)</f>
        <v>30</v>
      </c>
      <c r="K50" s="342">
        <f>+'OCTUBRE 2025'!T52</f>
        <v>626.65000000000009</v>
      </c>
      <c r="L50" s="343"/>
      <c r="M50" s="344">
        <f t="shared" si="4"/>
        <v>52.199945000000007</v>
      </c>
    </row>
    <row r="51" spans="2:19">
      <c r="B51" s="396">
        <f t="shared" si="3"/>
        <v>46</v>
      </c>
      <c r="C51" s="184">
        <v>954184321</v>
      </c>
      <c r="D51" s="184" t="str">
        <f>+VLOOKUP(C51,'OCTUBRE 2025'!$C$8:$D$57,2,0)</f>
        <v>URQUIZO GUARANGA ALEX EFRAIN</v>
      </c>
      <c r="E51" s="576">
        <v>1</v>
      </c>
      <c r="F51" s="71" t="s">
        <v>128</v>
      </c>
      <c r="G51" s="71"/>
      <c r="H51" s="17" t="s">
        <v>136</v>
      </c>
      <c r="I51" s="573">
        <f>+VLOOKUP(C51,'OCTUBRE 2025'!$C$8:$J$57,3,0)</f>
        <v>44378</v>
      </c>
      <c r="J51" s="618">
        <f>+VLOOKUP(C51,'OCTUBRE 2025'!$C$8:$J$57,7,0)</f>
        <v>30</v>
      </c>
      <c r="K51" s="342">
        <f>+'OCTUBRE 2025'!T53</f>
        <v>622.21</v>
      </c>
      <c r="L51" s="343"/>
      <c r="M51" s="344">
        <f t="shared" si="4"/>
        <v>51.830093000000005</v>
      </c>
    </row>
    <row r="52" spans="2:19">
      <c r="B52" s="396">
        <f t="shared" si="3"/>
        <v>47</v>
      </c>
      <c r="C52" s="184">
        <v>922034772</v>
      </c>
      <c r="D52" s="184" t="str">
        <f>+VLOOKUP(C52,'OCTUBRE 2025'!$C$8:$D$57,2,0)</f>
        <v>VERA GUEVARA PAOLA KARINA</v>
      </c>
      <c r="E52" s="576">
        <v>1</v>
      </c>
      <c r="F52" s="71" t="s">
        <v>128</v>
      </c>
      <c r="G52" s="71"/>
      <c r="H52" s="17" t="s">
        <v>136</v>
      </c>
      <c r="I52" s="573">
        <f>+VLOOKUP(C52,'OCTUBRE 2025'!$C$8:$J$57,3,0)</f>
        <v>44110</v>
      </c>
      <c r="J52" s="618">
        <f>+VLOOKUP(C52,'OCTUBRE 2025'!$C$8:$J$57,7,0)</f>
        <v>30</v>
      </c>
      <c r="K52" s="342">
        <f>+'OCTUBRE 2025'!T54</f>
        <v>700</v>
      </c>
      <c r="L52" s="343"/>
      <c r="M52" s="344">
        <f t="shared" si="4"/>
        <v>58.31</v>
      </c>
    </row>
    <row r="53" spans="2:19">
      <c r="B53" s="396">
        <f t="shared" si="3"/>
        <v>48</v>
      </c>
      <c r="C53" s="184">
        <v>923837991</v>
      </c>
      <c r="D53" s="184" t="str">
        <f>+VLOOKUP(C53,'OCTUBRE 2025'!$C$8:$D$57,2,0)</f>
        <v>YUNDA CUJILEMA MARIA TERESA</v>
      </c>
      <c r="E53" s="576">
        <v>1</v>
      </c>
      <c r="F53" s="71" t="s">
        <v>128</v>
      </c>
      <c r="G53" s="71"/>
      <c r="H53" s="17" t="s">
        <v>136</v>
      </c>
      <c r="I53" s="573">
        <f>+VLOOKUP(C53,'OCTUBRE 2025'!$C$8:$J$57,3,0)</f>
        <v>41426</v>
      </c>
      <c r="J53" s="618">
        <f>+VLOOKUP(C53,'OCTUBRE 2025'!$C$8:$J$57,7,0)</f>
        <v>30</v>
      </c>
      <c r="K53" s="342">
        <f>+'OCTUBRE 2025'!T55</f>
        <v>1122.2</v>
      </c>
      <c r="L53" s="343"/>
      <c r="M53" s="344">
        <f t="shared" si="4"/>
        <v>93.479259999999996</v>
      </c>
    </row>
    <row r="54" spans="2:19">
      <c r="B54" s="396">
        <f t="shared" si="3"/>
        <v>49</v>
      </c>
      <c r="C54" s="184">
        <v>941508905</v>
      </c>
      <c r="D54" s="184" t="str">
        <f>+VLOOKUP(C54,'OCTUBRE 2025'!$C$8:$D$57,2,0)</f>
        <v>YUQUILEMA CACUANGO ANGEL JOSE</v>
      </c>
      <c r="E54" s="576">
        <v>1</v>
      </c>
      <c r="F54" s="71" t="s">
        <v>128</v>
      </c>
      <c r="G54" s="71"/>
      <c r="H54" s="17" t="s">
        <v>136</v>
      </c>
      <c r="I54" s="573">
        <f>+VLOOKUP(C54,'OCTUBRE 2025'!$C$8:$J$57,3,0)</f>
        <v>43567</v>
      </c>
      <c r="J54" s="618">
        <f>+VLOOKUP(C54,'OCTUBRE 2025'!$C$8:$J$57,7,0)</f>
        <v>30</v>
      </c>
      <c r="K54" s="342">
        <f>+'OCTUBRE 2025'!T56</f>
        <v>622.21</v>
      </c>
      <c r="L54" s="343"/>
      <c r="M54" s="344">
        <f>(+(K54)*8.33%)</f>
        <v>51.830093000000005</v>
      </c>
    </row>
    <row r="55" spans="2:19">
      <c r="B55" s="396">
        <f t="shared" si="3"/>
        <v>50</v>
      </c>
      <c r="C55" s="184">
        <v>604154575</v>
      </c>
      <c r="D55" s="184" t="str">
        <f>+VLOOKUP(C55,'OCTUBRE 2025'!$C$8:$D$57,2,0)</f>
        <v>YUQUILEMA DELGADO PEDRO ANTONIO</v>
      </c>
      <c r="E55" s="578">
        <v>1</v>
      </c>
      <c r="F55" s="351" t="s">
        <v>128</v>
      </c>
      <c r="G55" s="351"/>
      <c r="H55" s="352" t="s">
        <v>136</v>
      </c>
      <c r="I55" s="573">
        <f>+VLOOKUP(C55,'OCTUBRE 2025'!$C$8:$J$57,3,0)</f>
        <v>43379</v>
      </c>
      <c r="J55" s="618">
        <f>+VLOOKUP(C55,'OCTUBRE 2025'!$C$8:$J$57,7,0)</f>
        <v>30</v>
      </c>
      <c r="K55" s="342">
        <f>+'OCTUBRE 2025'!T57</f>
        <v>1022.2</v>
      </c>
      <c r="L55" s="343"/>
      <c r="M55" s="344">
        <f t="shared" si="4"/>
        <v>85.149259999999998</v>
      </c>
    </row>
    <row r="56" spans="2:19">
      <c r="E56" s="579"/>
      <c r="K56" s="353">
        <f>SUM(K6:K55)</f>
        <v>34364.046628000004</v>
      </c>
      <c r="L56" s="353">
        <f>SUM(L6:L55)</f>
        <v>0</v>
      </c>
      <c r="M56" s="353">
        <f>SUM(M6:M55)</f>
        <v>2259.8069345124009</v>
      </c>
      <c r="Q56" s="34">
        <f>SUM(Q6:Q55)</f>
        <v>0</v>
      </c>
      <c r="R56" s="34"/>
    </row>
    <row r="57" spans="2:19">
      <c r="S57" s="80"/>
    </row>
    <row r="58" spans="2:19">
      <c r="M58" s="80"/>
    </row>
    <row r="59" spans="2:19">
      <c r="S59" s="80"/>
    </row>
    <row r="61" spans="2:19">
      <c r="S61" s="80"/>
    </row>
  </sheetData>
  <autoFilter ref="B5:M56" xr:uid="{6F73CCD7-2450-4C47-8B45-0A83CD8E7617}"/>
  <mergeCells count="2">
    <mergeCell ref="D2:M2"/>
    <mergeCell ref="D3:M3"/>
  </mergeCells>
  <phoneticPr fontId="13" type="noConversion"/>
  <conditionalFormatting sqref="M6:M55">
    <cfRule type="containsText" dxfId="0" priority="1" operator="containsText" text="ACUMULA">
      <formula>NOT(ISERROR(SEARCH("ACUMULA",M6)))</formula>
    </cfRule>
  </conditionalFormatting>
  <dataValidations count="1">
    <dataValidation allowBlank="1" showInputMessage="1" showErrorMessage="1" promptTitle="ingreso gravable" prompt="sueldo + horas extras+ comisiones+ bonos" sqref="K5" xr:uid="{98060FE6-A902-4077-8234-673F2F6D7E1E}"/>
  </dataValidations>
  <pageMargins left="0.19" right="0.12" top="0.75" bottom="0.75" header="0.3" footer="0.3"/>
  <pageSetup paperSize="9" scale="66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17D5D-3B24-4577-AC86-452C0A17EE8B}">
  <sheetPr codeName="Hoja12"/>
  <dimension ref="B2:L42"/>
  <sheetViews>
    <sheetView showGridLines="0" workbookViewId="0">
      <selection activeCell="C20" sqref="C20"/>
    </sheetView>
  </sheetViews>
  <sheetFormatPr baseColWidth="10" defaultRowHeight="14.4"/>
  <cols>
    <col min="2" max="2" width="24.33203125" bestFit="1" customWidth="1"/>
    <col min="3" max="4" width="17" customWidth="1"/>
    <col min="5" max="5" width="11.33203125" customWidth="1"/>
    <col min="6" max="6" width="9.5546875" bestFit="1" customWidth="1"/>
    <col min="7" max="7" width="12.88671875" customWidth="1"/>
    <col min="8" max="8" width="9.6640625" bestFit="1" customWidth="1"/>
    <col min="10" max="10" width="9.5546875" bestFit="1" customWidth="1"/>
    <col min="11" max="11" width="10" bestFit="1" customWidth="1"/>
    <col min="12" max="12" width="27.109375" customWidth="1"/>
  </cols>
  <sheetData>
    <row r="2" spans="2:9" ht="6" customHeight="1"/>
    <row r="5" spans="2:9" ht="3.75" customHeight="1"/>
    <row r="6" spans="2:9" ht="9" customHeight="1"/>
    <row r="7" spans="2:9" ht="9" customHeight="1"/>
    <row r="8" spans="2:9" ht="19.95" customHeight="1">
      <c r="B8" s="114" t="s">
        <v>167</v>
      </c>
      <c r="C8" s="961" t="s">
        <v>406</v>
      </c>
      <c r="D8" s="961"/>
      <c r="F8" s="116" t="s">
        <v>168</v>
      </c>
      <c r="G8" s="117">
        <v>45195</v>
      </c>
    </row>
    <row r="9" spans="2:9">
      <c r="B9" s="67" t="s">
        <v>169</v>
      </c>
      <c r="C9" s="962">
        <v>45397</v>
      </c>
      <c r="D9" s="962"/>
      <c r="F9" s="67" t="s">
        <v>170</v>
      </c>
      <c r="G9" s="118">
        <v>45278</v>
      </c>
    </row>
    <row r="10" spans="2:9">
      <c r="B10" s="67" t="s">
        <v>171</v>
      </c>
      <c r="C10" s="886">
        <v>550</v>
      </c>
      <c r="D10" s="886"/>
      <c r="F10" s="11" t="s">
        <v>172</v>
      </c>
      <c r="G10" s="119">
        <f>+G9-G8</f>
        <v>83</v>
      </c>
      <c r="I10" s="120"/>
    </row>
    <row r="11" spans="2:9">
      <c r="B11" s="67" t="s">
        <v>173</v>
      </c>
      <c r="C11" s="827" t="s">
        <v>174</v>
      </c>
      <c r="D11" s="827"/>
    </row>
    <row r="12" spans="2:9" ht="5.25" customHeight="1"/>
    <row r="13" spans="2:9">
      <c r="B13" s="51" t="s">
        <v>175</v>
      </c>
    </row>
    <row r="14" spans="2:9">
      <c r="B14" s="883" t="s">
        <v>176</v>
      </c>
      <c r="C14" s="883"/>
      <c r="D14" s="34">
        <f>+C10/30</f>
        <v>18.333333333333332</v>
      </c>
      <c r="E14" s="17" t="s">
        <v>177</v>
      </c>
      <c r="F14" s="120">
        <f>+C10/30</f>
        <v>18.333333333333332</v>
      </c>
    </row>
    <row r="15" spans="2:9">
      <c r="B15" s="883" t="s">
        <v>178</v>
      </c>
      <c r="C15" s="883"/>
      <c r="D15" s="34">
        <f>+D14*25%</f>
        <v>4.583333333333333</v>
      </c>
      <c r="E15" s="17" t="s">
        <v>179</v>
      </c>
      <c r="F15" s="120">
        <f>+F14*25%</f>
        <v>4.583333333333333</v>
      </c>
    </row>
    <row r="16" spans="2:9" ht="8.25" customHeight="1"/>
    <row r="17" spans="2:12">
      <c r="B17" s="957" t="s">
        <v>180</v>
      </c>
      <c r="C17" s="957" t="s">
        <v>181</v>
      </c>
      <c r="D17" s="957"/>
      <c r="E17" s="957" t="s">
        <v>182</v>
      </c>
      <c r="F17" s="957" t="s">
        <v>183</v>
      </c>
      <c r="G17" s="957" t="s">
        <v>184</v>
      </c>
    </row>
    <row r="18" spans="2:12">
      <c r="B18" s="957"/>
      <c r="C18" s="121" t="s">
        <v>185</v>
      </c>
      <c r="D18" s="121" t="s">
        <v>186</v>
      </c>
      <c r="E18" s="957"/>
      <c r="F18" s="957"/>
      <c r="G18" s="957"/>
    </row>
    <row r="19" spans="2:12">
      <c r="B19" s="115">
        <v>1</v>
      </c>
      <c r="C19" s="259">
        <v>45658</v>
      </c>
      <c r="D19" s="259"/>
      <c r="E19" s="260"/>
      <c r="F19" s="261"/>
      <c r="G19" s="123"/>
    </row>
    <row r="20" spans="2:12">
      <c r="B20" s="115">
        <v>2</v>
      </c>
      <c r="C20" s="259"/>
      <c r="D20" s="259"/>
      <c r="E20" s="260"/>
      <c r="F20" s="261"/>
      <c r="G20" s="262"/>
      <c r="L20" s="80"/>
    </row>
    <row r="21" spans="2:12">
      <c r="B21" s="115">
        <v>3</v>
      </c>
      <c r="C21" s="259"/>
      <c r="D21" s="259"/>
      <c r="E21" s="260"/>
      <c r="F21" s="261"/>
      <c r="G21" s="262"/>
      <c r="L21" s="80"/>
    </row>
    <row r="22" spans="2:12">
      <c r="B22" s="115">
        <v>4</v>
      </c>
      <c r="C22" s="259"/>
      <c r="D22" s="259"/>
      <c r="E22" s="260"/>
      <c r="F22" s="261"/>
      <c r="G22" s="262"/>
    </row>
    <row r="23" spans="2:12">
      <c r="B23" s="115">
        <v>5</v>
      </c>
      <c r="C23" s="134"/>
      <c r="D23" s="134"/>
      <c r="E23" s="115"/>
      <c r="F23" s="122"/>
      <c r="G23" s="123"/>
      <c r="L23" s="80"/>
    </row>
    <row r="24" spans="2:12">
      <c r="B24" s="115">
        <v>6</v>
      </c>
      <c r="C24" s="134"/>
      <c r="D24" s="134"/>
      <c r="E24" s="115"/>
      <c r="F24" s="122"/>
      <c r="G24" s="123"/>
      <c r="L24" s="80"/>
    </row>
    <row r="25" spans="2:12">
      <c r="B25" s="958" t="s">
        <v>21</v>
      </c>
      <c r="C25" s="959"/>
      <c r="D25" s="959"/>
      <c r="E25" s="960"/>
      <c r="F25" s="124">
        <f>SUM(F19:F24)</f>
        <v>0</v>
      </c>
      <c r="G25" s="125">
        <f>SUM(G19:G24)</f>
        <v>0</v>
      </c>
      <c r="L25" s="80"/>
    </row>
    <row r="26" spans="2:12">
      <c r="B26" s="110"/>
      <c r="C26" s="110"/>
      <c r="D26" s="110"/>
      <c r="E26" s="110"/>
      <c r="F26" s="126"/>
      <c r="G26" s="127"/>
      <c r="L26" s="80"/>
    </row>
    <row r="27" spans="2:12" ht="15.6">
      <c r="B27" s="889" t="s">
        <v>187</v>
      </c>
      <c r="C27" s="889"/>
      <c r="D27" s="889"/>
      <c r="E27" s="889"/>
      <c r="F27" s="10"/>
    </row>
    <row r="28" spans="2:12" ht="7.5" customHeight="1">
      <c r="B28" s="10"/>
      <c r="C28" s="10"/>
      <c r="D28" s="10"/>
      <c r="E28" s="10"/>
      <c r="F28" s="10"/>
    </row>
    <row r="29" spans="2:12">
      <c r="B29" s="128" t="s">
        <v>86</v>
      </c>
      <c r="C29" s="128" t="s">
        <v>87</v>
      </c>
      <c r="D29" s="128" t="s">
        <v>117</v>
      </c>
      <c r="E29" s="128" t="s">
        <v>87</v>
      </c>
      <c r="F29" s="10"/>
    </row>
    <row r="30" spans="2:12">
      <c r="B30" s="11" t="s">
        <v>88</v>
      </c>
      <c r="C30" s="12">
        <v>600</v>
      </c>
      <c r="D30" s="168" t="s">
        <v>188</v>
      </c>
      <c r="E30" s="12">
        <v>56.7</v>
      </c>
      <c r="F30" s="10"/>
    </row>
    <row r="31" spans="2:12">
      <c r="B31" s="11" t="s">
        <v>89</v>
      </c>
      <c r="C31" s="12">
        <v>0</v>
      </c>
      <c r="D31" s="10" t="s">
        <v>90</v>
      </c>
      <c r="E31" s="12">
        <v>0</v>
      </c>
      <c r="F31" s="10"/>
    </row>
    <row r="32" spans="2:12">
      <c r="B32" s="11" t="s">
        <v>57</v>
      </c>
      <c r="C32" s="12">
        <v>0</v>
      </c>
      <c r="D32" s="11"/>
      <c r="E32" s="12"/>
      <c r="F32" s="10"/>
    </row>
    <row r="33" spans="2:7">
      <c r="B33" s="11" t="s">
        <v>91</v>
      </c>
      <c r="C33" s="12">
        <v>0</v>
      </c>
      <c r="D33" s="11"/>
      <c r="E33" s="12"/>
      <c r="F33" s="10"/>
    </row>
    <row r="34" spans="2:7">
      <c r="B34" s="11" t="s">
        <v>5</v>
      </c>
      <c r="C34" s="12">
        <v>0</v>
      </c>
      <c r="D34" s="11"/>
      <c r="E34" s="12"/>
      <c r="F34" s="10"/>
    </row>
    <row r="35" spans="2:7">
      <c r="B35" s="11" t="s">
        <v>189</v>
      </c>
      <c r="C35" s="12">
        <v>0</v>
      </c>
      <c r="D35" s="11"/>
      <c r="E35" s="12"/>
      <c r="F35" s="10"/>
    </row>
    <row r="36" spans="2:7">
      <c r="B36" s="11" t="s">
        <v>92</v>
      </c>
      <c r="C36" s="12">
        <v>0</v>
      </c>
      <c r="D36" s="11"/>
      <c r="E36" s="12"/>
      <c r="F36" s="10"/>
    </row>
    <row r="37" spans="2:7">
      <c r="B37" s="11" t="s">
        <v>93</v>
      </c>
      <c r="C37" s="12">
        <v>0</v>
      </c>
      <c r="D37" s="11"/>
      <c r="E37" s="12"/>
      <c r="F37" s="10"/>
    </row>
    <row r="38" spans="2:7">
      <c r="B38" s="11" t="s">
        <v>14</v>
      </c>
      <c r="C38" s="12">
        <v>49.98</v>
      </c>
      <c r="D38" s="11"/>
      <c r="E38" s="12"/>
      <c r="F38" s="10"/>
    </row>
    <row r="39" spans="2:7">
      <c r="B39" s="11" t="s">
        <v>44</v>
      </c>
      <c r="C39" s="12">
        <v>0</v>
      </c>
      <c r="D39" s="11"/>
      <c r="E39" s="12"/>
      <c r="F39" s="10"/>
    </row>
    <row r="40" spans="2:7">
      <c r="B40" s="11" t="s">
        <v>94</v>
      </c>
      <c r="C40" s="12">
        <v>0</v>
      </c>
      <c r="D40" s="11"/>
      <c r="E40" s="12"/>
      <c r="F40" s="10"/>
    </row>
    <row r="41" spans="2:7">
      <c r="B41" s="129" t="s">
        <v>190</v>
      </c>
      <c r="C41" s="130">
        <f>SUM(C30:C40)</f>
        <v>649.98</v>
      </c>
      <c r="D41" s="131" t="s">
        <v>95</v>
      </c>
      <c r="E41" s="130">
        <f>SUM(E30:E37)</f>
        <v>56.7</v>
      </c>
      <c r="F41" s="10">
        <v>593.28</v>
      </c>
    </row>
    <row r="42" spans="2:7">
      <c r="B42" s="113"/>
      <c r="C42" s="113"/>
      <c r="D42" s="129" t="s">
        <v>96</v>
      </c>
      <c r="E42" s="130">
        <f>+C41-E41</f>
        <v>593.28</v>
      </c>
      <c r="F42" s="132">
        <f>F41-E42</f>
        <v>0</v>
      </c>
      <c r="G42" s="80"/>
    </row>
  </sheetData>
  <mergeCells count="13">
    <mergeCell ref="C8:D8"/>
    <mergeCell ref="C9:D9"/>
    <mergeCell ref="C10:D10"/>
    <mergeCell ref="C11:D11"/>
    <mergeCell ref="B14:C14"/>
    <mergeCell ref="F17:F18"/>
    <mergeCell ref="G17:G18"/>
    <mergeCell ref="B27:E27"/>
    <mergeCell ref="B25:E25"/>
    <mergeCell ref="B15:C15"/>
    <mergeCell ref="B17:B18"/>
    <mergeCell ref="C17:D17"/>
    <mergeCell ref="E17:E18"/>
  </mergeCells>
  <dataValidations count="1">
    <dataValidation allowBlank="1" showInputMessage="1" showErrorMessage="1" promptTitle="PERMISO MATERNAL" prompt="SE LE DIÓ 15 DIAS ADICIONALES_x000a_DEL 11 AL 25 SEPT 2023" sqref="G8" xr:uid="{88845F62-7146-4678-92CC-34DFBC80A7C9}"/>
  </dataValidations>
  <pageMargins left="0.25" right="0.25" top="1.1100000000000001" bottom="0.75" header="0.31" footer="0.3"/>
  <pageSetup paperSize="9" scale="85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8580-AFF4-4EEE-814A-DE4DA341CBDB}">
  <sheetPr codeName="Hoja13"/>
  <dimension ref="B1:R58"/>
  <sheetViews>
    <sheetView showGridLines="0" topLeftCell="A19" zoomScale="85" zoomScaleNormal="85" workbookViewId="0">
      <selection activeCell="R24" sqref="R24"/>
    </sheetView>
  </sheetViews>
  <sheetFormatPr baseColWidth="10" defaultRowHeight="13.8"/>
  <cols>
    <col min="1" max="1" width="6.6640625" style="81" customWidth="1"/>
    <col min="2" max="5" width="11.5546875" style="81"/>
    <col min="6" max="6" width="8.21875" style="81" customWidth="1"/>
    <col min="7" max="7" width="11.5546875" style="81"/>
    <col min="8" max="8" width="16" style="81" customWidth="1"/>
    <col min="9" max="246" width="11.5546875" style="81"/>
    <col min="247" max="247" width="2.109375" style="81" customWidth="1"/>
    <col min="248" max="248" width="10" style="81" bestFit="1" customWidth="1"/>
    <col min="249" max="249" width="13" style="81" customWidth="1"/>
    <col min="250" max="251" width="11.5546875" style="81"/>
    <col min="252" max="252" width="11" style="81" bestFit="1" customWidth="1"/>
    <col min="253" max="253" width="11.5546875" style="81"/>
    <col min="254" max="254" width="12.88671875" style="81" customWidth="1"/>
    <col min="255" max="255" width="11.5546875" style="81"/>
    <col min="256" max="256" width="12.33203125" style="81" bestFit="1" customWidth="1"/>
    <col min="257" max="257" width="18.88671875" style="81" customWidth="1"/>
    <col min="258" max="502" width="11.5546875" style="81"/>
    <col min="503" max="503" width="2.109375" style="81" customWidth="1"/>
    <col min="504" max="504" width="10" style="81" bestFit="1" customWidth="1"/>
    <col min="505" max="505" width="13" style="81" customWidth="1"/>
    <col min="506" max="507" width="11.5546875" style="81"/>
    <col min="508" max="508" width="11" style="81" bestFit="1" customWidth="1"/>
    <col min="509" max="509" width="11.5546875" style="81"/>
    <col min="510" max="510" width="12.88671875" style="81" customWidth="1"/>
    <col min="511" max="511" width="11.5546875" style="81"/>
    <col min="512" max="512" width="12.33203125" style="81" bestFit="1" customWidth="1"/>
    <col min="513" max="513" width="18.88671875" style="81" customWidth="1"/>
    <col min="514" max="758" width="11.5546875" style="81"/>
    <col min="759" max="759" width="2.109375" style="81" customWidth="1"/>
    <col min="760" max="760" width="10" style="81" bestFit="1" customWidth="1"/>
    <col min="761" max="761" width="13" style="81" customWidth="1"/>
    <col min="762" max="763" width="11.5546875" style="81"/>
    <col min="764" max="764" width="11" style="81" bestFit="1" customWidth="1"/>
    <col min="765" max="765" width="11.5546875" style="81"/>
    <col min="766" max="766" width="12.88671875" style="81" customWidth="1"/>
    <col min="767" max="767" width="11.5546875" style="81"/>
    <col min="768" max="768" width="12.33203125" style="81" bestFit="1" customWidth="1"/>
    <col min="769" max="769" width="18.88671875" style="81" customWidth="1"/>
    <col min="770" max="1014" width="11.5546875" style="81"/>
    <col min="1015" max="1015" width="2.109375" style="81" customWidth="1"/>
    <col min="1016" max="1016" width="10" style="81" bestFit="1" customWidth="1"/>
    <col min="1017" max="1017" width="13" style="81" customWidth="1"/>
    <col min="1018" max="1019" width="11.5546875" style="81"/>
    <col min="1020" max="1020" width="11" style="81" bestFit="1" customWidth="1"/>
    <col min="1021" max="1021" width="11.5546875" style="81"/>
    <col min="1022" max="1022" width="12.88671875" style="81" customWidth="1"/>
    <col min="1023" max="1023" width="11.5546875" style="81"/>
    <col min="1024" max="1024" width="12.33203125" style="81" bestFit="1" customWidth="1"/>
    <col min="1025" max="1025" width="18.88671875" style="81" customWidth="1"/>
    <col min="1026" max="1270" width="11.5546875" style="81"/>
    <col min="1271" max="1271" width="2.109375" style="81" customWidth="1"/>
    <col min="1272" max="1272" width="10" style="81" bestFit="1" customWidth="1"/>
    <col min="1273" max="1273" width="13" style="81" customWidth="1"/>
    <col min="1274" max="1275" width="11.5546875" style="81"/>
    <col min="1276" max="1276" width="11" style="81" bestFit="1" customWidth="1"/>
    <col min="1277" max="1277" width="11.5546875" style="81"/>
    <col min="1278" max="1278" width="12.88671875" style="81" customWidth="1"/>
    <col min="1279" max="1279" width="11.5546875" style="81"/>
    <col min="1280" max="1280" width="12.33203125" style="81" bestFit="1" customWidth="1"/>
    <col min="1281" max="1281" width="18.88671875" style="81" customWidth="1"/>
    <col min="1282" max="1526" width="11.5546875" style="81"/>
    <col min="1527" max="1527" width="2.109375" style="81" customWidth="1"/>
    <col min="1528" max="1528" width="10" style="81" bestFit="1" customWidth="1"/>
    <col min="1529" max="1529" width="13" style="81" customWidth="1"/>
    <col min="1530" max="1531" width="11.5546875" style="81"/>
    <col min="1532" max="1532" width="11" style="81" bestFit="1" customWidth="1"/>
    <col min="1533" max="1533" width="11.5546875" style="81"/>
    <col min="1534" max="1534" width="12.88671875" style="81" customWidth="1"/>
    <col min="1535" max="1535" width="11.5546875" style="81"/>
    <col min="1536" max="1536" width="12.33203125" style="81" bestFit="1" customWidth="1"/>
    <col min="1537" max="1537" width="18.88671875" style="81" customWidth="1"/>
    <col min="1538" max="1782" width="11.5546875" style="81"/>
    <col min="1783" max="1783" width="2.109375" style="81" customWidth="1"/>
    <col min="1784" max="1784" width="10" style="81" bestFit="1" customWidth="1"/>
    <col min="1785" max="1785" width="13" style="81" customWidth="1"/>
    <col min="1786" max="1787" width="11.5546875" style="81"/>
    <col min="1788" max="1788" width="11" style="81" bestFit="1" customWidth="1"/>
    <col min="1789" max="1789" width="11.5546875" style="81"/>
    <col min="1790" max="1790" width="12.88671875" style="81" customWidth="1"/>
    <col min="1791" max="1791" width="11.5546875" style="81"/>
    <col min="1792" max="1792" width="12.33203125" style="81" bestFit="1" customWidth="1"/>
    <col min="1793" max="1793" width="18.88671875" style="81" customWidth="1"/>
    <col min="1794" max="2038" width="11.5546875" style="81"/>
    <col min="2039" max="2039" width="2.109375" style="81" customWidth="1"/>
    <col min="2040" max="2040" width="10" style="81" bestFit="1" customWidth="1"/>
    <col min="2041" max="2041" width="13" style="81" customWidth="1"/>
    <col min="2042" max="2043" width="11.5546875" style="81"/>
    <col min="2044" max="2044" width="11" style="81" bestFit="1" customWidth="1"/>
    <col min="2045" max="2045" width="11.5546875" style="81"/>
    <col min="2046" max="2046" width="12.88671875" style="81" customWidth="1"/>
    <col min="2047" max="2047" width="11.5546875" style="81"/>
    <col min="2048" max="2048" width="12.33203125" style="81" bestFit="1" customWidth="1"/>
    <col min="2049" max="2049" width="18.88671875" style="81" customWidth="1"/>
    <col min="2050" max="2294" width="11.5546875" style="81"/>
    <col min="2295" max="2295" width="2.109375" style="81" customWidth="1"/>
    <col min="2296" max="2296" width="10" style="81" bestFit="1" customWidth="1"/>
    <col min="2297" max="2297" width="13" style="81" customWidth="1"/>
    <col min="2298" max="2299" width="11.5546875" style="81"/>
    <col min="2300" max="2300" width="11" style="81" bestFit="1" customWidth="1"/>
    <col min="2301" max="2301" width="11.5546875" style="81"/>
    <col min="2302" max="2302" width="12.88671875" style="81" customWidth="1"/>
    <col min="2303" max="2303" width="11.5546875" style="81"/>
    <col min="2304" max="2304" width="12.33203125" style="81" bestFit="1" customWidth="1"/>
    <col min="2305" max="2305" width="18.88671875" style="81" customWidth="1"/>
    <col min="2306" max="2550" width="11.5546875" style="81"/>
    <col min="2551" max="2551" width="2.109375" style="81" customWidth="1"/>
    <col min="2552" max="2552" width="10" style="81" bestFit="1" customWidth="1"/>
    <col min="2553" max="2553" width="13" style="81" customWidth="1"/>
    <col min="2554" max="2555" width="11.5546875" style="81"/>
    <col min="2556" max="2556" width="11" style="81" bestFit="1" customWidth="1"/>
    <col min="2557" max="2557" width="11.5546875" style="81"/>
    <col min="2558" max="2558" width="12.88671875" style="81" customWidth="1"/>
    <col min="2559" max="2559" width="11.5546875" style="81"/>
    <col min="2560" max="2560" width="12.33203125" style="81" bestFit="1" customWidth="1"/>
    <col min="2561" max="2561" width="18.88671875" style="81" customWidth="1"/>
    <col min="2562" max="2806" width="11.5546875" style="81"/>
    <col min="2807" max="2807" width="2.109375" style="81" customWidth="1"/>
    <col min="2808" max="2808" width="10" style="81" bestFit="1" customWidth="1"/>
    <col min="2809" max="2809" width="13" style="81" customWidth="1"/>
    <col min="2810" max="2811" width="11.5546875" style="81"/>
    <col min="2812" max="2812" width="11" style="81" bestFit="1" customWidth="1"/>
    <col min="2813" max="2813" width="11.5546875" style="81"/>
    <col min="2814" max="2814" width="12.88671875" style="81" customWidth="1"/>
    <col min="2815" max="2815" width="11.5546875" style="81"/>
    <col min="2816" max="2816" width="12.33203125" style="81" bestFit="1" customWidth="1"/>
    <col min="2817" max="2817" width="18.88671875" style="81" customWidth="1"/>
    <col min="2818" max="3062" width="11.5546875" style="81"/>
    <col min="3063" max="3063" width="2.109375" style="81" customWidth="1"/>
    <col min="3064" max="3064" width="10" style="81" bestFit="1" customWidth="1"/>
    <col min="3065" max="3065" width="13" style="81" customWidth="1"/>
    <col min="3066" max="3067" width="11.5546875" style="81"/>
    <col min="3068" max="3068" width="11" style="81" bestFit="1" customWidth="1"/>
    <col min="3069" max="3069" width="11.5546875" style="81"/>
    <col min="3070" max="3070" width="12.88671875" style="81" customWidth="1"/>
    <col min="3071" max="3071" width="11.5546875" style="81"/>
    <col min="3072" max="3072" width="12.33203125" style="81" bestFit="1" customWidth="1"/>
    <col min="3073" max="3073" width="18.88671875" style="81" customWidth="1"/>
    <col min="3074" max="3318" width="11.5546875" style="81"/>
    <col min="3319" max="3319" width="2.109375" style="81" customWidth="1"/>
    <col min="3320" max="3320" width="10" style="81" bestFit="1" customWidth="1"/>
    <col min="3321" max="3321" width="13" style="81" customWidth="1"/>
    <col min="3322" max="3323" width="11.5546875" style="81"/>
    <col min="3324" max="3324" width="11" style="81" bestFit="1" customWidth="1"/>
    <col min="3325" max="3325" width="11.5546875" style="81"/>
    <col min="3326" max="3326" width="12.88671875" style="81" customWidth="1"/>
    <col min="3327" max="3327" width="11.5546875" style="81"/>
    <col min="3328" max="3328" width="12.33203125" style="81" bestFit="1" customWidth="1"/>
    <col min="3329" max="3329" width="18.88671875" style="81" customWidth="1"/>
    <col min="3330" max="3574" width="11.5546875" style="81"/>
    <col min="3575" max="3575" width="2.109375" style="81" customWidth="1"/>
    <col min="3576" max="3576" width="10" style="81" bestFit="1" customWidth="1"/>
    <col min="3577" max="3577" width="13" style="81" customWidth="1"/>
    <col min="3578" max="3579" width="11.5546875" style="81"/>
    <col min="3580" max="3580" width="11" style="81" bestFit="1" customWidth="1"/>
    <col min="3581" max="3581" width="11.5546875" style="81"/>
    <col min="3582" max="3582" width="12.88671875" style="81" customWidth="1"/>
    <col min="3583" max="3583" width="11.5546875" style="81"/>
    <col min="3584" max="3584" width="12.33203125" style="81" bestFit="1" customWidth="1"/>
    <col min="3585" max="3585" width="18.88671875" style="81" customWidth="1"/>
    <col min="3586" max="3830" width="11.5546875" style="81"/>
    <col min="3831" max="3831" width="2.109375" style="81" customWidth="1"/>
    <col min="3832" max="3832" width="10" style="81" bestFit="1" customWidth="1"/>
    <col min="3833" max="3833" width="13" style="81" customWidth="1"/>
    <col min="3834" max="3835" width="11.5546875" style="81"/>
    <col min="3836" max="3836" width="11" style="81" bestFit="1" customWidth="1"/>
    <col min="3837" max="3837" width="11.5546875" style="81"/>
    <col min="3838" max="3838" width="12.88671875" style="81" customWidth="1"/>
    <col min="3839" max="3839" width="11.5546875" style="81"/>
    <col min="3840" max="3840" width="12.33203125" style="81" bestFit="1" customWidth="1"/>
    <col min="3841" max="3841" width="18.88671875" style="81" customWidth="1"/>
    <col min="3842" max="4086" width="11.5546875" style="81"/>
    <col min="4087" max="4087" width="2.109375" style="81" customWidth="1"/>
    <col min="4088" max="4088" width="10" style="81" bestFit="1" customWidth="1"/>
    <col min="4089" max="4089" width="13" style="81" customWidth="1"/>
    <col min="4090" max="4091" width="11.5546875" style="81"/>
    <col min="4092" max="4092" width="11" style="81" bestFit="1" customWidth="1"/>
    <col min="4093" max="4093" width="11.5546875" style="81"/>
    <col min="4094" max="4094" width="12.88671875" style="81" customWidth="1"/>
    <col min="4095" max="4095" width="11.5546875" style="81"/>
    <col min="4096" max="4096" width="12.33203125" style="81" bestFit="1" customWidth="1"/>
    <col min="4097" max="4097" width="18.88671875" style="81" customWidth="1"/>
    <col min="4098" max="4342" width="11.5546875" style="81"/>
    <col min="4343" max="4343" width="2.109375" style="81" customWidth="1"/>
    <col min="4344" max="4344" width="10" style="81" bestFit="1" customWidth="1"/>
    <col min="4345" max="4345" width="13" style="81" customWidth="1"/>
    <col min="4346" max="4347" width="11.5546875" style="81"/>
    <col min="4348" max="4348" width="11" style="81" bestFit="1" customWidth="1"/>
    <col min="4349" max="4349" width="11.5546875" style="81"/>
    <col min="4350" max="4350" width="12.88671875" style="81" customWidth="1"/>
    <col min="4351" max="4351" width="11.5546875" style="81"/>
    <col min="4352" max="4352" width="12.33203125" style="81" bestFit="1" customWidth="1"/>
    <col min="4353" max="4353" width="18.88671875" style="81" customWidth="1"/>
    <col min="4354" max="4598" width="11.5546875" style="81"/>
    <col min="4599" max="4599" width="2.109375" style="81" customWidth="1"/>
    <col min="4600" max="4600" width="10" style="81" bestFit="1" customWidth="1"/>
    <col min="4601" max="4601" width="13" style="81" customWidth="1"/>
    <col min="4602" max="4603" width="11.5546875" style="81"/>
    <col min="4604" max="4604" width="11" style="81" bestFit="1" customWidth="1"/>
    <col min="4605" max="4605" width="11.5546875" style="81"/>
    <col min="4606" max="4606" width="12.88671875" style="81" customWidth="1"/>
    <col min="4607" max="4607" width="11.5546875" style="81"/>
    <col min="4608" max="4608" width="12.33203125" style="81" bestFit="1" customWidth="1"/>
    <col min="4609" max="4609" width="18.88671875" style="81" customWidth="1"/>
    <col min="4610" max="4854" width="11.5546875" style="81"/>
    <col min="4855" max="4855" width="2.109375" style="81" customWidth="1"/>
    <col min="4856" max="4856" width="10" style="81" bestFit="1" customWidth="1"/>
    <col min="4857" max="4857" width="13" style="81" customWidth="1"/>
    <col min="4858" max="4859" width="11.5546875" style="81"/>
    <col min="4860" max="4860" width="11" style="81" bestFit="1" customWidth="1"/>
    <col min="4861" max="4861" width="11.5546875" style="81"/>
    <col min="4862" max="4862" width="12.88671875" style="81" customWidth="1"/>
    <col min="4863" max="4863" width="11.5546875" style="81"/>
    <col min="4864" max="4864" width="12.33203125" style="81" bestFit="1" customWidth="1"/>
    <col min="4865" max="4865" width="18.88671875" style="81" customWidth="1"/>
    <col min="4866" max="5110" width="11.5546875" style="81"/>
    <col min="5111" max="5111" width="2.109375" style="81" customWidth="1"/>
    <col min="5112" max="5112" width="10" style="81" bestFit="1" customWidth="1"/>
    <col min="5113" max="5113" width="13" style="81" customWidth="1"/>
    <col min="5114" max="5115" width="11.5546875" style="81"/>
    <col min="5116" max="5116" width="11" style="81" bestFit="1" customWidth="1"/>
    <col min="5117" max="5117" width="11.5546875" style="81"/>
    <col min="5118" max="5118" width="12.88671875" style="81" customWidth="1"/>
    <col min="5119" max="5119" width="11.5546875" style="81"/>
    <col min="5120" max="5120" width="12.33203125" style="81" bestFit="1" customWidth="1"/>
    <col min="5121" max="5121" width="18.88671875" style="81" customWidth="1"/>
    <col min="5122" max="5366" width="11.5546875" style="81"/>
    <col min="5367" max="5367" width="2.109375" style="81" customWidth="1"/>
    <col min="5368" max="5368" width="10" style="81" bestFit="1" customWidth="1"/>
    <col min="5369" max="5369" width="13" style="81" customWidth="1"/>
    <col min="5370" max="5371" width="11.5546875" style="81"/>
    <col min="5372" max="5372" width="11" style="81" bestFit="1" customWidth="1"/>
    <col min="5373" max="5373" width="11.5546875" style="81"/>
    <col min="5374" max="5374" width="12.88671875" style="81" customWidth="1"/>
    <col min="5375" max="5375" width="11.5546875" style="81"/>
    <col min="5376" max="5376" width="12.33203125" style="81" bestFit="1" customWidth="1"/>
    <col min="5377" max="5377" width="18.88671875" style="81" customWidth="1"/>
    <col min="5378" max="5622" width="11.5546875" style="81"/>
    <col min="5623" max="5623" width="2.109375" style="81" customWidth="1"/>
    <col min="5624" max="5624" width="10" style="81" bestFit="1" customWidth="1"/>
    <col min="5625" max="5625" width="13" style="81" customWidth="1"/>
    <col min="5626" max="5627" width="11.5546875" style="81"/>
    <col min="5628" max="5628" width="11" style="81" bestFit="1" customWidth="1"/>
    <col min="5629" max="5629" width="11.5546875" style="81"/>
    <col min="5630" max="5630" width="12.88671875" style="81" customWidth="1"/>
    <col min="5631" max="5631" width="11.5546875" style="81"/>
    <col min="5632" max="5632" width="12.33203125" style="81" bestFit="1" customWidth="1"/>
    <col min="5633" max="5633" width="18.88671875" style="81" customWidth="1"/>
    <col min="5634" max="5878" width="11.5546875" style="81"/>
    <col min="5879" max="5879" width="2.109375" style="81" customWidth="1"/>
    <col min="5880" max="5880" width="10" style="81" bestFit="1" customWidth="1"/>
    <col min="5881" max="5881" width="13" style="81" customWidth="1"/>
    <col min="5882" max="5883" width="11.5546875" style="81"/>
    <col min="5884" max="5884" width="11" style="81" bestFit="1" customWidth="1"/>
    <col min="5885" max="5885" width="11.5546875" style="81"/>
    <col min="5886" max="5886" width="12.88671875" style="81" customWidth="1"/>
    <col min="5887" max="5887" width="11.5546875" style="81"/>
    <col min="5888" max="5888" width="12.33203125" style="81" bestFit="1" customWidth="1"/>
    <col min="5889" max="5889" width="18.88671875" style="81" customWidth="1"/>
    <col min="5890" max="6134" width="11.5546875" style="81"/>
    <col min="6135" max="6135" width="2.109375" style="81" customWidth="1"/>
    <col min="6136" max="6136" width="10" style="81" bestFit="1" customWidth="1"/>
    <col min="6137" max="6137" width="13" style="81" customWidth="1"/>
    <col min="6138" max="6139" width="11.5546875" style="81"/>
    <col min="6140" max="6140" width="11" style="81" bestFit="1" customWidth="1"/>
    <col min="6141" max="6141" width="11.5546875" style="81"/>
    <col min="6142" max="6142" width="12.88671875" style="81" customWidth="1"/>
    <col min="6143" max="6143" width="11.5546875" style="81"/>
    <col min="6144" max="6144" width="12.33203125" style="81" bestFit="1" customWidth="1"/>
    <col min="6145" max="6145" width="18.88671875" style="81" customWidth="1"/>
    <col min="6146" max="6390" width="11.5546875" style="81"/>
    <col min="6391" max="6391" width="2.109375" style="81" customWidth="1"/>
    <col min="6392" max="6392" width="10" style="81" bestFit="1" customWidth="1"/>
    <col min="6393" max="6393" width="13" style="81" customWidth="1"/>
    <col min="6394" max="6395" width="11.5546875" style="81"/>
    <col min="6396" max="6396" width="11" style="81" bestFit="1" customWidth="1"/>
    <col min="6397" max="6397" width="11.5546875" style="81"/>
    <col min="6398" max="6398" width="12.88671875" style="81" customWidth="1"/>
    <col min="6399" max="6399" width="11.5546875" style="81"/>
    <col min="6400" max="6400" width="12.33203125" style="81" bestFit="1" customWidth="1"/>
    <col min="6401" max="6401" width="18.88671875" style="81" customWidth="1"/>
    <col min="6402" max="6646" width="11.5546875" style="81"/>
    <col min="6647" max="6647" width="2.109375" style="81" customWidth="1"/>
    <col min="6648" max="6648" width="10" style="81" bestFit="1" customWidth="1"/>
    <col min="6649" max="6649" width="13" style="81" customWidth="1"/>
    <col min="6650" max="6651" width="11.5546875" style="81"/>
    <col min="6652" max="6652" width="11" style="81" bestFit="1" customWidth="1"/>
    <col min="6653" max="6653" width="11.5546875" style="81"/>
    <col min="6654" max="6654" width="12.88671875" style="81" customWidth="1"/>
    <col min="6655" max="6655" width="11.5546875" style="81"/>
    <col min="6656" max="6656" width="12.33203125" style="81" bestFit="1" customWidth="1"/>
    <col min="6657" max="6657" width="18.88671875" style="81" customWidth="1"/>
    <col min="6658" max="6902" width="11.5546875" style="81"/>
    <col min="6903" max="6903" width="2.109375" style="81" customWidth="1"/>
    <col min="6904" max="6904" width="10" style="81" bestFit="1" customWidth="1"/>
    <col min="6905" max="6905" width="13" style="81" customWidth="1"/>
    <col min="6906" max="6907" width="11.5546875" style="81"/>
    <col min="6908" max="6908" width="11" style="81" bestFit="1" customWidth="1"/>
    <col min="6909" max="6909" width="11.5546875" style="81"/>
    <col min="6910" max="6910" width="12.88671875" style="81" customWidth="1"/>
    <col min="6911" max="6911" width="11.5546875" style="81"/>
    <col min="6912" max="6912" width="12.33203125" style="81" bestFit="1" customWidth="1"/>
    <col min="6913" max="6913" width="18.88671875" style="81" customWidth="1"/>
    <col min="6914" max="7158" width="11.5546875" style="81"/>
    <col min="7159" max="7159" width="2.109375" style="81" customWidth="1"/>
    <col min="7160" max="7160" width="10" style="81" bestFit="1" customWidth="1"/>
    <col min="7161" max="7161" width="13" style="81" customWidth="1"/>
    <col min="7162" max="7163" width="11.5546875" style="81"/>
    <col min="7164" max="7164" width="11" style="81" bestFit="1" customWidth="1"/>
    <col min="7165" max="7165" width="11.5546875" style="81"/>
    <col min="7166" max="7166" width="12.88671875" style="81" customWidth="1"/>
    <col min="7167" max="7167" width="11.5546875" style="81"/>
    <col min="7168" max="7168" width="12.33203125" style="81" bestFit="1" customWidth="1"/>
    <col min="7169" max="7169" width="18.88671875" style="81" customWidth="1"/>
    <col min="7170" max="7414" width="11.5546875" style="81"/>
    <col min="7415" max="7415" width="2.109375" style="81" customWidth="1"/>
    <col min="7416" max="7416" width="10" style="81" bestFit="1" customWidth="1"/>
    <col min="7417" max="7417" width="13" style="81" customWidth="1"/>
    <col min="7418" max="7419" width="11.5546875" style="81"/>
    <col min="7420" max="7420" width="11" style="81" bestFit="1" customWidth="1"/>
    <col min="7421" max="7421" width="11.5546875" style="81"/>
    <col min="7422" max="7422" width="12.88671875" style="81" customWidth="1"/>
    <col min="7423" max="7423" width="11.5546875" style="81"/>
    <col min="7424" max="7424" width="12.33203125" style="81" bestFit="1" customWidth="1"/>
    <col min="7425" max="7425" width="18.88671875" style="81" customWidth="1"/>
    <col min="7426" max="7670" width="11.5546875" style="81"/>
    <col min="7671" max="7671" width="2.109375" style="81" customWidth="1"/>
    <col min="7672" max="7672" width="10" style="81" bestFit="1" customWidth="1"/>
    <col min="7673" max="7673" width="13" style="81" customWidth="1"/>
    <col min="7674" max="7675" width="11.5546875" style="81"/>
    <col min="7676" max="7676" width="11" style="81" bestFit="1" customWidth="1"/>
    <col min="7677" max="7677" width="11.5546875" style="81"/>
    <col min="7678" max="7678" width="12.88671875" style="81" customWidth="1"/>
    <col min="7679" max="7679" width="11.5546875" style="81"/>
    <col min="7680" max="7680" width="12.33203125" style="81" bestFit="1" customWidth="1"/>
    <col min="7681" max="7681" width="18.88671875" style="81" customWidth="1"/>
    <col min="7682" max="7926" width="11.5546875" style="81"/>
    <col min="7927" max="7927" width="2.109375" style="81" customWidth="1"/>
    <col min="7928" max="7928" width="10" style="81" bestFit="1" customWidth="1"/>
    <col min="7929" max="7929" width="13" style="81" customWidth="1"/>
    <col min="7930" max="7931" width="11.5546875" style="81"/>
    <col min="7932" max="7932" width="11" style="81" bestFit="1" customWidth="1"/>
    <col min="7933" max="7933" width="11.5546875" style="81"/>
    <col min="7934" max="7934" width="12.88671875" style="81" customWidth="1"/>
    <col min="7935" max="7935" width="11.5546875" style="81"/>
    <col min="7936" max="7936" width="12.33203125" style="81" bestFit="1" customWidth="1"/>
    <col min="7937" max="7937" width="18.88671875" style="81" customWidth="1"/>
    <col min="7938" max="8182" width="11.5546875" style="81"/>
    <col min="8183" max="8183" width="2.109375" style="81" customWidth="1"/>
    <col min="8184" max="8184" width="10" style="81" bestFit="1" customWidth="1"/>
    <col min="8185" max="8185" width="13" style="81" customWidth="1"/>
    <col min="8186" max="8187" width="11.5546875" style="81"/>
    <col min="8188" max="8188" width="11" style="81" bestFit="1" customWidth="1"/>
    <col min="8189" max="8189" width="11.5546875" style="81"/>
    <col min="8190" max="8190" width="12.88671875" style="81" customWidth="1"/>
    <col min="8191" max="8191" width="11.5546875" style="81"/>
    <col min="8192" max="8192" width="12.33203125" style="81" bestFit="1" customWidth="1"/>
    <col min="8193" max="8193" width="18.88671875" style="81" customWidth="1"/>
    <col min="8194" max="8438" width="11.5546875" style="81"/>
    <col min="8439" max="8439" width="2.109375" style="81" customWidth="1"/>
    <col min="8440" max="8440" width="10" style="81" bestFit="1" customWidth="1"/>
    <col min="8441" max="8441" width="13" style="81" customWidth="1"/>
    <col min="8442" max="8443" width="11.5546875" style="81"/>
    <col min="8444" max="8444" width="11" style="81" bestFit="1" customWidth="1"/>
    <col min="8445" max="8445" width="11.5546875" style="81"/>
    <col min="8446" max="8446" width="12.88671875" style="81" customWidth="1"/>
    <col min="8447" max="8447" width="11.5546875" style="81"/>
    <col min="8448" max="8448" width="12.33203125" style="81" bestFit="1" customWidth="1"/>
    <col min="8449" max="8449" width="18.88671875" style="81" customWidth="1"/>
    <col min="8450" max="8694" width="11.5546875" style="81"/>
    <col min="8695" max="8695" width="2.109375" style="81" customWidth="1"/>
    <col min="8696" max="8696" width="10" style="81" bestFit="1" customWidth="1"/>
    <col min="8697" max="8697" width="13" style="81" customWidth="1"/>
    <col min="8698" max="8699" width="11.5546875" style="81"/>
    <col min="8700" max="8700" width="11" style="81" bestFit="1" customWidth="1"/>
    <col min="8701" max="8701" width="11.5546875" style="81"/>
    <col min="8702" max="8702" width="12.88671875" style="81" customWidth="1"/>
    <col min="8703" max="8703" width="11.5546875" style="81"/>
    <col min="8704" max="8704" width="12.33203125" style="81" bestFit="1" customWidth="1"/>
    <col min="8705" max="8705" width="18.88671875" style="81" customWidth="1"/>
    <col min="8706" max="8950" width="11.5546875" style="81"/>
    <col min="8951" max="8951" width="2.109375" style="81" customWidth="1"/>
    <col min="8952" max="8952" width="10" style="81" bestFit="1" customWidth="1"/>
    <col min="8953" max="8953" width="13" style="81" customWidth="1"/>
    <col min="8954" max="8955" width="11.5546875" style="81"/>
    <col min="8956" max="8956" width="11" style="81" bestFit="1" customWidth="1"/>
    <col min="8957" max="8957" width="11.5546875" style="81"/>
    <col min="8958" max="8958" width="12.88671875" style="81" customWidth="1"/>
    <col min="8959" max="8959" width="11.5546875" style="81"/>
    <col min="8960" max="8960" width="12.33203125" style="81" bestFit="1" customWidth="1"/>
    <col min="8961" max="8961" width="18.88671875" style="81" customWidth="1"/>
    <col min="8962" max="9206" width="11.5546875" style="81"/>
    <col min="9207" max="9207" width="2.109375" style="81" customWidth="1"/>
    <col min="9208" max="9208" width="10" style="81" bestFit="1" customWidth="1"/>
    <col min="9209" max="9209" width="13" style="81" customWidth="1"/>
    <col min="9210" max="9211" width="11.5546875" style="81"/>
    <col min="9212" max="9212" width="11" style="81" bestFit="1" customWidth="1"/>
    <col min="9213" max="9213" width="11.5546875" style="81"/>
    <col min="9214" max="9214" width="12.88671875" style="81" customWidth="1"/>
    <col min="9215" max="9215" width="11.5546875" style="81"/>
    <col min="9216" max="9216" width="12.33203125" style="81" bestFit="1" customWidth="1"/>
    <col min="9217" max="9217" width="18.88671875" style="81" customWidth="1"/>
    <col min="9218" max="9462" width="11.5546875" style="81"/>
    <col min="9463" max="9463" width="2.109375" style="81" customWidth="1"/>
    <col min="9464" max="9464" width="10" style="81" bestFit="1" customWidth="1"/>
    <col min="9465" max="9465" width="13" style="81" customWidth="1"/>
    <col min="9466" max="9467" width="11.5546875" style="81"/>
    <col min="9468" max="9468" width="11" style="81" bestFit="1" customWidth="1"/>
    <col min="9469" max="9469" width="11.5546875" style="81"/>
    <col min="9470" max="9470" width="12.88671875" style="81" customWidth="1"/>
    <col min="9471" max="9471" width="11.5546875" style="81"/>
    <col min="9472" max="9472" width="12.33203125" style="81" bestFit="1" customWidth="1"/>
    <col min="9473" max="9473" width="18.88671875" style="81" customWidth="1"/>
    <col min="9474" max="9718" width="11.5546875" style="81"/>
    <col min="9719" max="9719" width="2.109375" style="81" customWidth="1"/>
    <col min="9720" max="9720" width="10" style="81" bestFit="1" customWidth="1"/>
    <col min="9721" max="9721" width="13" style="81" customWidth="1"/>
    <col min="9722" max="9723" width="11.5546875" style="81"/>
    <col min="9724" max="9724" width="11" style="81" bestFit="1" customWidth="1"/>
    <col min="9725" max="9725" width="11.5546875" style="81"/>
    <col min="9726" max="9726" width="12.88671875" style="81" customWidth="1"/>
    <col min="9727" max="9727" width="11.5546875" style="81"/>
    <col min="9728" max="9728" width="12.33203125" style="81" bestFit="1" customWidth="1"/>
    <col min="9729" max="9729" width="18.88671875" style="81" customWidth="1"/>
    <col min="9730" max="9974" width="11.5546875" style="81"/>
    <col min="9975" max="9975" width="2.109375" style="81" customWidth="1"/>
    <col min="9976" max="9976" width="10" style="81" bestFit="1" customWidth="1"/>
    <col min="9977" max="9977" width="13" style="81" customWidth="1"/>
    <col min="9978" max="9979" width="11.5546875" style="81"/>
    <col min="9980" max="9980" width="11" style="81" bestFit="1" customWidth="1"/>
    <col min="9981" max="9981" width="11.5546875" style="81"/>
    <col min="9982" max="9982" width="12.88671875" style="81" customWidth="1"/>
    <col min="9983" max="9983" width="11.5546875" style="81"/>
    <col min="9984" max="9984" width="12.33203125" style="81" bestFit="1" customWidth="1"/>
    <col min="9985" max="9985" width="18.88671875" style="81" customWidth="1"/>
    <col min="9986" max="10230" width="11.5546875" style="81"/>
    <col min="10231" max="10231" width="2.109375" style="81" customWidth="1"/>
    <col min="10232" max="10232" width="10" style="81" bestFit="1" customWidth="1"/>
    <col min="10233" max="10233" width="13" style="81" customWidth="1"/>
    <col min="10234" max="10235" width="11.5546875" style="81"/>
    <col min="10236" max="10236" width="11" style="81" bestFit="1" customWidth="1"/>
    <col min="10237" max="10237" width="11.5546875" style="81"/>
    <col min="10238" max="10238" width="12.88671875" style="81" customWidth="1"/>
    <col min="10239" max="10239" width="11.5546875" style="81"/>
    <col min="10240" max="10240" width="12.33203125" style="81" bestFit="1" customWidth="1"/>
    <col min="10241" max="10241" width="18.88671875" style="81" customWidth="1"/>
    <col min="10242" max="10486" width="11.5546875" style="81"/>
    <col min="10487" max="10487" width="2.109375" style="81" customWidth="1"/>
    <col min="10488" max="10488" width="10" style="81" bestFit="1" customWidth="1"/>
    <col min="10489" max="10489" width="13" style="81" customWidth="1"/>
    <col min="10490" max="10491" width="11.5546875" style="81"/>
    <col min="10492" max="10492" width="11" style="81" bestFit="1" customWidth="1"/>
    <col min="10493" max="10493" width="11.5546875" style="81"/>
    <col min="10494" max="10494" width="12.88671875" style="81" customWidth="1"/>
    <col min="10495" max="10495" width="11.5546875" style="81"/>
    <col min="10496" max="10496" width="12.33203125" style="81" bestFit="1" customWidth="1"/>
    <col min="10497" max="10497" width="18.88671875" style="81" customWidth="1"/>
    <col min="10498" max="10742" width="11.5546875" style="81"/>
    <col min="10743" max="10743" width="2.109375" style="81" customWidth="1"/>
    <col min="10744" max="10744" width="10" style="81" bestFit="1" customWidth="1"/>
    <col min="10745" max="10745" width="13" style="81" customWidth="1"/>
    <col min="10746" max="10747" width="11.5546875" style="81"/>
    <col min="10748" max="10748" width="11" style="81" bestFit="1" customWidth="1"/>
    <col min="10749" max="10749" width="11.5546875" style="81"/>
    <col min="10750" max="10750" width="12.88671875" style="81" customWidth="1"/>
    <col min="10751" max="10751" width="11.5546875" style="81"/>
    <col min="10752" max="10752" width="12.33203125" style="81" bestFit="1" customWidth="1"/>
    <col min="10753" max="10753" width="18.88671875" style="81" customWidth="1"/>
    <col min="10754" max="10998" width="11.5546875" style="81"/>
    <col min="10999" max="10999" width="2.109375" style="81" customWidth="1"/>
    <col min="11000" max="11000" width="10" style="81" bestFit="1" customWidth="1"/>
    <col min="11001" max="11001" width="13" style="81" customWidth="1"/>
    <col min="11002" max="11003" width="11.5546875" style="81"/>
    <col min="11004" max="11004" width="11" style="81" bestFit="1" customWidth="1"/>
    <col min="11005" max="11005" width="11.5546875" style="81"/>
    <col min="11006" max="11006" width="12.88671875" style="81" customWidth="1"/>
    <col min="11007" max="11007" width="11.5546875" style="81"/>
    <col min="11008" max="11008" width="12.33203125" style="81" bestFit="1" customWidth="1"/>
    <col min="11009" max="11009" width="18.88671875" style="81" customWidth="1"/>
    <col min="11010" max="11254" width="11.5546875" style="81"/>
    <col min="11255" max="11255" width="2.109375" style="81" customWidth="1"/>
    <col min="11256" max="11256" width="10" style="81" bestFit="1" customWidth="1"/>
    <col min="11257" max="11257" width="13" style="81" customWidth="1"/>
    <col min="11258" max="11259" width="11.5546875" style="81"/>
    <col min="11260" max="11260" width="11" style="81" bestFit="1" customWidth="1"/>
    <col min="11261" max="11261" width="11.5546875" style="81"/>
    <col min="11262" max="11262" width="12.88671875" style="81" customWidth="1"/>
    <col min="11263" max="11263" width="11.5546875" style="81"/>
    <col min="11264" max="11264" width="12.33203125" style="81" bestFit="1" customWidth="1"/>
    <col min="11265" max="11265" width="18.88671875" style="81" customWidth="1"/>
    <col min="11266" max="11510" width="11.5546875" style="81"/>
    <col min="11511" max="11511" width="2.109375" style="81" customWidth="1"/>
    <col min="11512" max="11512" width="10" style="81" bestFit="1" customWidth="1"/>
    <col min="11513" max="11513" width="13" style="81" customWidth="1"/>
    <col min="11514" max="11515" width="11.5546875" style="81"/>
    <col min="11516" max="11516" width="11" style="81" bestFit="1" customWidth="1"/>
    <col min="11517" max="11517" width="11.5546875" style="81"/>
    <col min="11518" max="11518" width="12.88671875" style="81" customWidth="1"/>
    <col min="11519" max="11519" width="11.5546875" style="81"/>
    <col min="11520" max="11520" width="12.33203125" style="81" bestFit="1" customWidth="1"/>
    <col min="11521" max="11521" width="18.88671875" style="81" customWidth="1"/>
    <col min="11522" max="11766" width="11.5546875" style="81"/>
    <col min="11767" max="11767" width="2.109375" style="81" customWidth="1"/>
    <col min="11768" max="11768" width="10" style="81" bestFit="1" customWidth="1"/>
    <col min="11769" max="11769" width="13" style="81" customWidth="1"/>
    <col min="11770" max="11771" width="11.5546875" style="81"/>
    <col min="11772" max="11772" width="11" style="81" bestFit="1" customWidth="1"/>
    <col min="11773" max="11773" width="11.5546875" style="81"/>
    <col min="11774" max="11774" width="12.88671875" style="81" customWidth="1"/>
    <col min="11775" max="11775" width="11.5546875" style="81"/>
    <col min="11776" max="11776" width="12.33203125" style="81" bestFit="1" customWidth="1"/>
    <col min="11777" max="11777" width="18.88671875" style="81" customWidth="1"/>
    <col min="11778" max="12022" width="11.5546875" style="81"/>
    <col min="12023" max="12023" width="2.109375" style="81" customWidth="1"/>
    <col min="12024" max="12024" width="10" style="81" bestFit="1" customWidth="1"/>
    <col min="12025" max="12025" width="13" style="81" customWidth="1"/>
    <col min="12026" max="12027" width="11.5546875" style="81"/>
    <col min="12028" max="12028" width="11" style="81" bestFit="1" customWidth="1"/>
    <col min="12029" max="12029" width="11.5546875" style="81"/>
    <col min="12030" max="12030" width="12.88671875" style="81" customWidth="1"/>
    <col min="12031" max="12031" width="11.5546875" style="81"/>
    <col min="12032" max="12032" width="12.33203125" style="81" bestFit="1" customWidth="1"/>
    <col min="12033" max="12033" width="18.88671875" style="81" customWidth="1"/>
    <col min="12034" max="12278" width="11.5546875" style="81"/>
    <col min="12279" max="12279" width="2.109375" style="81" customWidth="1"/>
    <col min="12280" max="12280" width="10" style="81" bestFit="1" customWidth="1"/>
    <col min="12281" max="12281" width="13" style="81" customWidth="1"/>
    <col min="12282" max="12283" width="11.5546875" style="81"/>
    <col min="12284" max="12284" width="11" style="81" bestFit="1" customWidth="1"/>
    <col min="12285" max="12285" width="11.5546875" style="81"/>
    <col min="12286" max="12286" width="12.88671875" style="81" customWidth="1"/>
    <col min="12287" max="12287" width="11.5546875" style="81"/>
    <col min="12288" max="12288" width="12.33203125" style="81" bestFit="1" customWidth="1"/>
    <col min="12289" max="12289" width="18.88671875" style="81" customWidth="1"/>
    <col min="12290" max="12534" width="11.5546875" style="81"/>
    <col min="12535" max="12535" width="2.109375" style="81" customWidth="1"/>
    <col min="12536" max="12536" width="10" style="81" bestFit="1" customWidth="1"/>
    <col min="12537" max="12537" width="13" style="81" customWidth="1"/>
    <col min="12538" max="12539" width="11.5546875" style="81"/>
    <col min="12540" max="12540" width="11" style="81" bestFit="1" customWidth="1"/>
    <col min="12541" max="12541" width="11.5546875" style="81"/>
    <col min="12542" max="12542" width="12.88671875" style="81" customWidth="1"/>
    <col min="12543" max="12543" width="11.5546875" style="81"/>
    <col min="12544" max="12544" width="12.33203125" style="81" bestFit="1" customWidth="1"/>
    <col min="12545" max="12545" width="18.88671875" style="81" customWidth="1"/>
    <col min="12546" max="12790" width="11.5546875" style="81"/>
    <col min="12791" max="12791" width="2.109375" style="81" customWidth="1"/>
    <col min="12792" max="12792" width="10" style="81" bestFit="1" customWidth="1"/>
    <col min="12793" max="12793" width="13" style="81" customWidth="1"/>
    <col min="12794" max="12795" width="11.5546875" style="81"/>
    <col min="12796" max="12796" width="11" style="81" bestFit="1" customWidth="1"/>
    <col min="12797" max="12797" width="11.5546875" style="81"/>
    <col min="12798" max="12798" width="12.88671875" style="81" customWidth="1"/>
    <col min="12799" max="12799" width="11.5546875" style="81"/>
    <col min="12800" max="12800" width="12.33203125" style="81" bestFit="1" customWidth="1"/>
    <col min="12801" max="12801" width="18.88671875" style="81" customWidth="1"/>
    <col min="12802" max="13046" width="11.5546875" style="81"/>
    <col min="13047" max="13047" width="2.109375" style="81" customWidth="1"/>
    <col min="13048" max="13048" width="10" style="81" bestFit="1" customWidth="1"/>
    <col min="13049" max="13049" width="13" style="81" customWidth="1"/>
    <col min="13050" max="13051" width="11.5546875" style="81"/>
    <col min="13052" max="13052" width="11" style="81" bestFit="1" customWidth="1"/>
    <col min="13053" max="13053" width="11.5546875" style="81"/>
    <col min="13054" max="13054" width="12.88671875" style="81" customWidth="1"/>
    <col min="13055" max="13055" width="11.5546875" style="81"/>
    <col min="13056" max="13056" width="12.33203125" style="81" bestFit="1" customWidth="1"/>
    <col min="13057" max="13057" width="18.88671875" style="81" customWidth="1"/>
    <col min="13058" max="13302" width="11.5546875" style="81"/>
    <col min="13303" max="13303" width="2.109375" style="81" customWidth="1"/>
    <col min="13304" max="13304" width="10" style="81" bestFit="1" customWidth="1"/>
    <col min="13305" max="13305" width="13" style="81" customWidth="1"/>
    <col min="13306" max="13307" width="11.5546875" style="81"/>
    <col min="13308" max="13308" width="11" style="81" bestFit="1" customWidth="1"/>
    <col min="13309" max="13309" width="11.5546875" style="81"/>
    <col min="13310" max="13310" width="12.88671875" style="81" customWidth="1"/>
    <col min="13311" max="13311" width="11.5546875" style="81"/>
    <col min="13312" max="13312" width="12.33203125" style="81" bestFit="1" customWidth="1"/>
    <col min="13313" max="13313" width="18.88671875" style="81" customWidth="1"/>
    <col min="13314" max="13558" width="11.5546875" style="81"/>
    <col min="13559" max="13559" width="2.109375" style="81" customWidth="1"/>
    <col min="13560" max="13560" width="10" style="81" bestFit="1" customWidth="1"/>
    <col min="13561" max="13561" width="13" style="81" customWidth="1"/>
    <col min="13562" max="13563" width="11.5546875" style="81"/>
    <col min="13564" max="13564" width="11" style="81" bestFit="1" customWidth="1"/>
    <col min="13565" max="13565" width="11.5546875" style="81"/>
    <col min="13566" max="13566" width="12.88671875" style="81" customWidth="1"/>
    <col min="13567" max="13567" width="11.5546875" style="81"/>
    <col min="13568" max="13568" width="12.33203125" style="81" bestFit="1" customWidth="1"/>
    <col min="13569" max="13569" width="18.88671875" style="81" customWidth="1"/>
    <col min="13570" max="13814" width="11.5546875" style="81"/>
    <col min="13815" max="13815" width="2.109375" style="81" customWidth="1"/>
    <col min="13816" max="13816" width="10" style="81" bestFit="1" customWidth="1"/>
    <col min="13817" max="13817" width="13" style="81" customWidth="1"/>
    <col min="13818" max="13819" width="11.5546875" style="81"/>
    <col min="13820" max="13820" width="11" style="81" bestFit="1" customWidth="1"/>
    <col min="13821" max="13821" width="11.5546875" style="81"/>
    <col min="13822" max="13822" width="12.88671875" style="81" customWidth="1"/>
    <col min="13823" max="13823" width="11.5546875" style="81"/>
    <col min="13824" max="13824" width="12.33203125" style="81" bestFit="1" customWidth="1"/>
    <col min="13825" max="13825" width="18.88671875" style="81" customWidth="1"/>
    <col min="13826" max="14070" width="11.5546875" style="81"/>
    <col min="14071" max="14071" width="2.109375" style="81" customWidth="1"/>
    <col min="14072" max="14072" width="10" style="81" bestFit="1" customWidth="1"/>
    <col min="14073" max="14073" width="13" style="81" customWidth="1"/>
    <col min="14074" max="14075" width="11.5546875" style="81"/>
    <col min="14076" max="14076" width="11" style="81" bestFit="1" customWidth="1"/>
    <col min="14077" max="14077" width="11.5546875" style="81"/>
    <col min="14078" max="14078" width="12.88671875" style="81" customWidth="1"/>
    <col min="14079" max="14079" width="11.5546875" style="81"/>
    <col min="14080" max="14080" width="12.33203125" style="81" bestFit="1" customWidth="1"/>
    <col min="14081" max="14081" width="18.88671875" style="81" customWidth="1"/>
    <col min="14082" max="14326" width="11.5546875" style="81"/>
    <col min="14327" max="14327" width="2.109375" style="81" customWidth="1"/>
    <col min="14328" max="14328" width="10" style="81" bestFit="1" customWidth="1"/>
    <col min="14329" max="14329" width="13" style="81" customWidth="1"/>
    <col min="14330" max="14331" width="11.5546875" style="81"/>
    <col min="14332" max="14332" width="11" style="81" bestFit="1" customWidth="1"/>
    <col min="14333" max="14333" width="11.5546875" style="81"/>
    <col min="14334" max="14334" width="12.88671875" style="81" customWidth="1"/>
    <col min="14335" max="14335" width="11.5546875" style="81"/>
    <col min="14336" max="14336" width="12.33203125" style="81" bestFit="1" customWidth="1"/>
    <col min="14337" max="14337" width="18.88671875" style="81" customWidth="1"/>
    <col min="14338" max="14582" width="11.5546875" style="81"/>
    <col min="14583" max="14583" width="2.109375" style="81" customWidth="1"/>
    <col min="14584" max="14584" width="10" style="81" bestFit="1" customWidth="1"/>
    <col min="14585" max="14585" width="13" style="81" customWidth="1"/>
    <col min="14586" max="14587" width="11.5546875" style="81"/>
    <col min="14588" max="14588" width="11" style="81" bestFit="1" customWidth="1"/>
    <col min="14589" max="14589" width="11.5546875" style="81"/>
    <col min="14590" max="14590" width="12.88671875" style="81" customWidth="1"/>
    <col min="14591" max="14591" width="11.5546875" style="81"/>
    <col min="14592" max="14592" width="12.33203125" style="81" bestFit="1" customWidth="1"/>
    <col min="14593" max="14593" width="18.88671875" style="81" customWidth="1"/>
    <col min="14594" max="14838" width="11.5546875" style="81"/>
    <col min="14839" max="14839" width="2.109375" style="81" customWidth="1"/>
    <col min="14840" max="14840" width="10" style="81" bestFit="1" customWidth="1"/>
    <col min="14841" max="14841" width="13" style="81" customWidth="1"/>
    <col min="14842" max="14843" width="11.5546875" style="81"/>
    <col min="14844" max="14844" width="11" style="81" bestFit="1" customWidth="1"/>
    <col min="14845" max="14845" width="11.5546875" style="81"/>
    <col min="14846" max="14846" width="12.88671875" style="81" customWidth="1"/>
    <col min="14847" max="14847" width="11.5546875" style="81"/>
    <col min="14848" max="14848" width="12.33203125" style="81" bestFit="1" customWidth="1"/>
    <col min="14849" max="14849" width="18.88671875" style="81" customWidth="1"/>
    <col min="14850" max="15094" width="11.5546875" style="81"/>
    <col min="15095" max="15095" width="2.109375" style="81" customWidth="1"/>
    <col min="15096" max="15096" width="10" style="81" bestFit="1" customWidth="1"/>
    <col min="15097" max="15097" width="13" style="81" customWidth="1"/>
    <col min="15098" max="15099" width="11.5546875" style="81"/>
    <col min="15100" max="15100" width="11" style="81" bestFit="1" customWidth="1"/>
    <col min="15101" max="15101" width="11.5546875" style="81"/>
    <col min="15102" max="15102" width="12.88671875" style="81" customWidth="1"/>
    <col min="15103" max="15103" width="11.5546875" style="81"/>
    <col min="15104" max="15104" width="12.33203125" style="81" bestFit="1" customWidth="1"/>
    <col min="15105" max="15105" width="18.88671875" style="81" customWidth="1"/>
    <col min="15106" max="15350" width="11.5546875" style="81"/>
    <col min="15351" max="15351" width="2.109375" style="81" customWidth="1"/>
    <col min="15352" max="15352" width="10" style="81" bestFit="1" customWidth="1"/>
    <col min="15353" max="15353" width="13" style="81" customWidth="1"/>
    <col min="15354" max="15355" width="11.5546875" style="81"/>
    <col min="15356" max="15356" width="11" style="81" bestFit="1" customWidth="1"/>
    <col min="15357" max="15357" width="11.5546875" style="81"/>
    <col min="15358" max="15358" width="12.88671875" style="81" customWidth="1"/>
    <col min="15359" max="15359" width="11.5546875" style="81"/>
    <col min="15360" max="15360" width="12.33203125" style="81" bestFit="1" customWidth="1"/>
    <col min="15361" max="15361" width="18.88671875" style="81" customWidth="1"/>
    <col min="15362" max="15606" width="11.5546875" style="81"/>
    <col min="15607" max="15607" width="2.109375" style="81" customWidth="1"/>
    <col min="15608" max="15608" width="10" style="81" bestFit="1" customWidth="1"/>
    <col min="15609" max="15609" width="13" style="81" customWidth="1"/>
    <col min="15610" max="15611" width="11.5546875" style="81"/>
    <col min="15612" max="15612" width="11" style="81" bestFit="1" customWidth="1"/>
    <col min="15613" max="15613" width="11.5546875" style="81"/>
    <col min="15614" max="15614" width="12.88671875" style="81" customWidth="1"/>
    <col min="15615" max="15615" width="11.5546875" style="81"/>
    <col min="15616" max="15616" width="12.33203125" style="81" bestFit="1" customWidth="1"/>
    <col min="15617" max="15617" width="18.88671875" style="81" customWidth="1"/>
    <col min="15618" max="15862" width="11.5546875" style="81"/>
    <col min="15863" max="15863" width="2.109375" style="81" customWidth="1"/>
    <col min="15864" max="15864" width="10" style="81" bestFit="1" customWidth="1"/>
    <col min="15865" max="15865" width="13" style="81" customWidth="1"/>
    <col min="15866" max="15867" width="11.5546875" style="81"/>
    <col min="15868" max="15868" width="11" style="81" bestFit="1" customWidth="1"/>
    <col min="15869" max="15869" width="11.5546875" style="81"/>
    <col min="15870" max="15870" width="12.88671875" style="81" customWidth="1"/>
    <col min="15871" max="15871" width="11.5546875" style="81"/>
    <col min="15872" max="15872" width="12.33203125" style="81" bestFit="1" customWidth="1"/>
    <col min="15873" max="15873" width="18.88671875" style="81" customWidth="1"/>
    <col min="15874" max="16118" width="11.5546875" style="81"/>
    <col min="16119" max="16119" width="2.109375" style="81" customWidth="1"/>
    <col min="16120" max="16120" width="10" style="81" bestFit="1" customWidth="1"/>
    <col min="16121" max="16121" width="13" style="81" customWidth="1"/>
    <col min="16122" max="16123" width="11.5546875" style="81"/>
    <col min="16124" max="16124" width="11" style="81" bestFit="1" customWidth="1"/>
    <col min="16125" max="16125" width="11.5546875" style="81"/>
    <col min="16126" max="16126" width="12.88671875" style="81" customWidth="1"/>
    <col min="16127" max="16127" width="11.5546875" style="81"/>
    <col min="16128" max="16128" width="12.33203125" style="81" bestFit="1" customWidth="1"/>
    <col min="16129" max="16129" width="18.88671875" style="81" customWidth="1"/>
    <col min="16130" max="16384" width="11.5546875" style="81"/>
  </cols>
  <sheetData>
    <row r="1" spans="2:18" ht="17.25" customHeight="1"/>
    <row r="2" spans="2:18" ht="98.25" customHeight="1">
      <c r="C2" s="903"/>
      <c r="D2" s="904"/>
      <c r="E2" s="904"/>
      <c r="F2" s="904"/>
      <c r="G2" s="904"/>
      <c r="H2" s="904"/>
      <c r="I2" s="904"/>
      <c r="J2" s="904"/>
      <c r="K2" s="904"/>
      <c r="L2" s="904"/>
    </row>
    <row r="3" spans="2:18" ht="26.25" customHeight="1" thickBot="1"/>
    <row r="4" spans="2:18" customFormat="1" ht="14.4">
      <c r="C4" s="905" t="s">
        <v>166</v>
      </c>
      <c r="D4" s="906"/>
      <c r="E4" s="906"/>
      <c r="F4" s="906"/>
      <c r="G4" s="906"/>
      <c r="H4" s="906"/>
      <c r="I4" s="906"/>
      <c r="J4" s="906"/>
      <c r="K4" s="906"/>
      <c r="L4" s="907"/>
    </row>
    <row r="5" spans="2:18" customFormat="1" ht="15" thickBot="1">
      <c r="C5" s="908"/>
      <c r="D5" s="909"/>
      <c r="E5" s="909"/>
      <c r="F5" s="909"/>
      <c r="G5" s="909"/>
      <c r="H5" s="909"/>
      <c r="I5" s="909"/>
      <c r="J5" s="909"/>
      <c r="K5" s="909"/>
      <c r="L5" s="910"/>
    </row>
    <row r="6" spans="2:18" customFormat="1" ht="29.25" customHeight="1" thickBot="1"/>
    <row r="7" spans="2:18" customFormat="1" ht="15" thickBot="1">
      <c r="C7" s="82" t="s">
        <v>343</v>
      </c>
      <c r="D7" s="83"/>
      <c r="E7" s="965">
        <v>950929232</v>
      </c>
      <c r="F7" s="966"/>
      <c r="G7" s="84" t="s">
        <v>146</v>
      </c>
      <c r="H7" s="913" t="str">
        <f>+VLOOKUP($E$7,'OCTUBRE 2025'!$C$8:$J$57,2,0)</f>
        <v>GARCIA VERA HENRY  LUIS</v>
      </c>
      <c r="I7" s="914"/>
      <c r="J7" s="914"/>
      <c r="K7" s="914"/>
      <c r="L7" s="915"/>
    </row>
    <row r="8" spans="2:18" customFormat="1" ht="15" thickBot="1">
      <c r="C8" s="82" t="s">
        <v>147</v>
      </c>
      <c r="D8" s="86"/>
      <c r="E8" s="916">
        <f>+VLOOKUP($E$7,'OCTUBRE 2025'!$C$8:$J$57,8,0)</f>
        <v>715.54</v>
      </c>
      <c r="F8" s="917"/>
      <c r="G8" s="87" t="s">
        <v>148</v>
      </c>
      <c r="H8" s="918" t="str">
        <f>+VLOOKUP($E$7,'OCTUBRE 2025'!$C$8:$J$57,4,0)</f>
        <v>OFICIAL DE RECAUDACIONES</v>
      </c>
      <c r="I8" s="919"/>
      <c r="J8" s="919"/>
      <c r="K8" s="919"/>
      <c r="L8" s="920"/>
    </row>
    <row r="9" spans="2:18" customFormat="1" ht="15" thickBot="1">
      <c r="C9" s="82" t="s">
        <v>149</v>
      </c>
      <c r="D9" s="88"/>
      <c r="E9" s="963">
        <f>+VLOOKUP($E$7,'OCTUBRE 2025'!$C$8:$J$57,3,0)</f>
        <v>44726</v>
      </c>
      <c r="F9" s="964"/>
      <c r="G9" s="90" t="s">
        <v>231</v>
      </c>
      <c r="H9" s="913" t="str">
        <f>+VLOOKUP($E$7,'OCTUBRE 2025'!$C$8:$J$57,6,0)</f>
        <v>Norte</v>
      </c>
      <c r="I9" s="914"/>
      <c r="J9" s="914"/>
      <c r="K9" s="914"/>
      <c r="L9" s="915"/>
    </row>
    <row r="10" spans="2:18" customFormat="1" ht="31.5" customHeight="1" thickBot="1"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R10" s="407"/>
    </row>
    <row r="11" spans="2:18" customFormat="1" ht="15" thickBot="1">
      <c r="C11" s="929" t="s">
        <v>150</v>
      </c>
      <c r="D11" s="930"/>
      <c r="E11" s="930"/>
      <c r="F11" s="930"/>
      <c r="G11" s="930"/>
      <c r="H11" s="930"/>
      <c r="I11" s="930"/>
      <c r="J11" s="91"/>
      <c r="K11" s="91"/>
      <c r="L11" s="92"/>
    </row>
    <row r="12" spans="2:18" customFormat="1" ht="15" customHeight="1" thickBot="1">
      <c r="C12" s="93"/>
      <c r="J12" s="893" t="s">
        <v>151</v>
      </c>
      <c r="K12" s="894"/>
      <c r="L12" s="931"/>
    </row>
    <row r="13" spans="2:18" customFormat="1" ht="15" customHeight="1" thickBot="1">
      <c r="C13" s="93"/>
      <c r="D13" s="932" t="s">
        <v>152</v>
      </c>
      <c r="E13" s="933"/>
      <c r="F13" s="94"/>
      <c r="G13" s="85"/>
      <c r="H13" s="442"/>
      <c r="J13" s="443" t="s">
        <v>153</v>
      </c>
      <c r="K13" s="445" t="s">
        <v>154</v>
      </c>
      <c r="L13" s="444" t="s">
        <v>87</v>
      </c>
    </row>
    <row r="14" spans="2:18" customFormat="1" ht="15" thickBot="1">
      <c r="C14" s="95"/>
      <c r="D14" s="932" t="s">
        <v>421</v>
      </c>
      <c r="E14" s="933"/>
      <c r="F14" s="94"/>
      <c r="G14" s="96"/>
      <c r="H14" s="446">
        <v>86</v>
      </c>
      <c r="I14" s="51"/>
      <c r="J14" s="447">
        <v>1</v>
      </c>
      <c r="K14" s="451">
        <v>45352</v>
      </c>
      <c r="L14" s="448">
        <f>+H17</f>
        <v>28.666666666666668</v>
      </c>
    </row>
    <row r="15" spans="2:18" customFormat="1" ht="18.75" customHeight="1" thickBot="1">
      <c r="C15" s="93"/>
      <c r="D15" s="934" t="s">
        <v>156</v>
      </c>
      <c r="E15" s="935"/>
      <c r="F15" s="935"/>
      <c r="G15" s="936"/>
      <c r="H15" s="267">
        <v>3</v>
      </c>
      <c r="I15" s="51"/>
      <c r="J15" s="447">
        <v>2</v>
      </c>
      <c r="K15" s="451">
        <v>45383</v>
      </c>
      <c r="L15" s="449">
        <f>+L14</f>
        <v>28.666666666666668</v>
      </c>
    </row>
    <row r="16" spans="2:18" customFormat="1" ht="15" thickBot="1">
      <c r="C16" s="95"/>
      <c r="D16" s="97"/>
      <c r="E16" s="97"/>
      <c r="F16" s="97"/>
      <c r="G16" s="97"/>
      <c r="H16" s="98"/>
      <c r="I16" s="51"/>
      <c r="J16" s="447">
        <v>3</v>
      </c>
      <c r="K16" s="451">
        <v>45413</v>
      </c>
      <c r="L16" s="449">
        <f>+L15</f>
        <v>28.666666666666668</v>
      </c>
    </row>
    <row r="17" spans="3:12" customFormat="1" ht="14.4">
      <c r="C17" s="95"/>
      <c r="D17" s="905" t="s">
        <v>87</v>
      </c>
      <c r="E17" s="906"/>
      <c r="F17" s="906"/>
      <c r="G17" s="907"/>
      <c r="H17" s="940">
        <f>+H14/H15</f>
        <v>28.666666666666668</v>
      </c>
      <c r="I17" s="51"/>
      <c r="J17" s="447">
        <v>4</v>
      </c>
      <c r="K17" s="452"/>
      <c r="L17" s="449"/>
    </row>
    <row r="18" spans="3:12" customFormat="1" ht="14.4">
      <c r="C18" s="95"/>
      <c r="D18" s="937"/>
      <c r="E18" s="938"/>
      <c r="F18" s="938"/>
      <c r="G18" s="939"/>
      <c r="H18" s="941"/>
      <c r="I18" s="51"/>
      <c r="J18" s="447">
        <v>5</v>
      </c>
      <c r="K18" s="452"/>
      <c r="L18" s="450"/>
    </row>
    <row r="19" spans="3:12" customFormat="1" ht="15" thickBot="1">
      <c r="C19" s="95"/>
      <c r="D19" s="908"/>
      <c r="E19" s="909"/>
      <c r="F19" s="909"/>
      <c r="G19" s="910"/>
      <c r="H19" s="942"/>
      <c r="I19" s="51"/>
      <c r="J19" s="447">
        <v>6</v>
      </c>
      <c r="K19" s="452"/>
      <c r="L19" s="450"/>
    </row>
    <row r="20" spans="3:12" customFormat="1" ht="14.4">
      <c r="C20" s="95"/>
      <c r="D20" s="99"/>
      <c r="E20" s="100"/>
      <c r="F20" s="100"/>
      <c r="G20" s="100"/>
      <c r="H20" s="100"/>
      <c r="I20" s="51"/>
      <c r="J20" s="447">
        <v>7</v>
      </c>
      <c r="K20" s="452"/>
      <c r="L20" s="450"/>
    </row>
    <row r="21" spans="3:12" customFormat="1" ht="14.4">
      <c r="C21" s="95"/>
      <c r="D21" s="99"/>
      <c r="E21" s="100"/>
      <c r="F21" s="100"/>
      <c r="G21" s="100"/>
      <c r="H21" s="100"/>
      <c r="I21" s="51"/>
      <c r="J21" s="447">
        <v>8</v>
      </c>
      <c r="K21" s="452"/>
      <c r="L21" s="450"/>
    </row>
    <row r="22" spans="3:12" customFormat="1" ht="14.4">
      <c r="C22" s="95"/>
      <c r="D22" s="99"/>
      <c r="E22" s="100"/>
      <c r="F22" s="100"/>
      <c r="G22" s="100"/>
      <c r="H22" s="100"/>
      <c r="I22" s="51"/>
      <c r="J22" s="447">
        <v>9</v>
      </c>
      <c r="K22" s="452"/>
      <c r="L22" s="450"/>
    </row>
    <row r="23" spans="3:12" customFormat="1" ht="15" thickBot="1">
      <c r="C23" s="95"/>
      <c r="D23" s="99"/>
      <c r="E23" s="100"/>
      <c r="F23" s="100"/>
      <c r="G23" s="100"/>
      <c r="H23" s="100"/>
      <c r="I23" s="51"/>
      <c r="J23" s="453">
        <v>10</v>
      </c>
      <c r="K23" s="454"/>
      <c r="L23" s="455"/>
    </row>
    <row r="24" spans="3:12" customFormat="1" ht="15" customHeight="1" thickBot="1">
      <c r="C24" s="95"/>
      <c r="F24" s="33"/>
      <c r="G24" s="33"/>
      <c r="H24" s="33"/>
      <c r="I24" s="33"/>
      <c r="J24" s="943" t="s">
        <v>21</v>
      </c>
      <c r="K24" s="944"/>
      <c r="L24" s="101">
        <f>SUM(L14:L23)</f>
        <v>86</v>
      </c>
    </row>
    <row r="25" spans="3:12" customFormat="1" ht="15" thickBot="1">
      <c r="C25" s="102"/>
      <c r="D25" s="89"/>
      <c r="E25" s="89"/>
      <c r="F25" s="103"/>
      <c r="G25" s="103"/>
      <c r="H25" s="103"/>
      <c r="I25" s="103"/>
      <c r="J25" s="103"/>
      <c r="K25" s="103"/>
      <c r="L25" s="104"/>
    </row>
    <row r="26" spans="3:12" customFormat="1" ht="15.75" customHeight="1"/>
    <row r="27" spans="3:12" customFormat="1" ht="19.5" customHeight="1" thickBot="1"/>
    <row r="28" spans="3:12" s="33" customFormat="1" ht="27.75" customHeight="1" thickBot="1">
      <c r="C28" s="893" t="s">
        <v>157</v>
      </c>
      <c r="D28" s="894"/>
      <c r="E28" s="894"/>
      <c r="F28" s="894"/>
      <c r="G28" s="894"/>
      <c r="H28" s="894"/>
      <c r="I28" s="894"/>
      <c r="J28" s="894"/>
      <c r="K28" s="894"/>
      <c r="L28" s="931"/>
    </row>
    <row r="29" spans="3:12" customFormat="1" ht="8.25" customHeight="1" thickBot="1"/>
    <row r="30" spans="3:12" customFormat="1" ht="16.5" customHeight="1">
      <c r="C30" s="921" t="s">
        <v>422</v>
      </c>
      <c r="D30" s="922"/>
      <c r="E30" s="922"/>
      <c r="F30" s="922"/>
      <c r="G30" s="922"/>
      <c r="H30" s="922"/>
      <c r="I30" s="922"/>
      <c r="J30" s="922"/>
      <c r="K30" s="922"/>
      <c r="L30" s="923"/>
    </row>
    <row r="31" spans="3:12" customFormat="1" ht="35.25" customHeight="1" thickBot="1">
      <c r="C31" s="924"/>
      <c r="D31" s="925"/>
      <c r="E31" s="925"/>
      <c r="F31" s="925"/>
      <c r="G31" s="925"/>
      <c r="H31" s="925"/>
      <c r="I31" s="925"/>
      <c r="J31" s="925"/>
      <c r="K31" s="925"/>
      <c r="L31" s="926"/>
    </row>
    <row r="32" spans="3:12" customFormat="1" ht="18" customHeight="1" thickBot="1"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3:12" s="33" customFormat="1" ht="39.75" customHeight="1" thickBot="1">
      <c r="C33" s="893" t="s">
        <v>267</v>
      </c>
      <c r="D33" s="894"/>
      <c r="E33" s="894"/>
      <c r="F33" s="894"/>
      <c r="G33" s="894"/>
      <c r="H33" s="894"/>
      <c r="I33" s="894"/>
      <c r="J33" s="894"/>
      <c r="K33" s="894"/>
      <c r="L33" s="931"/>
    </row>
    <row r="34" spans="3:12" customFormat="1" ht="14.4">
      <c r="C34" s="105"/>
      <c r="D34" s="91"/>
      <c r="E34" s="91"/>
      <c r="F34" s="91"/>
      <c r="G34" s="91"/>
      <c r="H34" s="91"/>
      <c r="I34" s="91"/>
      <c r="J34" s="91"/>
      <c r="K34" s="91"/>
      <c r="L34" s="92"/>
    </row>
    <row r="35" spans="3:12" customFormat="1" ht="14.4">
      <c r="C35" s="947" t="s">
        <v>268</v>
      </c>
      <c r="D35" s="948"/>
      <c r="E35" s="948"/>
      <c r="F35" s="948"/>
      <c r="G35" s="948"/>
      <c r="H35" s="948"/>
      <c r="I35" s="948"/>
      <c r="J35" s="948"/>
      <c r="K35" s="948"/>
      <c r="L35" s="949"/>
    </row>
    <row r="36" spans="3:12" customFormat="1" ht="14.4">
      <c r="C36" s="947"/>
      <c r="D36" s="948"/>
      <c r="E36" s="948"/>
      <c r="F36" s="948"/>
      <c r="G36" s="948"/>
      <c r="H36" s="948"/>
      <c r="I36" s="948"/>
      <c r="J36" s="948"/>
      <c r="K36" s="948"/>
      <c r="L36" s="949"/>
    </row>
    <row r="37" spans="3:12" customFormat="1" ht="14.4">
      <c r="C37" s="947"/>
      <c r="D37" s="948"/>
      <c r="E37" s="948"/>
      <c r="F37" s="948"/>
      <c r="G37" s="948"/>
      <c r="H37" s="948"/>
      <c r="I37" s="948"/>
      <c r="J37" s="948"/>
      <c r="K37" s="948"/>
      <c r="L37" s="949"/>
    </row>
    <row r="38" spans="3:12" customFormat="1" ht="14.4">
      <c r="C38" s="95"/>
      <c r="L38" s="106"/>
    </row>
    <row r="39" spans="3:12" customFormat="1" ht="14.4">
      <c r="C39" s="95"/>
      <c r="L39" s="106"/>
    </row>
    <row r="40" spans="3:12" customFormat="1" ht="14.4">
      <c r="C40" s="95"/>
      <c r="L40" s="106"/>
    </row>
    <row r="41" spans="3:12" customFormat="1" ht="14.4">
      <c r="C41" s="95"/>
      <c r="L41" s="106"/>
    </row>
    <row r="42" spans="3:12" customFormat="1" ht="14.4">
      <c r="C42" s="95"/>
      <c r="D42" s="950"/>
      <c r="E42" s="950"/>
      <c r="F42" s="950"/>
      <c r="G42" s="950"/>
      <c r="L42" s="106"/>
    </row>
    <row r="43" spans="3:12" customFormat="1" ht="14.4">
      <c r="C43" s="95"/>
      <c r="D43" s="946" t="s">
        <v>158</v>
      </c>
      <c r="E43" s="946"/>
      <c r="F43" s="946"/>
      <c r="I43" s="945" t="s">
        <v>159</v>
      </c>
      <c r="J43" s="945"/>
      <c r="K43" s="945"/>
      <c r="L43" s="106"/>
    </row>
    <row r="44" spans="3:12" customFormat="1" ht="14.4">
      <c r="C44" s="95"/>
      <c r="D44" s="107" t="s">
        <v>160</v>
      </c>
      <c r="E44" s="710">
        <f>+E7</f>
        <v>950929232</v>
      </c>
      <c r="F44" s="109"/>
      <c r="I44" s="946" t="s">
        <v>161</v>
      </c>
      <c r="J44" s="946"/>
      <c r="K44" s="946"/>
      <c r="L44" s="106"/>
    </row>
    <row r="45" spans="3:12" customFormat="1" ht="14.4">
      <c r="C45" s="95"/>
      <c r="L45" s="106"/>
    </row>
    <row r="46" spans="3:12" customFormat="1" ht="14.4">
      <c r="C46" s="95"/>
      <c r="L46" s="106"/>
    </row>
    <row r="47" spans="3:12" customFormat="1" ht="14.4">
      <c r="C47" s="95"/>
      <c r="L47" s="106"/>
    </row>
    <row r="48" spans="3:12" customFormat="1" ht="14.4">
      <c r="C48" s="95"/>
      <c r="L48" s="106"/>
    </row>
    <row r="49" spans="3:12" customFormat="1" ht="14.4">
      <c r="C49" s="95"/>
      <c r="L49" s="106"/>
    </row>
    <row r="50" spans="3:12" customFormat="1" ht="14.4">
      <c r="C50" s="95"/>
      <c r="D50" s="51"/>
      <c r="E50" s="51"/>
      <c r="F50" s="51"/>
      <c r="G50" s="110"/>
      <c r="H50" s="110"/>
      <c r="I50" s="110"/>
      <c r="L50" s="106"/>
    </row>
    <row r="51" spans="3:12" customFormat="1" ht="14.4">
      <c r="C51" s="95"/>
      <c r="D51" s="51"/>
      <c r="E51" s="51"/>
      <c r="F51" s="51"/>
      <c r="G51" s="110"/>
      <c r="H51" s="110"/>
      <c r="I51" s="110"/>
      <c r="L51" s="106"/>
    </row>
    <row r="52" spans="3:12" customFormat="1" ht="14.4">
      <c r="C52" s="95"/>
      <c r="D52" s="110"/>
      <c r="E52" s="110"/>
      <c r="F52" s="110"/>
      <c r="I52" s="110"/>
      <c r="J52" s="110"/>
      <c r="K52" s="110"/>
      <c r="L52" s="106"/>
    </row>
    <row r="53" spans="3:12" customFormat="1" ht="14.4">
      <c r="C53" s="95"/>
      <c r="D53" s="110"/>
      <c r="E53" s="110"/>
      <c r="F53" s="110"/>
      <c r="I53" s="110"/>
      <c r="J53" s="110"/>
      <c r="K53" s="110"/>
      <c r="L53" s="106"/>
    </row>
    <row r="54" spans="3:12" customFormat="1" ht="14.4">
      <c r="C54" s="95"/>
      <c r="D54" s="110"/>
      <c r="E54" s="110"/>
      <c r="F54" s="110"/>
      <c r="I54" s="110"/>
      <c r="J54" s="110"/>
      <c r="K54" s="110"/>
      <c r="L54" s="106"/>
    </row>
    <row r="55" spans="3:12" customFormat="1" ht="14.4">
      <c r="C55" s="95"/>
      <c r="D55" s="110"/>
      <c r="E55" s="110"/>
      <c r="F55" s="110"/>
      <c r="I55" s="110"/>
      <c r="J55" s="110"/>
      <c r="K55" s="110"/>
      <c r="L55" s="106"/>
    </row>
    <row r="56" spans="3:12" customFormat="1" ht="14.4">
      <c r="C56" s="95"/>
      <c r="D56" s="110"/>
      <c r="E56" s="110"/>
      <c r="F56" s="110"/>
      <c r="G56" s="945" t="s">
        <v>162</v>
      </c>
      <c r="H56" s="945"/>
      <c r="I56" s="945"/>
      <c r="J56" s="110"/>
      <c r="K56" s="110"/>
      <c r="L56" s="106"/>
    </row>
    <row r="57" spans="3:12" customFormat="1" ht="14.4">
      <c r="C57" s="95"/>
      <c r="D57" s="110"/>
      <c r="E57" s="110"/>
      <c r="F57" s="110"/>
      <c r="G57" s="946" t="s">
        <v>163</v>
      </c>
      <c r="H57" s="946"/>
      <c r="I57" s="946"/>
      <c r="J57" s="110"/>
      <c r="K57" s="110"/>
      <c r="L57" s="106"/>
    </row>
    <row r="58" spans="3:12" customFormat="1" ht="15" thickBot="1">
      <c r="C58" s="102"/>
      <c r="D58" s="89"/>
      <c r="E58" s="89"/>
      <c r="F58" s="89"/>
      <c r="G58" s="89"/>
      <c r="H58" s="89"/>
      <c r="I58" s="89"/>
      <c r="J58" s="89"/>
      <c r="K58" s="89"/>
      <c r="L58" s="111"/>
    </row>
  </sheetData>
  <mergeCells count="26">
    <mergeCell ref="C2:L2"/>
    <mergeCell ref="C4:L5"/>
    <mergeCell ref="E7:F7"/>
    <mergeCell ref="H7:L7"/>
    <mergeCell ref="E8:F8"/>
    <mergeCell ref="H8:L8"/>
    <mergeCell ref="C30:L31"/>
    <mergeCell ref="E9:F9"/>
    <mergeCell ref="H9:L9"/>
    <mergeCell ref="C11:I11"/>
    <mergeCell ref="J12:L12"/>
    <mergeCell ref="D13:E13"/>
    <mergeCell ref="D14:E14"/>
    <mergeCell ref="D15:G15"/>
    <mergeCell ref="D17:G19"/>
    <mergeCell ref="H17:H19"/>
    <mergeCell ref="J24:K24"/>
    <mergeCell ref="C28:L28"/>
    <mergeCell ref="G56:I56"/>
    <mergeCell ref="G57:I57"/>
    <mergeCell ref="C33:L33"/>
    <mergeCell ref="C35:L37"/>
    <mergeCell ref="D42:G42"/>
    <mergeCell ref="D43:F43"/>
    <mergeCell ref="I43:K43"/>
    <mergeCell ref="I44:K44"/>
  </mergeCells>
  <pageMargins left="0.70866141732283472" right="0.70866141732283472" top="0.74803149606299213" bottom="0.74803149606299213" header="0.31496062992125984" footer="0.31496062992125984"/>
  <pageSetup scale="6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0E4F-56ED-4F4F-918B-A65C58D4BFCA}">
  <sheetPr codeName="Hoja24"/>
  <dimension ref="B1:R58"/>
  <sheetViews>
    <sheetView showGridLines="0" topLeftCell="A14" zoomScale="55" zoomScaleNormal="55" workbookViewId="0">
      <selection activeCell="E45" sqref="E45"/>
    </sheetView>
  </sheetViews>
  <sheetFormatPr baseColWidth="10" defaultRowHeight="13.8"/>
  <cols>
    <col min="1" max="1" width="6.6640625" style="81" customWidth="1"/>
    <col min="2" max="5" width="11.5546875" style="81"/>
    <col min="6" max="6" width="8.21875" style="81" customWidth="1"/>
    <col min="7" max="7" width="11.5546875" style="81"/>
    <col min="8" max="8" width="16" style="81" customWidth="1"/>
    <col min="9" max="246" width="11.5546875" style="81"/>
    <col min="247" max="247" width="2.109375" style="81" customWidth="1"/>
    <col min="248" max="248" width="10" style="81" bestFit="1" customWidth="1"/>
    <col min="249" max="249" width="13" style="81" customWidth="1"/>
    <col min="250" max="251" width="11.5546875" style="81"/>
    <col min="252" max="252" width="11" style="81" bestFit="1" customWidth="1"/>
    <col min="253" max="253" width="11.5546875" style="81"/>
    <col min="254" max="254" width="12.88671875" style="81" customWidth="1"/>
    <col min="255" max="255" width="11.5546875" style="81"/>
    <col min="256" max="256" width="12.33203125" style="81" bestFit="1" customWidth="1"/>
    <col min="257" max="257" width="18.88671875" style="81" customWidth="1"/>
    <col min="258" max="502" width="11.5546875" style="81"/>
    <col min="503" max="503" width="2.109375" style="81" customWidth="1"/>
    <col min="504" max="504" width="10" style="81" bestFit="1" customWidth="1"/>
    <col min="505" max="505" width="13" style="81" customWidth="1"/>
    <col min="506" max="507" width="11.5546875" style="81"/>
    <col min="508" max="508" width="11" style="81" bestFit="1" customWidth="1"/>
    <col min="509" max="509" width="11.5546875" style="81"/>
    <col min="510" max="510" width="12.88671875" style="81" customWidth="1"/>
    <col min="511" max="511" width="11.5546875" style="81"/>
    <col min="512" max="512" width="12.33203125" style="81" bestFit="1" customWidth="1"/>
    <col min="513" max="513" width="18.88671875" style="81" customWidth="1"/>
    <col min="514" max="758" width="11.5546875" style="81"/>
    <col min="759" max="759" width="2.109375" style="81" customWidth="1"/>
    <col min="760" max="760" width="10" style="81" bestFit="1" customWidth="1"/>
    <col min="761" max="761" width="13" style="81" customWidth="1"/>
    <col min="762" max="763" width="11.5546875" style="81"/>
    <col min="764" max="764" width="11" style="81" bestFit="1" customWidth="1"/>
    <col min="765" max="765" width="11.5546875" style="81"/>
    <col min="766" max="766" width="12.88671875" style="81" customWidth="1"/>
    <col min="767" max="767" width="11.5546875" style="81"/>
    <col min="768" max="768" width="12.33203125" style="81" bestFit="1" customWidth="1"/>
    <col min="769" max="769" width="18.88671875" style="81" customWidth="1"/>
    <col min="770" max="1014" width="11.5546875" style="81"/>
    <col min="1015" max="1015" width="2.109375" style="81" customWidth="1"/>
    <col min="1016" max="1016" width="10" style="81" bestFit="1" customWidth="1"/>
    <col min="1017" max="1017" width="13" style="81" customWidth="1"/>
    <col min="1018" max="1019" width="11.5546875" style="81"/>
    <col min="1020" max="1020" width="11" style="81" bestFit="1" customWidth="1"/>
    <col min="1021" max="1021" width="11.5546875" style="81"/>
    <col min="1022" max="1022" width="12.88671875" style="81" customWidth="1"/>
    <col min="1023" max="1023" width="11.5546875" style="81"/>
    <col min="1024" max="1024" width="12.33203125" style="81" bestFit="1" customWidth="1"/>
    <col min="1025" max="1025" width="18.88671875" style="81" customWidth="1"/>
    <col min="1026" max="1270" width="11.5546875" style="81"/>
    <col min="1271" max="1271" width="2.109375" style="81" customWidth="1"/>
    <col min="1272" max="1272" width="10" style="81" bestFit="1" customWidth="1"/>
    <col min="1273" max="1273" width="13" style="81" customWidth="1"/>
    <col min="1274" max="1275" width="11.5546875" style="81"/>
    <col min="1276" max="1276" width="11" style="81" bestFit="1" customWidth="1"/>
    <col min="1277" max="1277" width="11.5546875" style="81"/>
    <col min="1278" max="1278" width="12.88671875" style="81" customWidth="1"/>
    <col min="1279" max="1279" width="11.5546875" style="81"/>
    <col min="1280" max="1280" width="12.33203125" style="81" bestFit="1" customWidth="1"/>
    <col min="1281" max="1281" width="18.88671875" style="81" customWidth="1"/>
    <col min="1282" max="1526" width="11.5546875" style="81"/>
    <col min="1527" max="1527" width="2.109375" style="81" customWidth="1"/>
    <col min="1528" max="1528" width="10" style="81" bestFit="1" customWidth="1"/>
    <col min="1529" max="1529" width="13" style="81" customWidth="1"/>
    <col min="1530" max="1531" width="11.5546875" style="81"/>
    <col min="1532" max="1532" width="11" style="81" bestFit="1" customWidth="1"/>
    <col min="1533" max="1533" width="11.5546875" style="81"/>
    <col min="1534" max="1534" width="12.88671875" style="81" customWidth="1"/>
    <col min="1535" max="1535" width="11.5546875" style="81"/>
    <col min="1536" max="1536" width="12.33203125" style="81" bestFit="1" customWidth="1"/>
    <col min="1537" max="1537" width="18.88671875" style="81" customWidth="1"/>
    <col min="1538" max="1782" width="11.5546875" style="81"/>
    <col min="1783" max="1783" width="2.109375" style="81" customWidth="1"/>
    <col min="1784" max="1784" width="10" style="81" bestFit="1" customWidth="1"/>
    <col min="1785" max="1785" width="13" style="81" customWidth="1"/>
    <col min="1786" max="1787" width="11.5546875" style="81"/>
    <col min="1788" max="1788" width="11" style="81" bestFit="1" customWidth="1"/>
    <col min="1789" max="1789" width="11.5546875" style="81"/>
    <col min="1790" max="1790" width="12.88671875" style="81" customWidth="1"/>
    <col min="1791" max="1791" width="11.5546875" style="81"/>
    <col min="1792" max="1792" width="12.33203125" style="81" bestFit="1" customWidth="1"/>
    <col min="1793" max="1793" width="18.88671875" style="81" customWidth="1"/>
    <col min="1794" max="2038" width="11.5546875" style="81"/>
    <col min="2039" max="2039" width="2.109375" style="81" customWidth="1"/>
    <col min="2040" max="2040" width="10" style="81" bestFit="1" customWidth="1"/>
    <col min="2041" max="2041" width="13" style="81" customWidth="1"/>
    <col min="2042" max="2043" width="11.5546875" style="81"/>
    <col min="2044" max="2044" width="11" style="81" bestFit="1" customWidth="1"/>
    <col min="2045" max="2045" width="11.5546875" style="81"/>
    <col min="2046" max="2046" width="12.88671875" style="81" customWidth="1"/>
    <col min="2047" max="2047" width="11.5546875" style="81"/>
    <col min="2048" max="2048" width="12.33203125" style="81" bestFit="1" customWidth="1"/>
    <col min="2049" max="2049" width="18.88671875" style="81" customWidth="1"/>
    <col min="2050" max="2294" width="11.5546875" style="81"/>
    <col min="2295" max="2295" width="2.109375" style="81" customWidth="1"/>
    <col min="2296" max="2296" width="10" style="81" bestFit="1" customWidth="1"/>
    <col min="2297" max="2297" width="13" style="81" customWidth="1"/>
    <col min="2298" max="2299" width="11.5546875" style="81"/>
    <col min="2300" max="2300" width="11" style="81" bestFit="1" customWidth="1"/>
    <col min="2301" max="2301" width="11.5546875" style="81"/>
    <col min="2302" max="2302" width="12.88671875" style="81" customWidth="1"/>
    <col min="2303" max="2303" width="11.5546875" style="81"/>
    <col min="2304" max="2304" width="12.33203125" style="81" bestFit="1" customWidth="1"/>
    <col min="2305" max="2305" width="18.88671875" style="81" customWidth="1"/>
    <col min="2306" max="2550" width="11.5546875" style="81"/>
    <col min="2551" max="2551" width="2.109375" style="81" customWidth="1"/>
    <col min="2552" max="2552" width="10" style="81" bestFit="1" customWidth="1"/>
    <col min="2553" max="2553" width="13" style="81" customWidth="1"/>
    <col min="2554" max="2555" width="11.5546875" style="81"/>
    <col min="2556" max="2556" width="11" style="81" bestFit="1" customWidth="1"/>
    <col min="2557" max="2557" width="11.5546875" style="81"/>
    <col min="2558" max="2558" width="12.88671875" style="81" customWidth="1"/>
    <col min="2559" max="2559" width="11.5546875" style="81"/>
    <col min="2560" max="2560" width="12.33203125" style="81" bestFit="1" customWidth="1"/>
    <col min="2561" max="2561" width="18.88671875" style="81" customWidth="1"/>
    <col min="2562" max="2806" width="11.5546875" style="81"/>
    <col min="2807" max="2807" width="2.109375" style="81" customWidth="1"/>
    <col min="2808" max="2808" width="10" style="81" bestFit="1" customWidth="1"/>
    <col min="2809" max="2809" width="13" style="81" customWidth="1"/>
    <col min="2810" max="2811" width="11.5546875" style="81"/>
    <col min="2812" max="2812" width="11" style="81" bestFit="1" customWidth="1"/>
    <col min="2813" max="2813" width="11.5546875" style="81"/>
    <col min="2814" max="2814" width="12.88671875" style="81" customWidth="1"/>
    <col min="2815" max="2815" width="11.5546875" style="81"/>
    <col min="2816" max="2816" width="12.33203125" style="81" bestFit="1" customWidth="1"/>
    <col min="2817" max="2817" width="18.88671875" style="81" customWidth="1"/>
    <col min="2818" max="3062" width="11.5546875" style="81"/>
    <col min="3063" max="3063" width="2.109375" style="81" customWidth="1"/>
    <col min="3064" max="3064" width="10" style="81" bestFit="1" customWidth="1"/>
    <col min="3065" max="3065" width="13" style="81" customWidth="1"/>
    <col min="3066" max="3067" width="11.5546875" style="81"/>
    <col min="3068" max="3068" width="11" style="81" bestFit="1" customWidth="1"/>
    <col min="3069" max="3069" width="11.5546875" style="81"/>
    <col min="3070" max="3070" width="12.88671875" style="81" customWidth="1"/>
    <col min="3071" max="3071" width="11.5546875" style="81"/>
    <col min="3072" max="3072" width="12.33203125" style="81" bestFit="1" customWidth="1"/>
    <col min="3073" max="3073" width="18.88671875" style="81" customWidth="1"/>
    <col min="3074" max="3318" width="11.5546875" style="81"/>
    <col min="3319" max="3319" width="2.109375" style="81" customWidth="1"/>
    <col min="3320" max="3320" width="10" style="81" bestFit="1" customWidth="1"/>
    <col min="3321" max="3321" width="13" style="81" customWidth="1"/>
    <col min="3322" max="3323" width="11.5546875" style="81"/>
    <col min="3324" max="3324" width="11" style="81" bestFit="1" customWidth="1"/>
    <col min="3325" max="3325" width="11.5546875" style="81"/>
    <col min="3326" max="3326" width="12.88671875" style="81" customWidth="1"/>
    <col min="3327" max="3327" width="11.5546875" style="81"/>
    <col min="3328" max="3328" width="12.33203125" style="81" bestFit="1" customWidth="1"/>
    <col min="3329" max="3329" width="18.88671875" style="81" customWidth="1"/>
    <col min="3330" max="3574" width="11.5546875" style="81"/>
    <col min="3575" max="3575" width="2.109375" style="81" customWidth="1"/>
    <col min="3576" max="3576" width="10" style="81" bestFit="1" customWidth="1"/>
    <col min="3577" max="3577" width="13" style="81" customWidth="1"/>
    <col min="3578" max="3579" width="11.5546875" style="81"/>
    <col min="3580" max="3580" width="11" style="81" bestFit="1" customWidth="1"/>
    <col min="3581" max="3581" width="11.5546875" style="81"/>
    <col min="3582" max="3582" width="12.88671875" style="81" customWidth="1"/>
    <col min="3583" max="3583" width="11.5546875" style="81"/>
    <col min="3584" max="3584" width="12.33203125" style="81" bestFit="1" customWidth="1"/>
    <col min="3585" max="3585" width="18.88671875" style="81" customWidth="1"/>
    <col min="3586" max="3830" width="11.5546875" style="81"/>
    <col min="3831" max="3831" width="2.109375" style="81" customWidth="1"/>
    <col min="3832" max="3832" width="10" style="81" bestFit="1" customWidth="1"/>
    <col min="3833" max="3833" width="13" style="81" customWidth="1"/>
    <col min="3834" max="3835" width="11.5546875" style="81"/>
    <col min="3836" max="3836" width="11" style="81" bestFit="1" customWidth="1"/>
    <col min="3837" max="3837" width="11.5546875" style="81"/>
    <col min="3838" max="3838" width="12.88671875" style="81" customWidth="1"/>
    <col min="3839" max="3839" width="11.5546875" style="81"/>
    <col min="3840" max="3840" width="12.33203125" style="81" bestFit="1" customWidth="1"/>
    <col min="3841" max="3841" width="18.88671875" style="81" customWidth="1"/>
    <col min="3842" max="4086" width="11.5546875" style="81"/>
    <col min="4087" max="4087" width="2.109375" style="81" customWidth="1"/>
    <col min="4088" max="4088" width="10" style="81" bestFit="1" customWidth="1"/>
    <col min="4089" max="4089" width="13" style="81" customWidth="1"/>
    <col min="4090" max="4091" width="11.5546875" style="81"/>
    <col min="4092" max="4092" width="11" style="81" bestFit="1" customWidth="1"/>
    <col min="4093" max="4093" width="11.5546875" style="81"/>
    <col min="4094" max="4094" width="12.88671875" style="81" customWidth="1"/>
    <col min="4095" max="4095" width="11.5546875" style="81"/>
    <col min="4096" max="4096" width="12.33203125" style="81" bestFit="1" customWidth="1"/>
    <col min="4097" max="4097" width="18.88671875" style="81" customWidth="1"/>
    <col min="4098" max="4342" width="11.5546875" style="81"/>
    <col min="4343" max="4343" width="2.109375" style="81" customWidth="1"/>
    <col min="4344" max="4344" width="10" style="81" bestFit="1" customWidth="1"/>
    <col min="4345" max="4345" width="13" style="81" customWidth="1"/>
    <col min="4346" max="4347" width="11.5546875" style="81"/>
    <col min="4348" max="4348" width="11" style="81" bestFit="1" customWidth="1"/>
    <col min="4349" max="4349" width="11.5546875" style="81"/>
    <col min="4350" max="4350" width="12.88671875" style="81" customWidth="1"/>
    <col min="4351" max="4351" width="11.5546875" style="81"/>
    <col min="4352" max="4352" width="12.33203125" style="81" bestFit="1" customWidth="1"/>
    <col min="4353" max="4353" width="18.88671875" style="81" customWidth="1"/>
    <col min="4354" max="4598" width="11.5546875" style="81"/>
    <col min="4599" max="4599" width="2.109375" style="81" customWidth="1"/>
    <col min="4600" max="4600" width="10" style="81" bestFit="1" customWidth="1"/>
    <col min="4601" max="4601" width="13" style="81" customWidth="1"/>
    <col min="4602" max="4603" width="11.5546875" style="81"/>
    <col min="4604" max="4604" width="11" style="81" bestFit="1" customWidth="1"/>
    <col min="4605" max="4605" width="11.5546875" style="81"/>
    <col min="4606" max="4606" width="12.88671875" style="81" customWidth="1"/>
    <col min="4607" max="4607" width="11.5546875" style="81"/>
    <col min="4608" max="4608" width="12.33203125" style="81" bestFit="1" customWidth="1"/>
    <col min="4609" max="4609" width="18.88671875" style="81" customWidth="1"/>
    <col min="4610" max="4854" width="11.5546875" style="81"/>
    <col min="4855" max="4855" width="2.109375" style="81" customWidth="1"/>
    <col min="4856" max="4856" width="10" style="81" bestFit="1" customWidth="1"/>
    <col min="4857" max="4857" width="13" style="81" customWidth="1"/>
    <col min="4858" max="4859" width="11.5546875" style="81"/>
    <col min="4860" max="4860" width="11" style="81" bestFit="1" customWidth="1"/>
    <col min="4861" max="4861" width="11.5546875" style="81"/>
    <col min="4862" max="4862" width="12.88671875" style="81" customWidth="1"/>
    <col min="4863" max="4863" width="11.5546875" style="81"/>
    <col min="4864" max="4864" width="12.33203125" style="81" bestFit="1" customWidth="1"/>
    <col min="4865" max="4865" width="18.88671875" style="81" customWidth="1"/>
    <col min="4866" max="5110" width="11.5546875" style="81"/>
    <col min="5111" max="5111" width="2.109375" style="81" customWidth="1"/>
    <col min="5112" max="5112" width="10" style="81" bestFit="1" customWidth="1"/>
    <col min="5113" max="5113" width="13" style="81" customWidth="1"/>
    <col min="5114" max="5115" width="11.5546875" style="81"/>
    <col min="5116" max="5116" width="11" style="81" bestFit="1" customWidth="1"/>
    <col min="5117" max="5117" width="11.5546875" style="81"/>
    <col min="5118" max="5118" width="12.88671875" style="81" customWidth="1"/>
    <col min="5119" max="5119" width="11.5546875" style="81"/>
    <col min="5120" max="5120" width="12.33203125" style="81" bestFit="1" customWidth="1"/>
    <col min="5121" max="5121" width="18.88671875" style="81" customWidth="1"/>
    <col min="5122" max="5366" width="11.5546875" style="81"/>
    <col min="5367" max="5367" width="2.109375" style="81" customWidth="1"/>
    <col min="5368" max="5368" width="10" style="81" bestFit="1" customWidth="1"/>
    <col min="5369" max="5369" width="13" style="81" customWidth="1"/>
    <col min="5370" max="5371" width="11.5546875" style="81"/>
    <col min="5372" max="5372" width="11" style="81" bestFit="1" customWidth="1"/>
    <col min="5373" max="5373" width="11.5546875" style="81"/>
    <col min="5374" max="5374" width="12.88671875" style="81" customWidth="1"/>
    <col min="5375" max="5375" width="11.5546875" style="81"/>
    <col min="5376" max="5376" width="12.33203125" style="81" bestFit="1" customWidth="1"/>
    <col min="5377" max="5377" width="18.88671875" style="81" customWidth="1"/>
    <col min="5378" max="5622" width="11.5546875" style="81"/>
    <col min="5623" max="5623" width="2.109375" style="81" customWidth="1"/>
    <col min="5624" max="5624" width="10" style="81" bestFit="1" customWidth="1"/>
    <col min="5625" max="5625" width="13" style="81" customWidth="1"/>
    <col min="5626" max="5627" width="11.5546875" style="81"/>
    <col min="5628" max="5628" width="11" style="81" bestFit="1" customWidth="1"/>
    <col min="5629" max="5629" width="11.5546875" style="81"/>
    <col min="5630" max="5630" width="12.88671875" style="81" customWidth="1"/>
    <col min="5631" max="5631" width="11.5546875" style="81"/>
    <col min="5632" max="5632" width="12.33203125" style="81" bestFit="1" customWidth="1"/>
    <col min="5633" max="5633" width="18.88671875" style="81" customWidth="1"/>
    <col min="5634" max="5878" width="11.5546875" style="81"/>
    <col min="5879" max="5879" width="2.109375" style="81" customWidth="1"/>
    <col min="5880" max="5880" width="10" style="81" bestFit="1" customWidth="1"/>
    <col min="5881" max="5881" width="13" style="81" customWidth="1"/>
    <col min="5882" max="5883" width="11.5546875" style="81"/>
    <col min="5884" max="5884" width="11" style="81" bestFit="1" customWidth="1"/>
    <col min="5885" max="5885" width="11.5546875" style="81"/>
    <col min="5886" max="5886" width="12.88671875" style="81" customWidth="1"/>
    <col min="5887" max="5887" width="11.5546875" style="81"/>
    <col min="5888" max="5888" width="12.33203125" style="81" bestFit="1" customWidth="1"/>
    <col min="5889" max="5889" width="18.88671875" style="81" customWidth="1"/>
    <col min="5890" max="6134" width="11.5546875" style="81"/>
    <col min="6135" max="6135" width="2.109375" style="81" customWidth="1"/>
    <col min="6136" max="6136" width="10" style="81" bestFit="1" customWidth="1"/>
    <col min="6137" max="6137" width="13" style="81" customWidth="1"/>
    <col min="6138" max="6139" width="11.5546875" style="81"/>
    <col min="6140" max="6140" width="11" style="81" bestFit="1" customWidth="1"/>
    <col min="6141" max="6141" width="11.5546875" style="81"/>
    <col min="6142" max="6142" width="12.88671875" style="81" customWidth="1"/>
    <col min="6143" max="6143" width="11.5546875" style="81"/>
    <col min="6144" max="6144" width="12.33203125" style="81" bestFit="1" customWidth="1"/>
    <col min="6145" max="6145" width="18.88671875" style="81" customWidth="1"/>
    <col min="6146" max="6390" width="11.5546875" style="81"/>
    <col min="6391" max="6391" width="2.109375" style="81" customWidth="1"/>
    <col min="6392" max="6392" width="10" style="81" bestFit="1" customWidth="1"/>
    <col min="6393" max="6393" width="13" style="81" customWidth="1"/>
    <col min="6394" max="6395" width="11.5546875" style="81"/>
    <col min="6396" max="6396" width="11" style="81" bestFit="1" customWidth="1"/>
    <col min="6397" max="6397" width="11.5546875" style="81"/>
    <col min="6398" max="6398" width="12.88671875" style="81" customWidth="1"/>
    <col min="6399" max="6399" width="11.5546875" style="81"/>
    <col min="6400" max="6400" width="12.33203125" style="81" bestFit="1" customWidth="1"/>
    <col min="6401" max="6401" width="18.88671875" style="81" customWidth="1"/>
    <col min="6402" max="6646" width="11.5546875" style="81"/>
    <col min="6647" max="6647" width="2.109375" style="81" customWidth="1"/>
    <col min="6648" max="6648" width="10" style="81" bestFit="1" customWidth="1"/>
    <col min="6649" max="6649" width="13" style="81" customWidth="1"/>
    <col min="6650" max="6651" width="11.5546875" style="81"/>
    <col min="6652" max="6652" width="11" style="81" bestFit="1" customWidth="1"/>
    <col min="6653" max="6653" width="11.5546875" style="81"/>
    <col min="6654" max="6654" width="12.88671875" style="81" customWidth="1"/>
    <col min="6655" max="6655" width="11.5546875" style="81"/>
    <col min="6656" max="6656" width="12.33203125" style="81" bestFit="1" customWidth="1"/>
    <col min="6657" max="6657" width="18.88671875" style="81" customWidth="1"/>
    <col min="6658" max="6902" width="11.5546875" style="81"/>
    <col min="6903" max="6903" width="2.109375" style="81" customWidth="1"/>
    <col min="6904" max="6904" width="10" style="81" bestFit="1" customWidth="1"/>
    <col min="6905" max="6905" width="13" style="81" customWidth="1"/>
    <col min="6906" max="6907" width="11.5546875" style="81"/>
    <col min="6908" max="6908" width="11" style="81" bestFit="1" customWidth="1"/>
    <col min="6909" max="6909" width="11.5546875" style="81"/>
    <col min="6910" max="6910" width="12.88671875" style="81" customWidth="1"/>
    <col min="6911" max="6911" width="11.5546875" style="81"/>
    <col min="6912" max="6912" width="12.33203125" style="81" bestFit="1" customWidth="1"/>
    <col min="6913" max="6913" width="18.88671875" style="81" customWidth="1"/>
    <col min="6914" max="7158" width="11.5546875" style="81"/>
    <col min="7159" max="7159" width="2.109375" style="81" customWidth="1"/>
    <col min="7160" max="7160" width="10" style="81" bestFit="1" customWidth="1"/>
    <col min="7161" max="7161" width="13" style="81" customWidth="1"/>
    <col min="7162" max="7163" width="11.5546875" style="81"/>
    <col min="7164" max="7164" width="11" style="81" bestFit="1" customWidth="1"/>
    <col min="7165" max="7165" width="11.5546875" style="81"/>
    <col min="7166" max="7166" width="12.88671875" style="81" customWidth="1"/>
    <col min="7167" max="7167" width="11.5546875" style="81"/>
    <col min="7168" max="7168" width="12.33203125" style="81" bestFit="1" customWidth="1"/>
    <col min="7169" max="7169" width="18.88671875" style="81" customWidth="1"/>
    <col min="7170" max="7414" width="11.5546875" style="81"/>
    <col min="7415" max="7415" width="2.109375" style="81" customWidth="1"/>
    <col min="7416" max="7416" width="10" style="81" bestFit="1" customWidth="1"/>
    <col min="7417" max="7417" width="13" style="81" customWidth="1"/>
    <col min="7418" max="7419" width="11.5546875" style="81"/>
    <col min="7420" max="7420" width="11" style="81" bestFit="1" customWidth="1"/>
    <col min="7421" max="7421" width="11.5546875" style="81"/>
    <col min="7422" max="7422" width="12.88671875" style="81" customWidth="1"/>
    <col min="7423" max="7423" width="11.5546875" style="81"/>
    <col min="7424" max="7424" width="12.33203125" style="81" bestFit="1" customWidth="1"/>
    <col min="7425" max="7425" width="18.88671875" style="81" customWidth="1"/>
    <col min="7426" max="7670" width="11.5546875" style="81"/>
    <col min="7671" max="7671" width="2.109375" style="81" customWidth="1"/>
    <col min="7672" max="7672" width="10" style="81" bestFit="1" customWidth="1"/>
    <col min="7673" max="7673" width="13" style="81" customWidth="1"/>
    <col min="7674" max="7675" width="11.5546875" style="81"/>
    <col min="7676" max="7676" width="11" style="81" bestFit="1" customWidth="1"/>
    <col min="7677" max="7677" width="11.5546875" style="81"/>
    <col min="7678" max="7678" width="12.88671875" style="81" customWidth="1"/>
    <col min="7679" max="7679" width="11.5546875" style="81"/>
    <col min="7680" max="7680" width="12.33203125" style="81" bestFit="1" customWidth="1"/>
    <col min="7681" max="7681" width="18.88671875" style="81" customWidth="1"/>
    <col min="7682" max="7926" width="11.5546875" style="81"/>
    <col min="7927" max="7927" width="2.109375" style="81" customWidth="1"/>
    <col min="7928" max="7928" width="10" style="81" bestFit="1" customWidth="1"/>
    <col min="7929" max="7929" width="13" style="81" customWidth="1"/>
    <col min="7930" max="7931" width="11.5546875" style="81"/>
    <col min="7932" max="7932" width="11" style="81" bestFit="1" customWidth="1"/>
    <col min="7933" max="7933" width="11.5546875" style="81"/>
    <col min="7934" max="7934" width="12.88671875" style="81" customWidth="1"/>
    <col min="7935" max="7935" width="11.5546875" style="81"/>
    <col min="7936" max="7936" width="12.33203125" style="81" bestFit="1" customWidth="1"/>
    <col min="7937" max="7937" width="18.88671875" style="81" customWidth="1"/>
    <col min="7938" max="8182" width="11.5546875" style="81"/>
    <col min="8183" max="8183" width="2.109375" style="81" customWidth="1"/>
    <col min="8184" max="8184" width="10" style="81" bestFit="1" customWidth="1"/>
    <col min="8185" max="8185" width="13" style="81" customWidth="1"/>
    <col min="8186" max="8187" width="11.5546875" style="81"/>
    <col min="8188" max="8188" width="11" style="81" bestFit="1" customWidth="1"/>
    <col min="8189" max="8189" width="11.5546875" style="81"/>
    <col min="8190" max="8190" width="12.88671875" style="81" customWidth="1"/>
    <col min="8191" max="8191" width="11.5546875" style="81"/>
    <col min="8192" max="8192" width="12.33203125" style="81" bestFit="1" customWidth="1"/>
    <col min="8193" max="8193" width="18.88671875" style="81" customWidth="1"/>
    <col min="8194" max="8438" width="11.5546875" style="81"/>
    <col min="8439" max="8439" width="2.109375" style="81" customWidth="1"/>
    <col min="8440" max="8440" width="10" style="81" bestFit="1" customWidth="1"/>
    <col min="8441" max="8441" width="13" style="81" customWidth="1"/>
    <col min="8442" max="8443" width="11.5546875" style="81"/>
    <col min="8444" max="8444" width="11" style="81" bestFit="1" customWidth="1"/>
    <col min="8445" max="8445" width="11.5546875" style="81"/>
    <col min="8446" max="8446" width="12.88671875" style="81" customWidth="1"/>
    <col min="8447" max="8447" width="11.5546875" style="81"/>
    <col min="8448" max="8448" width="12.33203125" style="81" bestFit="1" customWidth="1"/>
    <col min="8449" max="8449" width="18.88671875" style="81" customWidth="1"/>
    <col min="8450" max="8694" width="11.5546875" style="81"/>
    <col min="8695" max="8695" width="2.109375" style="81" customWidth="1"/>
    <col min="8696" max="8696" width="10" style="81" bestFit="1" customWidth="1"/>
    <col min="8697" max="8697" width="13" style="81" customWidth="1"/>
    <col min="8698" max="8699" width="11.5546875" style="81"/>
    <col min="8700" max="8700" width="11" style="81" bestFit="1" customWidth="1"/>
    <col min="8701" max="8701" width="11.5546875" style="81"/>
    <col min="8702" max="8702" width="12.88671875" style="81" customWidth="1"/>
    <col min="8703" max="8703" width="11.5546875" style="81"/>
    <col min="8704" max="8704" width="12.33203125" style="81" bestFit="1" customWidth="1"/>
    <col min="8705" max="8705" width="18.88671875" style="81" customWidth="1"/>
    <col min="8706" max="8950" width="11.5546875" style="81"/>
    <col min="8951" max="8951" width="2.109375" style="81" customWidth="1"/>
    <col min="8952" max="8952" width="10" style="81" bestFit="1" customWidth="1"/>
    <col min="8953" max="8953" width="13" style="81" customWidth="1"/>
    <col min="8954" max="8955" width="11.5546875" style="81"/>
    <col min="8956" max="8956" width="11" style="81" bestFit="1" customWidth="1"/>
    <col min="8957" max="8957" width="11.5546875" style="81"/>
    <col min="8958" max="8958" width="12.88671875" style="81" customWidth="1"/>
    <col min="8959" max="8959" width="11.5546875" style="81"/>
    <col min="8960" max="8960" width="12.33203125" style="81" bestFit="1" customWidth="1"/>
    <col min="8961" max="8961" width="18.88671875" style="81" customWidth="1"/>
    <col min="8962" max="9206" width="11.5546875" style="81"/>
    <col min="9207" max="9207" width="2.109375" style="81" customWidth="1"/>
    <col min="9208" max="9208" width="10" style="81" bestFit="1" customWidth="1"/>
    <col min="9209" max="9209" width="13" style="81" customWidth="1"/>
    <col min="9210" max="9211" width="11.5546875" style="81"/>
    <col min="9212" max="9212" width="11" style="81" bestFit="1" customWidth="1"/>
    <col min="9213" max="9213" width="11.5546875" style="81"/>
    <col min="9214" max="9214" width="12.88671875" style="81" customWidth="1"/>
    <col min="9215" max="9215" width="11.5546875" style="81"/>
    <col min="9216" max="9216" width="12.33203125" style="81" bestFit="1" customWidth="1"/>
    <col min="9217" max="9217" width="18.88671875" style="81" customWidth="1"/>
    <col min="9218" max="9462" width="11.5546875" style="81"/>
    <col min="9463" max="9463" width="2.109375" style="81" customWidth="1"/>
    <col min="9464" max="9464" width="10" style="81" bestFit="1" customWidth="1"/>
    <col min="9465" max="9465" width="13" style="81" customWidth="1"/>
    <col min="9466" max="9467" width="11.5546875" style="81"/>
    <col min="9468" max="9468" width="11" style="81" bestFit="1" customWidth="1"/>
    <col min="9469" max="9469" width="11.5546875" style="81"/>
    <col min="9470" max="9470" width="12.88671875" style="81" customWidth="1"/>
    <col min="9471" max="9471" width="11.5546875" style="81"/>
    <col min="9472" max="9472" width="12.33203125" style="81" bestFit="1" customWidth="1"/>
    <col min="9473" max="9473" width="18.88671875" style="81" customWidth="1"/>
    <col min="9474" max="9718" width="11.5546875" style="81"/>
    <col min="9719" max="9719" width="2.109375" style="81" customWidth="1"/>
    <col min="9720" max="9720" width="10" style="81" bestFit="1" customWidth="1"/>
    <col min="9721" max="9721" width="13" style="81" customWidth="1"/>
    <col min="9722" max="9723" width="11.5546875" style="81"/>
    <col min="9724" max="9724" width="11" style="81" bestFit="1" customWidth="1"/>
    <col min="9725" max="9725" width="11.5546875" style="81"/>
    <col min="9726" max="9726" width="12.88671875" style="81" customWidth="1"/>
    <col min="9727" max="9727" width="11.5546875" style="81"/>
    <col min="9728" max="9728" width="12.33203125" style="81" bestFit="1" customWidth="1"/>
    <col min="9729" max="9729" width="18.88671875" style="81" customWidth="1"/>
    <col min="9730" max="9974" width="11.5546875" style="81"/>
    <col min="9975" max="9975" width="2.109375" style="81" customWidth="1"/>
    <col min="9976" max="9976" width="10" style="81" bestFit="1" customWidth="1"/>
    <col min="9977" max="9977" width="13" style="81" customWidth="1"/>
    <col min="9978" max="9979" width="11.5546875" style="81"/>
    <col min="9980" max="9980" width="11" style="81" bestFit="1" customWidth="1"/>
    <col min="9981" max="9981" width="11.5546875" style="81"/>
    <col min="9982" max="9982" width="12.88671875" style="81" customWidth="1"/>
    <col min="9983" max="9983" width="11.5546875" style="81"/>
    <col min="9984" max="9984" width="12.33203125" style="81" bestFit="1" customWidth="1"/>
    <col min="9985" max="9985" width="18.88671875" style="81" customWidth="1"/>
    <col min="9986" max="10230" width="11.5546875" style="81"/>
    <col min="10231" max="10231" width="2.109375" style="81" customWidth="1"/>
    <col min="10232" max="10232" width="10" style="81" bestFit="1" customWidth="1"/>
    <col min="10233" max="10233" width="13" style="81" customWidth="1"/>
    <col min="10234" max="10235" width="11.5546875" style="81"/>
    <col min="10236" max="10236" width="11" style="81" bestFit="1" customWidth="1"/>
    <col min="10237" max="10237" width="11.5546875" style="81"/>
    <col min="10238" max="10238" width="12.88671875" style="81" customWidth="1"/>
    <col min="10239" max="10239" width="11.5546875" style="81"/>
    <col min="10240" max="10240" width="12.33203125" style="81" bestFit="1" customWidth="1"/>
    <col min="10241" max="10241" width="18.88671875" style="81" customWidth="1"/>
    <col min="10242" max="10486" width="11.5546875" style="81"/>
    <col min="10487" max="10487" width="2.109375" style="81" customWidth="1"/>
    <col min="10488" max="10488" width="10" style="81" bestFit="1" customWidth="1"/>
    <col min="10489" max="10489" width="13" style="81" customWidth="1"/>
    <col min="10490" max="10491" width="11.5546875" style="81"/>
    <col min="10492" max="10492" width="11" style="81" bestFit="1" customWidth="1"/>
    <col min="10493" max="10493" width="11.5546875" style="81"/>
    <col min="10494" max="10494" width="12.88671875" style="81" customWidth="1"/>
    <col min="10495" max="10495" width="11.5546875" style="81"/>
    <col min="10496" max="10496" width="12.33203125" style="81" bestFit="1" customWidth="1"/>
    <col min="10497" max="10497" width="18.88671875" style="81" customWidth="1"/>
    <col min="10498" max="10742" width="11.5546875" style="81"/>
    <col min="10743" max="10743" width="2.109375" style="81" customWidth="1"/>
    <col min="10744" max="10744" width="10" style="81" bestFit="1" customWidth="1"/>
    <col min="10745" max="10745" width="13" style="81" customWidth="1"/>
    <col min="10746" max="10747" width="11.5546875" style="81"/>
    <col min="10748" max="10748" width="11" style="81" bestFit="1" customWidth="1"/>
    <col min="10749" max="10749" width="11.5546875" style="81"/>
    <col min="10750" max="10750" width="12.88671875" style="81" customWidth="1"/>
    <col min="10751" max="10751" width="11.5546875" style="81"/>
    <col min="10752" max="10752" width="12.33203125" style="81" bestFit="1" customWidth="1"/>
    <col min="10753" max="10753" width="18.88671875" style="81" customWidth="1"/>
    <col min="10754" max="10998" width="11.5546875" style="81"/>
    <col min="10999" max="10999" width="2.109375" style="81" customWidth="1"/>
    <col min="11000" max="11000" width="10" style="81" bestFit="1" customWidth="1"/>
    <col min="11001" max="11001" width="13" style="81" customWidth="1"/>
    <col min="11002" max="11003" width="11.5546875" style="81"/>
    <col min="11004" max="11004" width="11" style="81" bestFit="1" customWidth="1"/>
    <col min="11005" max="11005" width="11.5546875" style="81"/>
    <col min="11006" max="11006" width="12.88671875" style="81" customWidth="1"/>
    <col min="11007" max="11007" width="11.5546875" style="81"/>
    <col min="11008" max="11008" width="12.33203125" style="81" bestFit="1" customWidth="1"/>
    <col min="11009" max="11009" width="18.88671875" style="81" customWidth="1"/>
    <col min="11010" max="11254" width="11.5546875" style="81"/>
    <col min="11255" max="11255" width="2.109375" style="81" customWidth="1"/>
    <col min="11256" max="11256" width="10" style="81" bestFit="1" customWidth="1"/>
    <col min="11257" max="11257" width="13" style="81" customWidth="1"/>
    <col min="11258" max="11259" width="11.5546875" style="81"/>
    <col min="11260" max="11260" width="11" style="81" bestFit="1" customWidth="1"/>
    <col min="11261" max="11261" width="11.5546875" style="81"/>
    <col min="11262" max="11262" width="12.88671875" style="81" customWidth="1"/>
    <col min="11263" max="11263" width="11.5546875" style="81"/>
    <col min="11264" max="11264" width="12.33203125" style="81" bestFit="1" customWidth="1"/>
    <col min="11265" max="11265" width="18.88671875" style="81" customWidth="1"/>
    <col min="11266" max="11510" width="11.5546875" style="81"/>
    <col min="11511" max="11511" width="2.109375" style="81" customWidth="1"/>
    <col min="11512" max="11512" width="10" style="81" bestFit="1" customWidth="1"/>
    <col min="11513" max="11513" width="13" style="81" customWidth="1"/>
    <col min="11514" max="11515" width="11.5546875" style="81"/>
    <col min="11516" max="11516" width="11" style="81" bestFit="1" customWidth="1"/>
    <col min="11517" max="11517" width="11.5546875" style="81"/>
    <col min="11518" max="11518" width="12.88671875" style="81" customWidth="1"/>
    <col min="11519" max="11519" width="11.5546875" style="81"/>
    <col min="11520" max="11520" width="12.33203125" style="81" bestFit="1" customWidth="1"/>
    <col min="11521" max="11521" width="18.88671875" style="81" customWidth="1"/>
    <col min="11522" max="11766" width="11.5546875" style="81"/>
    <col min="11767" max="11767" width="2.109375" style="81" customWidth="1"/>
    <col min="11768" max="11768" width="10" style="81" bestFit="1" customWidth="1"/>
    <col min="11769" max="11769" width="13" style="81" customWidth="1"/>
    <col min="11770" max="11771" width="11.5546875" style="81"/>
    <col min="11772" max="11772" width="11" style="81" bestFit="1" customWidth="1"/>
    <col min="11773" max="11773" width="11.5546875" style="81"/>
    <col min="11774" max="11774" width="12.88671875" style="81" customWidth="1"/>
    <col min="11775" max="11775" width="11.5546875" style="81"/>
    <col min="11776" max="11776" width="12.33203125" style="81" bestFit="1" customWidth="1"/>
    <col min="11777" max="11777" width="18.88671875" style="81" customWidth="1"/>
    <col min="11778" max="12022" width="11.5546875" style="81"/>
    <col min="12023" max="12023" width="2.109375" style="81" customWidth="1"/>
    <col min="12024" max="12024" width="10" style="81" bestFit="1" customWidth="1"/>
    <col min="12025" max="12025" width="13" style="81" customWidth="1"/>
    <col min="12026" max="12027" width="11.5546875" style="81"/>
    <col min="12028" max="12028" width="11" style="81" bestFit="1" customWidth="1"/>
    <col min="12029" max="12029" width="11.5546875" style="81"/>
    <col min="12030" max="12030" width="12.88671875" style="81" customWidth="1"/>
    <col min="12031" max="12031" width="11.5546875" style="81"/>
    <col min="12032" max="12032" width="12.33203125" style="81" bestFit="1" customWidth="1"/>
    <col min="12033" max="12033" width="18.88671875" style="81" customWidth="1"/>
    <col min="12034" max="12278" width="11.5546875" style="81"/>
    <col min="12279" max="12279" width="2.109375" style="81" customWidth="1"/>
    <col min="12280" max="12280" width="10" style="81" bestFit="1" customWidth="1"/>
    <col min="12281" max="12281" width="13" style="81" customWidth="1"/>
    <col min="12282" max="12283" width="11.5546875" style="81"/>
    <col min="12284" max="12284" width="11" style="81" bestFit="1" customWidth="1"/>
    <col min="12285" max="12285" width="11.5546875" style="81"/>
    <col min="12286" max="12286" width="12.88671875" style="81" customWidth="1"/>
    <col min="12287" max="12287" width="11.5546875" style="81"/>
    <col min="12288" max="12288" width="12.33203125" style="81" bestFit="1" customWidth="1"/>
    <col min="12289" max="12289" width="18.88671875" style="81" customWidth="1"/>
    <col min="12290" max="12534" width="11.5546875" style="81"/>
    <col min="12535" max="12535" width="2.109375" style="81" customWidth="1"/>
    <col min="12536" max="12536" width="10" style="81" bestFit="1" customWidth="1"/>
    <col min="12537" max="12537" width="13" style="81" customWidth="1"/>
    <col min="12538" max="12539" width="11.5546875" style="81"/>
    <col min="12540" max="12540" width="11" style="81" bestFit="1" customWidth="1"/>
    <col min="12541" max="12541" width="11.5546875" style="81"/>
    <col min="12542" max="12542" width="12.88671875" style="81" customWidth="1"/>
    <col min="12543" max="12543" width="11.5546875" style="81"/>
    <col min="12544" max="12544" width="12.33203125" style="81" bestFit="1" customWidth="1"/>
    <col min="12545" max="12545" width="18.88671875" style="81" customWidth="1"/>
    <col min="12546" max="12790" width="11.5546875" style="81"/>
    <col min="12791" max="12791" width="2.109375" style="81" customWidth="1"/>
    <col min="12792" max="12792" width="10" style="81" bestFit="1" customWidth="1"/>
    <col min="12793" max="12793" width="13" style="81" customWidth="1"/>
    <col min="12794" max="12795" width="11.5546875" style="81"/>
    <col min="12796" max="12796" width="11" style="81" bestFit="1" customWidth="1"/>
    <col min="12797" max="12797" width="11.5546875" style="81"/>
    <col min="12798" max="12798" width="12.88671875" style="81" customWidth="1"/>
    <col min="12799" max="12799" width="11.5546875" style="81"/>
    <col min="12800" max="12800" width="12.33203125" style="81" bestFit="1" customWidth="1"/>
    <col min="12801" max="12801" width="18.88671875" style="81" customWidth="1"/>
    <col min="12802" max="13046" width="11.5546875" style="81"/>
    <col min="13047" max="13047" width="2.109375" style="81" customWidth="1"/>
    <col min="13048" max="13048" width="10" style="81" bestFit="1" customWidth="1"/>
    <col min="13049" max="13049" width="13" style="81" customWidth="1"/>
    <col min="13050" max="13051" width="11.5546875" style="81"/>
    <col min="13052" max="13052" width="11" style="81" bestFit="1" customWidth="1"/>
    <col min="13053" max="13053" width="11.5546875" style="81"/>
    <col min="13054" max="13054" width="12.88671875" style="81" customWidth="1"/>
    <col min="13055" max="13055" width="11.5546875" style="81"/>
    <col min="13056" max="13056" width="12.33203125" style="81" bestFit="1" customWidth="1"/>
    <col min="13057" max="13057" width="18.88671875" style="81" customWidth="1"/>
    <col min="13058" max="13302" width="11.5546875" style="81"/>
    <col min="13303" max="13303" width="2.109375" style="81" customWidth="1"/>
    <col min="13304" max="13304" width="10" style="81" bestFit="1" customWidth="1"/>
    <col min="13305" max="13305" width="13" style="81" customWidth="1"/>
    <col min="13306" max="13307" width="11.5546875" style="81"/>
    <col min="13308" max="13308" width="11" style="81" bestFit="1" customWidth="1"/>
    <col min="13309" max="13309" width="11.5546875" style="81"/>
    <col min="13310" max="13310" width="12.88671875" style="81" customWidth="1"/>
    <col min="13311" max="13311" width="11.5546875" style="81"/>
    <col min="13312" max="13312" width="12.33203125" style="81" bestFit="1" customWidth="1"/>
    <col min="13313" max="13313" width="18.88671875" style="81" customWidth="1"/>
    <col min="13314" max="13558" width="11.5546875" style="81"/>
    <col min="13559" max="13559" width="2.109375" style="81" customWidth="1"/>
    <col min="13560" max="13560" width="10" style="81" bestFit="1" customWidth="1"/>
    <col min="13561" max="13561" width="13" style="81" customWidth="1"/>
    <col min="13562" max="13563" width="11.5546875" style="81"/>
    <col min="13564" max="13564" width="11" style="81" bestFit="1" customWidth="1"/>
    <col min="13565" max="13565" width="11.5546875" style="81"/>
    <col min="13566" max="13566" width="12.88671875" style="81" customWidth="1"/>
    <col min="13567" max="13567" width="11.5546875" style="81"/>
    <col min="13568" max="13568" width="12.33203125" style="81" bestFit="1" customWidth="1"/>
    <col min="13569" max="13569" width="18.88671875" style="81" customWidth="1"/>
    <col min="13570" max="13814" width="11.5546875" style="81"/>
    <col min="13815" max="13815" width="2.109375" style="81" customWidth="1"/>
    <col min="13816" max="13816" width="10" style="81" bestFit="1" customWidth="1"/>
    <col min="13817" max="13817" width="13" style="81" customWidth="1"/>
    <col min="13818" max="13819" width="11.5546875" style="81"/>
    <col min="13820" max="13820" width="11" style="81" bestFit="1" customWidth="1"/>
    <col min="13821" max="13821" width="11.5546875" style="81"/>
    <col min="13822" max="13822" width="12.88671875" style="81" customWidth="1"/>
    <col min="13823" max="13823" width="11.5546875" style="81"/>
    <col min="13824" max="13824" width="12.33203125" style="81" bestFit="1" customWidth="1"/>
    <col min="13825" max="13825" width="18.88671875" style="81" customWidth="1"/>
    <col min="13826" max="14070" width="11.5546875" style="81"/>
    <col min="14071" max="14071" width="2.109375" style="81" customWidth="1"/>
    <col min="14072" max="14072" width="10" style="81" bestFit="1" customWidth="1"/>
    <col min="14073" max="14073" width="13" style="81" customWidth="1"/>
    <col min="14074" max="14075" width="11.5546875" style="81"/>
    <col min="14076" max="14076" width="11" style="81" bestFit="1" customWidth="1"/>
    <col min="14077" max="14077" width="11.5546875" style="81"/>
    <col min="14078" max="14078" width="12.88671875" style="81" customWidth="1"/>
    <col min="14079" max="14079" width="11.5546875" style="81"/>
    <col min="14080" max="14080" width="12.33203125" style="81" bestFit="1" customWidth="1"/>
    <col min="14081" max="14081" width="18.88671875" style="81" customWidth="1"/>
    <col min="14082" max="14326" width="11.5546875" style="81"/>
    <col min="14327" max="14327" width="2.109375" style="81" customWidth="1"/>
    <col min="14328" max="14328" width="10" style="81" bestFit="1" customWidth="1"/>
    <col min="14329" max="14329" width="13" style="81" customWidth="1"/>
    <col min="14330" max="14331" width="11.5546875" style="81"/>
    <col min="14332" max="14332" width="11" style="81" bestFit="1" customWidth="1"/>
    <col min="14333" max="14333" width="11.5546875" style="81"/>
    <col min="14334" max="14334" width="12.88671875" style="81" customWidth="1"/>
    <col min="14335" max="14335" width="11.5546875" style="81"/>
    <col min="14336" max="14336" width="12.33203125" style="81" bestFit="1" customWidth="1"/>
    <col min="14337" max="14337" width="18.88671875" style="81" customWidth="1"/>
    <col min="14338" max="14582" width="11.5546875" style="81"/>
    <col min="14583" max="14583" width="2.109375" style="81" customWidth="1"/>
    <col min="14584" max="14584" width="10" style="81" bestFit="1" customWidth="1"/>
    <col min="14585" max="14585" width="13" style="81" customWidth="1"/>
    <col min="14586" max="14587" width="11.5546875" style="81"/>
    <col min="14588" max="14588" width="11" style="81" bestFit="1" customWidth="1"/>
    <col min="14589" max="14589" width="11.5546875" style="81"/>
    <col min="14590" max="14590" width="12.88671875" style="81" customWidth="1"/>
    <col min="14591" max="14591" width="11.5546875" style="81"/>
    <col min="14592" max="14592" width="12.33203125" style="81" bestFit="1" customWidth="1"/>
    <col min="14593" max="14593" width="18.88671875" style="81" customWidth="1"/>
    <col min="14594" max="14838" width="11.5546875" style="81"/>
    <col min="14839" max="14839" width="2.109375" style="81" customWidth="1"/>
    <col min="14840" max="14840" width="10" style="81" bestFit="1" customWidth="1"/>
    <col min="14841" max="14841" width="13" style="81" customWidth="1"/>
    <col min="14842" max="14843" width="11.5546875" style="81"/>
    <col min="14844" max="14844" width="11" style="81" bestFit="1" customWidth="1"/>
    <col min="14845" max="14845" width="11.5546875" style="81"/>
    <col min="14846" max="14846" width="12.88671875" style="81" customWidth="1"/>
    <col min="14847" max="14847" width="11.5546875" style="81"/>
    <col min="14848" max="14848" width="12.33203125" style="81" bestFit="1" customWidth="1"/>
    <col min="14849" max="14849" width="18.88671875" style="81" customWidth="1"/>
    <col min="14850" max="15094" width="11.5546875" style="81"/>
    <col min="15095" max="15095" width="2.109375" style="81" customWidth="1"/>
    <col min="15096" max="15096" width="10" style="81" bestFit="1" customWidth="1"/>
    <col min="15097" max="15097" width="13" style="81" customWidth="1"/>
    <col min="15098" max="15099" width="11.5546875" style="81"/>
    <col min="15100" max="15100" width="11" style="81" bestFit="1" customWidth="1"/>
    <col min="15101" max="15101" width="11.5546875" style="81"/>
    <col min="15102" max="15102" width="12.88671875" style="81" customWidth="1"/>
    <col min="15103" max="15103" width="11.5546875" style="81"/>
    <col min="15104" max="15104" width="12.33203125" style="81" bestFit="1" customWidth="1"/>
    <col min="15105" max="15105" width="18.88671875" style="81" customWidth="1"/>
    <col min="15106" max="15350" width="11.5546875" style="81"/>
    <col min="15351" max="15351" width="2.109375" style="81" customWidth="1"/>
    <col min="15352" max="15352" width="10" style="81" bestFit="1" customWidth="1"/>
    <col min="15353" max="15353" width="13" style="81" customWidth="1"/>
    <col min="15354" max="15355" width="11.5546875" style="81"/>
    <col min="15356" max="15356" width="11" style="81" bestFit="1" customWidth="1"/>
    <col min="15357" max="15357" width="11.5546875" style="81"/>
    <col min="15358" max="15358" width="12.88671875" style="81" customWidth="1"/>
    <col min="15359" max="15359" width="11.5546875" style="81"/>
    <col min="15360" max="15360" width="12.33203125" style="81" bestFit="1" customWidth="1"/>
    <col min="15361" max="15361" width="18.88671875" style="81" customWidth="1"/>
    <col min="15362" max="15606" width="11.5546875" style="81"/>
    <col min="15607" max="15607" width="2.109375" style="81" customWidth="1"/>
    <col min="15608" max="15608" width="10" style="81" bestFit="1" customWidth="1"/>
    <col min="15609" max="15609" width="13" style="81" customWidth="1"/>
    <col min="15610" max="15611" width="11.5546875" style="81"/>
    <col min="15612" max="15612" width="11" style="81" bestFit="1" customWidth="1"/>
    <col min="15613" max="15613" width="11.5546875" style="81"/>
    <col min="15614" max="15614" width="12.88671875" style="81" customWidth="1"/>
    <col min="15615" max="15615" width="11.5546875" style="81"/>
    <col min="15616" max="15616" width="12.33203125" style="81" bestFit="1" customWidth="1"/>
    <col min="15617" max="15617" width="18.88671875" style="81" customWidth="1"/>
    <col min="15618" max="15862" width="11.5546875" style="81"/>
    <col min="15863" max="15863" width="2.109375" style="81" customWidth="1"/>
    <col min="15864" max="15864" width="10" style="81" bestFit="1" customWidth="1"/>
    <col min="15865" max="15865" width="13" style="81" customWidth="1"/>
    <col min="15866" max="15867" width="11.5546875" style="81"/>
    <col min="15868" max="15868" width="11" style="81" bestFit="1" customWidth="1"/>
    <col min="15869" max="15869" width="11.5546875" style="81"/>
    <col min="15870" max="15870" width="12.88671875" style="81" customWidth="1"/>
    <col min="15871" max="15871" width="11.5546875" style="81"/>
    <col min="15872" max="15872" width="12.33203125" style="81" bestFit="1" customWidth="1"/>
    <col min="15873" max="15873" width="18.88671875" style="81" customWidth="1"/>
    <col min="15874" max="16118" width="11.5546875" style="81"/>
    <col min="16119" max="16119" width="2.109375" style="81" customWidth="1"/>
    <col min="16120" max="16120" width="10" style="81" bestFit="1" customWidth="1"/>
    <col min="16121" max="16121" width="13" style="81" customWidth="1"/>
    <col min="16122" max="16123" width="11.5546875" style="81"/>
    <col min="16124" max="16124" width="11" style="81" bestFit="1" customWidth="1"/>
    <col min="16125" max="16125" width="11.5546875" style="81"/>
    <col min="16126" max="16126" width="12.88671875" style="81" customWidth="1"/>
    <col min="16127" max="16127" width="11.5546875" style="81"/>
    <col min="16128" max="16128" width="12.33203125" style="81" bestFit="1" customWidth="1"/>
    <col min="16129" max="16129" width="18.88671875" style="81" customWidth="1"/>
    <col min="16130" max="16384" width="11.5546875" style="81"/>
  </cols>
  <sheetData>
    <row r="1" spans="2:18" ht="17.25" customHeight="1"/>
    <row r="2" spans="2:18" ht="98.25" customHeight="1">
      <c r="C2" s="903"/>
      <c r="D2" s="904"/>
      <c r="E2" s="904"/>
      <c r="F2" s="904"/>
      <c r="G2" s="904"/>
      <c r="H2" s="904"/>
      <c r="I2" s="904"/>
      <c r="J2" s="904"/>
      <c r="K2" s="904"/>
      <c r="L2" s="904"/>
    </row>
    <row r="3" spans="2:18" ht="26.25" customHeight="1" thickBot="1"/>
    <row r="4" spans="2:18" customFormat="1" ht="14.4">
      <c r="C4" s="905" t="s">
        <v>166</v>
      </c>
      <c r="D4" s="906"/>
      <c r="E4" s="906"/>
      <c r="F4" s="906"/>
      <c r="G4" s="906"/>
      <c r="H4" s="906"/>
      <c r="I4" s="906"/>
      <c r="J4" s="906"/>
      <c r="K4" s="906"/>
      <c r="L4" s="907"/>
    </row>
    <row r="5" spans="2:18" customFormat="1" ht="15" thickBot="1">
      <c r="C5" s="908"/>
      <c r="D5" s="909"/>
      <c r="E5" s="909"/>
      <c r="F5" s="909"/>
      <c r="G5" s="909"/>
      <c r="H5" s="909"/>
      <c r="I5" s="909"/>
      <c r="J5" s="909"/>
      <c r="K5" s="909"/>
      <c r="L5" s="910"/>
    </row>
    <row r="6" spans="2:18" customFormat="1" ht="29.25" customHeight="1" thickBot="1"/>
    <row r="7" spans="2:18" customFormat="1" ht="15" thickBot="1">
      <c r="C7" s="82" t="s">
        <v>343</v>
      </c>
      <c r="D7" s="83"/>
      <c r="E7" s="965">
        <v>956796767</v>
      </c>
      <c r="F7" s="966"/>
      <c r="G7" s="84" t="s">
        <v>146</v>
      </c>
      <c r="H7" s="913" t="str">
        <f>+VLOOKUP($E$7,'OCTUBRE 2025'!$C$8:$J$57,2,0)</f>
        <v>GUAYANLEMA RUIZ EDINSON DAVID</v>
      </c>
      <c r="I7" s="914"/>
      <c r="J7" s="914"/>
      <c r="K7" s="914"/>
      <c r="L7" s="915"/>
    </row>
    <row r="8" spans="2:18" customFormat="1" ht="15" thickBot="1">
      <c r="C8" s="82" t="s">
        <v>147</v>
      </c>
      <c r="D8" s="86"/>
      <c r="E8" s="916">
        <f>+VLOOKUP($E$7,'OCTUBRE 2025'!$C$8:$J$57,8,0)</f>
        <v>473.88</v>
      </c>
      <c r="F8" s="917"/>
      <c r="G8" s="87" t="s">
        <v>148</v>
      </c>
      <c r="H8" s="918" t="str">
        <f>+VLOOKUP($E$7,'OCTUBRE 2025'!$C$8:$J$57,4,0)</f>
        <v>OFICIAL DE RECAUDACIONES</v>
      </c>
      <c r="I8" s="919"/>
      <c r="J8" s="919"/>
      <c r="K8" s="919"/>
      <c r="L8" s="920"/>
    </row>
    <row r="9" spans="2:18" customFormat="1" ht="15" thickBot="1">
      <c r="C9" s="82" t="s">
        <v>149</v>
      </c>
      <c r="D9" s="88"/>
      <c r="E9" s="963">
        <f>+VLOOKUP($E$7,'OCTUBRE 2025'!$C$8:$J$57,3,0)</f>
        <v>44763</v>
      </c>
      <c r="F9" s="964"/>
      <c r="G9" s="90" t="s">
        <v>231</v>
      </c>
      <c r="H9" s="913" t="str">
        <f>+VLOOKUP($E$7,'OCTUBRE 2025'!$C$8:$J$57,6,0)</f>
        <v>Norte</v>
      </c>
      <c r="I9" s="914"/>
      <c r="J9" s="914"/>
      <c r="K9" s="914"/>
      <c r="L9" s="915"/>
    </row>
    <row r="10" spans="2:18" customFormat="1" ht="31.5" customHeight="1" thickBot="1"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R10" s="407"/>
    </row>
    <row r="11" spans="2:18" customFormat="1" ht="15" thickBot="1">
      <c r="C11" s="929" t="s">
        <v>150</v>
      </c>
      <c r="D11" s="930"/>
      <c r="E11" s="930"/>
      <c r="F11" s="930"/>
      <c r="G11" s="930"/>
      <c r="H11" s="930"/>
      <c r="I11" s="930"/>
      <c r="J11" s="91"/>
      <c r="K11" s="91"/>
      <c r="L11" s="92"/>
    </row>
    <row r="12" spans="2:18" customFormat="1" ht="15" customHeight="1" thickBot="1">
      <c r="C12" s="93"/>
      <c r="J12" s="893" t="s">
        <v>151</v>
      </c>
      <c r="K12" s="894"/>
      <c r="L12" s="931"/>
    </row>
    <row r="13" spans="2:18" customFormat="1" ht="15" customHeight="1" thickBot="1">
      <c r="C13" s="93"/>
      <c r="D13" s="932" t="s">
        <v>152</v>
      </c>
      <c r="E13" s="933"/>
      <c r="F13" s="94"/>
      <c r="G13" s="85"/>
      <c r="H13" s="442"/>
      <c r="J13" s="443" t="s">
        <v>153</v>
      </c>
      <c r="K13" s="445" t="s">
        <v>154</v>
      </c>
      <c r="L13" s="444" t="s">
        <v>87</v>
      </c>
    </row>
    <row r="14" spans="2:18" customFormat="1" ht="15" thickBot="1">
      <c r="C14" s="95"/>
      <c r="D14" s="932" t="s">
        <v>421</v>
      </c>
      <c r="E14" s="933"/>
      <c r="F14" s="94"/>
      <c r="G14" s="96"/>
      <c r="H14" s="446">
        <v>119.95</v>
      </c>
      <c r="I14" s="51"/>
      <c r="J14" s="447">
        <v>1</v>
      </c>
      <c r="K14" s="451">
        <v>45352</v>
      </c>
      <c r="L14" s="448">
        <f>+H17</f>
        <v>39.983333333333334</v>
      </c>
    </row>
    <row r="15" spans="2:18" customFormat="1" ht="18.75" customHeight="1" thickBot="1">
      <c r="C15" s="93"/>
      <c r="D15" s="934" t="s">
        <v>156</v>
      </c>
      <c r="E15" s="935"/>
      <c r="F15" s="935"/>
      <c r="G15" s="936"/>
      <c r="H15" s="267">
        <v>3</v>
      </c>
      <c r="I15" s="51"/>
      <c r="J15" s="447">
        <v>2</v>
      </c>
      <c r="K15" s="451">
        <v>45383</v>
      </c>
      <c r="L15" s="449">
        <f>+L14</f>
        <v>39.983333333333334</v>
      </c>
    </row>
    <row r="16" spans="2:18" customFormat="1" ht="15" thickBot="1">
      <c r="C16" s="95"/>
      <c r="D16" s="97"/>
      <c r="E16" s="97"/>
      <c r="F16" s="97"/>
      <c r="G16" s="97"/>
      <c r="H16" s="98"/>
      <c r="I16" s="51"/>
      <c r="J16" s="447">
        <v>3</v>
      </c>
      <c r="K16" s="451">
        <v>45413</v>
      </c>
      <c r="L16" s="449">
        <f>+L15</f>
        <v>39.983333333333334</v>
      </c>
    </row>
    <row r="17" spans="3:12" customFormat="1" ht="14.4">
      <c r="C17" s="95"/>
      <c r="D17" s="905" t="s">
        <v>87</v>
      </c>
      <c r="E17" s="906"/>
      <c r="F17" s="906"/>
      <c r="G17" s="907"/>
      <c r="H17" s="940">
        <f>+H14/H15</f>
        <v>39.983333333333334</v>
      </c>
      <c r="I17" s="51"/>
      <c r="J17" s="447">
        <v>4</v>
      </c>
      <c r="K17" s="452"/>
      <c r="L17" s="449"/>
    </row>
    <row r="18" spans="3:12" customFormat="1" ht="14.4">
      <c r="C18" s="95"/>
      <c r="D18" s="937"/>
      <c r="E18" s="938"/>
      <c r="F18" s="938"/>
      <c r="G18" s="939"/>
      <c r="H18" s="941"/>
      <c r="I18" s="51"/>
      <c r="J18" s="447">
        <v>5</v>
      </c>
      <c r="K18" s="452"/>
      <c r="L18" s="450"/>
    </row>
    <row r="19" spans="3:12" customFormat="1" ht="15" thickBot="1">
      <c r="C19" s="95"/>
      <c r="D19" s="908"/>
      <c r="E19" s="909"/>
      <c r="F19" s="909"/>
      <c r="G19" s="910"/>
      <c r="H19" s="942"/>
      <c r="I19" s="51"/>
      <c r="J19" s="447">
        <v>6</v>
      </c>
      <c r="K19" s="452"/>
      <c r="L19" s="450"/>
    </row>
    <row r="20" spans="3:12" customFormat="1" ht="14.4">
      <c r="C20" s="95"/>
      <c r="D20" s="99"/>
      <c r="E20" s="100"/>
      <c r="F20" s="100"/>
      <c r="G20" s="100"/>
      <c r="H20" s="100"/>
      <c r="I20" s="51"/>
      <c r="J20" s="447">
        <v>7</v>
      </c>
      <c r="K20" s="452"/>
      <c r="L20" s="450"/>
    </row>
    <row r="21" spans="3:12" customFormat="1" ht="14.4">
      <c r="C21" s="95"/>
      <c r="D21" s="99"/>
      <c r="E21" s="100"/>
      <c r="F21" s="100"/>
      <c r="G21" s="100"/>
      <c r="H21" s="100"/>
      <c r="I21" s="51"/>
      <c r="J21" s="447">
        <v>8</v>
      </c>
      <c r="K21" s="452"/>
      <c r="L21" s="450"/>
    </row>
    <row r="22" spans="3:12" customFormat="1" ht="14.4">
      <c r="C22" s="95"/>
      <c r="D22" s="99"/>
      <c r="E22" s="100"/>
      <c r="F22" s="100"/>
      <c r="G22" s="100"/>
      <c r="H22" s="100"/>
      <c r="I22" s="51"/>
      <c r="J22" s="447">
        <v>9</v>
      </c>
      <c r="K22" s="452"/>
      <c r="L22" s="450"/>
    </row>
    <row r="23" spans="3:12" customFormat="1" ht="15" thickBot="1">
      <c r="C23" s="95"/>
      <c r="D23" s="99"/>
      <c r="E23" s="100"/>
      <c r="F23" s="100"/>
      <c r="G23" s="100"/>
      <c r="H23" s="100"/>
      <c r="I23" s="51"/>
      <c r="J23" s="453">
        <v>10</v>
      </c>
      <c r="K23" s="454"/>
      <c r="L23" s="455"/>
    </row>
    <row r="24" spans="3:12" customFormat="1" ht="15" customHeight="1" thickBot="1">
      <c r="C24" s="95"/>
      <c r="F24" s="33"/>
      <c r="G24" s="33"/>
      <c r="H24" s="33"/>
      <c r="I24" s="33"/>
      <c r="J24" s="943" t="s">
        <v>21</v>
      </c>
      <c r="K24" s="944"/>
      <c r="L24" s="101">
        <f>SUM(L14:L23)</f>
        <v>119.95</v>
      </c>
    </row>
    <row r="25" spans="3:12" customFormat="1" ht="15" thickBot="1">
      <c r="C25" s="102"/>
      <c r="D25" s="89"/>
      <c r="E25" s="89"/>
      <c r="F25" s="103"/>
      <c r="G25" s="103"/>
      <c r="H25" s="103"/>
      <c r="I25" s="103"/>
      <c r="J25" s="103"/>
      <c r="K25" s="103"/>
      <c r="L25" s="104"/>
    </row>
    <row r="26" spans="3:12" customFormat="1" ht="15.75" customHeight="1"/>
    <row r="27" spans="3:12" customFormat="1" ht="19.5" customHeight="1" thickBot="1"/>
    <row r="28" spans="3:12" s="33" customFormat="1" ht="27.75" customHeight="1" thickBot="1">
      <c r="C28" s="893" t="s">
        <v>157</v>
      </c>
      <c r="D28" s="894"/>
      <c r="E28" s="894"/>
      <c r="F28" s="894"/>
      <c r="G28" s="894"/>
      <c r="H28" s="894"/>
      <c r="I28" s="894"/>
      <c r="J28" s="894"/>
      <c r="K28" s="894"/>
      <c r="L28" s="931"/>
    </row>
    <row r="29" spans="3:12" customFormat="1" ht="8.25" customHeight="1" thickBot="1"/>
    <row r="30" spans="3:12" customFormat="1" ht="16.5" customHeight="1">
      <c r="C30" s="921" t="s">
        <v>423</v>
      </c>
      <c r="D30" s="922"/>
      <c r="E30" s="922"/>
      <c r="F30" s="922"/>
      <c r="G30" s="922"/>
      <c r="H30" s="922"/>
      <c r="I30" s="922"/>
      <c r="J30" s="922"/>
      <c r="K30" s="922"/>
      <c r="L30" s="923"/>
    </row>
    <row r="31" spans="3:12" customFormat="1" ht="35.25" customHeight="1" thickBot="1">
      <c r="C31" s="924"/>
      <c r="D31" s="925"/>
      <c r="E31" s="925"/>
      <c r="F31" s="925"/>
      <c r="G31" s="925"/>
      <c r="H31" s="925"/>
      <c r="I31" s="925"/>
      <c r="J31" s="925"/>
      <c r="K31" s="925"/>
      <c r="L31" s="926"/>
    </row>
    <row r="32" spans="3:12" customFormat="1" ht="18" customHeight="1" thickBot="1"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3:12" s="33" customFormat="1" ht="39.75" customHeight="1" thickBot="1">
      <c r="C33" s="893" t="s">
        <v>267</v>
      </c>
      <c r="D33" s="894"/>
      <c r="E33" s="894"/>
      <c r="F33" s="894"/>
      <c r="G33" s="894"/>
      <c r="H33" s="894"/>
      <c r="I33" s="894"/>
      <c r="J33" s="894"/>
      <c r="K33" s="894"/>
      <c r="L33" s="931"/>
    </row>
    <row r="34" spans="3:12" customFormat="1" ht="14.4">
      <c r="C34" s="105"/>
      <c r="D34" s="91"/>
      <c r="E34" s="91"/>
      <c r="F34" s="91"/>
      <c r="G34" s="91"/>
      <c r="H34" s="91"/>
      <c r="I34" s="91"/>
      <c r="J34" s="91"/>
      <c r="K34" s="91"/>
      <c r="L34" s="92"/>
    </row>
    <row r="35" spans="3:12" customFormat="1" ht="14.4">
      <c r="C35" s="947" t="s">
        <v>268</v>
      </c>
      <c r="D35" s="948"/>
      <c r="E35" s="948"/>
      <c r="F35" s="948"/>
      <c r="G35" s="948"/>
      <c r="H35" s="948"/>
      <c r="I35" s="948"/>
      <c r="J35" s="948"/>
      <c r="K35" s="948"/>
      <c r="L35" s="949"/>
    </row>
    <row r="36" spans="3:12" customFormat="1" ht="14.4">
      <c r="C36" s="947"/>
      <c r="D36" s="948"/>
      <c r="E36" s="948"/>
      <c r="F36" s="948"/>
      <c r="G36" s="948"/>
      <c r="H36" s="948"/>
      <c r="I36" s="948"/>
      <c r="J36" s="948"/>
      <c r="K36" s="948"/>
      <c r="L36" s="949"/>
    </row>
    <row r="37" spans="3:12" customFormat="1" ht="14.4">
      <c r="C37" s="947"/>
      <c r="D37" s="948"/>
      <c r="E37" s="948"/>
      <c r="F37" s="948"/>
      <c r="G37" s="948"/>
      <c r="H37" s="948"/>
      <c r="I37" s="948"/>
      <c r="J37" s="948"/>
      <c r="K37" s="948"/>
      <c r="L37" s="949"/>
    </row>
    <row r="38" spans="3:12" customFormat="1" ht="14.4">
      <c r="C38" s="95"/>
      <c r="L38" s="106"/>
    </row>
    <row r="39" spans="3:12" customFormat="1" ht="14.4">
      <c r="C39" s="95"/>
      <c r="L39" s="106"/>
    </row>
    <row r="40" spans="3:12" customFormat="1" ht="14.4">
      <c r="C40" s="95"/>
      <c r="L40" s="106"/>
    </row>
    <row r="41" spans="3:12" customFormat="1" ht="14.4">
      <c r="C41" s="95"/>
      <c r="L41" s="106"/>
    </row>
    <row r="42" spans="3:12" customFormat="1" ht="14.4">
      <c r="C42" s="95"/>
      <c r="D42" s="950"/>
      <c r="E42" s="950"/>
      <c r="F42" s="950"/>
      <c r="G42" s="950"/>
      <c r="L42" s="106"/>
    </row>
    <row r="43" spans="3:12" customFormat="1" ht="14.4">
      <c r="C43" s="95"/>
      <c r="D43" s="946" t="s">
        <v>158</v>
      </c>
      <c r="E43" s="946"/>
      <c r="F43" s="946"/>
      <c r="I43" s="945" t="s">
        <v>159</v>
      </c>
      <c r="J43" s="945"/>
      <c r="K43" s="945"/>
      <c r="L43" s="106"/>
    </row>
    <row r="44" spans="3:12" customFormat="1" ht="14.4">
      <c r="C44" s="95"/>
      <c r="D44" s="107" t="s">
        <v>160</v>
      </c>
      <c r="E44" s="710">
        <f>+E7</f>
        <v>956796767</v>
      </c>
      <c r="F44" s="109"/>
      <c r="I44" s="946" t="s">
        <v>161</v>
      </c>
      <c r="J44" s="946"/>
      <c r="K44" s="946"/>
      <c r="L44" s="106"/>
    </row>
    <row r="45" spans="3:12" customFormat="1" ht="14.4">
      <c r="C45" s="95"/>
      <c r="L45" s="106"/>
    </row>
    <row r="46" spans="3:12" customFormat="1" ht="14.4">
      <c r="C46" s="95"/>
      <c r="L46" s="106"/>
    </row>
    <row r="47" spans="3:12" customFormat="1" ht="14.4">
      <c r="C47" s="95"/>
      <c r="L47" s="106"/>
    </row>
    <row r="48" spans="3:12" customFormat="1" ht="14.4">
      <c r="C48" s="95"/>
      <c r="L48" s="106"/>
    </row>
    <row r="49" spans="3:12" customFormat="1" ht="14.4">
      <c r="C49" s="95"/>
      <c r="L49" s="106"/>
    </row>
    <row r="50" spans="3:12" customFormat="1" ht="14.4">
      <c r="C50" s="95"/>
      <c r="D50" s="51"/>
      <c r="E50" s="51"/>
      <c r="F50" s="51"/>
      <c r="G50" s="110"/>
      <c r="H50" s="110"/>
      <c r="I50" s="110"/>
      <c r="L50" s="106"/>
    </row>
    <row r="51" spans="3:12" customFormat="1" ht="14.4">
      <c r="C51" s="95"/>
      <c r="D51" s="51"/>
      <c r="E51" s="51"/>
      <c r="F51" s="51"/>
      <c r="G51" s="110"/>
      <c r="H51" s="110"/>
      <c r="I51" s="110"/>
      <c r="L51" s="106"/>
    </row>
    <row r="52" spans="3:12" customFormat="1" ht="14.4">
      <c r="C52" s="95"/>
      <c r="D52" s="110"/>
      <c r="E52" s="110"/>
      <c r="F52" s="110"/>
      <c r="I52" s="110"/>
      <c r="J52" s="110"/>
      <c r="K52" s="110"/>
      <c r="L52" s="106"/>
    </row>
    <row r="53" spans="3:12" customFormat="1" ht="14.4">
      <c r="C53" s="95"/>
      <c r="D53" s="110"/>
      <c r="E53" s="110"/>
      <c r="F53" s="110"/>
      <c r="I53" s="110"/>
      <c r="J53" s="110"/>
      <c r="K53" s="110"/>
      <c r="L53" s="106"/>
    </row>
    <row r="54" spans="3:12" customFormat="1" ht="14.4">
      <c r="C54" s="95"/>
      <c r="D54" s="110"/>
      <c r="E54" s="110"/>
      <c r="F54" s="110"/>
      <c r="I54" s="110"/>
      <c r="J54" s="110"/>
      <c r="K54" s="110"/>
      <c r="L54" s="106"/>
    </row>
    <row r="55" spans="3:12" customFormat="1" ht="14.4">
      <c r="C55" s="95"/>
      <c r="D55" s="110"/>
      <c r="E55" s="110"/>
      <c r="F55" s="110"/>
      <c r="I55" s="110"/>
      <c r="J55" s="110"/>
      <c r="K55" s="110"/>
      <c r="L55" s="106"/>
    </row>
    <row r="56" spans="3:12" customFormat="1" ht="14.4">
      <c r="C56" s="95"/>
      <c r="D56" s="110"/>
      <c r="E56" s="110"/>
      <c r="F56" s="110"/>
      <c r="G56" s="945" t="s">
        <v>162</v>
      </c>
      <c r="H56" s="945"/>
      <c r="I56" s="945"/>
      <c r="J56" s="110"/>
      <c r="K56" s="110"/>
      <c r="L56" s="106"/>
    </row>
    <row r="57" spans="3:12" customFormat="1" ht="14.4">
      <c r="C57" s="95"/>
      <c r="D57" s="110"/>
      <c r="E57" s="110"/>
      <c r="F57" s="110"/>
      <c r="G57" s="946" t="s">
        <v>163</v>
      </c>
      <c r="H57" s="946"/>
      <c r="I57" s="946"/>
      <c r="J57" s="110"/>
      <c r="K57" s="110"/>
      <c r="L57" s="106"/>
    </row>
    <row r="58" spans="3:12" customFormat="1" ht="15" thickBot="1">
      <c r="C58" s="102"/>
      <c r="D58" s="89"/>
      <c r="E58" s="89"/>
      <c r="F58" s="89"/>
      <c r="G58" s="89"/>
      <c r="H58" s="89"/>
      <c r="I58" s="89"/>
      <c r="J58" s="89"/>
      <c r="K58" s="89"/>
      <c r="L58" s="111"/>
    </row>
  </sheetData>
  <mergeCells count="26">
    <mergeCell ref="G56:I56"/>
    <mergeCell ref="G57:I57"/>
    <mergeCell ref="C33:L33"/>
    <mergeCell ref="C35:L37"/>
    <mergeCell ref="D42:G42"/>
    <mergeCell ref="D43:F43"/>
    <mergeCell ref="I43:K43"/>
    <mergeCell ref="I44:K44"/>
    <mergeCell ref="C30:L31"/>
    <mergeCell ref="E9:F9"/>
    <mergeCell ref="H9:L9"/>
    <mergeCell ref="C11:I11"/>
    <mergeCell ref="J12:L12"/>
    <mergeCell ref="D13:E13"/>
    <mergeCell ref="D14:E14"/>
    <mergeCell ref="D15:G15"/>
    <mergeCell ref="D17:G19"/>
    <mergeCell ref="H17:H19"/>
    <mergeCell ref="J24:K24"/>
    <mergeCell ref="C28:L28"/>
    <mergeCell ref="C2:L2"/>
    <mergeCell ref="C4:L5"/>
    <mergeCell ref="E7:F7"/>
    <mergeCell ref="H7:L7"/>
    <mergeCell ref="E8:F8"/>
    <mergeCell ref="H8:L8"/>
  </mergeCells>
  <pageMargins left="0.70866141732283472" right="0.70866141732283472" top="0.74803149606299213" bottom="0.74803149606299213" header="0.31496062992125984" footer="0.31496062992125984"/>
  <pageSetup scale="6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5F60-728C-47EB-9BE7-A891703FF662}">
  <sheetPr codeName="Hoja16">
    <tabColor rgb="FF345525"/>
    <pageSetUpPr fitToPage="1"/>
  </sheetPr>
  <dimension ref="A1:BB101"/>
  <sheetViews>
    <sheetView showGridLines="0" view="pageLayout" topLeftCell="A40" zoomScale="70" zoomScaleNormal="70" zoomScaleSheetLayoutView="25" zoomScalePageLayoutView="70" workbookViewId="0">
      <selection activeCell="D11" sqref="D11"/>
    </sheetView>
  </sheetViews>
  <sheetFormatPr baseColWidth="10" defaultColWidth="9.109375" defaultRowHeight="14.4"/>
  <cols>
    <col min="1" max="1" width="1.77734375" customWidth="1"/>
    <col min="2" max="2" width="6.6640625" customWidth="1"/>
    <col min="3" max="3" width="14.33203125" bestFit="1" customWidth="1"/>
    <col min="4" max="4" width="52.44140625" customWidth="1"/>
    <col min="5" max="5" width="17.44140625" customWidth="1"/>
    <col min="6" max="6" width="6.33203125" customWidth="1"/>
    <col min="8" max="8" width="12.44140625" customWidth="1"/>
    <col min="11" max="11" width="15.77734375" bestFit="1" customWidth="1"/>
  </cols>
  <sheetData>
    <row r="1" spans="2:5" ht="28.2" customHeight="1">
      <c r="B1" s="815" t="s">
        <v>1</v>
      </c>
      <c r="C1" s="817" t="s">
        <v>84</v>
      </c>
      <c r="D1" s="817" t="s">
        <v>2</v>
      </c>
      <c r="E1" s="797" t="s">
        <v>8</v>
      </c>
    </row>
    <row r="2" spans="2:5" s="191" customFormat="1" ht="19.8" customHeight="1" thickBot="1">
      <c r="B2" s="816"/>
      <c r="C2" s="818"/>
      <c r="D2" s="818"/>
      <c r="E2" s="798"/>
    </row>
    <row r="3" spans="2:5" s="33" customFormat="1" ht="26.4" customHeight="1">
      <c r="B3" s="171">
        <v>1</v>
      </c>
      <c r="C3" s="23">
        <v>925813685</v>
      </c>
      <c r="D3" s="25" t="s">
        <v>46</v>
      </c>
      <c r="E3" s="281">
        <f>IFERROR(+VLOOKUP(D3,$D$64:$E$101,2,0),0)</f>
        <v>720.63</v>
      </c>
    </row>
    <row r="4" spans="2:5" s="33" customFormat="1" ht="26.4" customHeight="1">
      <c r="B4" s="171">
        <f>+B3+1</f>
        <v>2</v>
      </c>
      <c r="C4" s="23">
        <v>944405737</v>
      </c>
      <c r="D4" s="25" t="s">
        <v>79</v>
      </c>
      <c r="E4" s="281">
        <f>IFERROR(+VLOOKUP(D4,$D$64:$E$101,2,0),0)</f>
        <v>0</v>
      </c>
    </row>
    <row r="5" spans="2:5" ht="21" customHeight="1">
      <c r="B5" s="171">
        <f t="shared" ref="B5:B52" si="0">+B4+1</f>
        <v>3</v>
      </c>
      <c r="C5" s="23">
        <v>604394502</v>
      </c>
      <c r="D5" s="25" t="s">
        <v>61</v>
      </c>
      <c r="E5" s="281">
        <f>IFERROR(+VLOOKUP(D5,$D$64:$E$101,2,0),0)</f>
        <v>0</v>
      </c>
    </row>
    <row r="6" spans="2:5" ht="24.6" customHeight="1">
      <c r="B6" s="171">
        <f t="shared" si="0"/>
        <v>4</v>
      </c>
      <c r="C6" s="23">
        <v>955741970</v>
      </c>
      <c r="D6" s="25" t="s">
        <v>77</v>
      </c>
      <c r="E6" s="281">
        <f>IFERROR(+VLOOKUP(D6,$D$64:$E$101,2,0),0)</f>
        <v>400</v>
      </c>
    </row>
    <row r="7" spans="2:5" ht="24.6" customHeight="1">
      <c r="B7" s="171">
        <f t="shared" si="0"/>
        <v>5</v>
      </c>
      <c r="C7" s="791" t="s">
        <v>481</v>
      </c>
      <c r="D7" s="753" t="s">
        <v>482</v>
      </c>
      <c r="E7" s="281"/>
    </row>
    <row r="8" spans="2:5" ht="24.6" customHeight="1">
      <c r="B8" s="171">
        <f t="shared" si="0"/>
        <v>6</v>
      </c>
      <c r="C8" s="23">
        <v>944143148</v>
      </c>
      <c r="D8" s="25" t="s">
        <v>433</v>
      </c>
      <c r="E8" s="281">
        <f t="shared" ref="E8:E54" si="1">IFERROR(+VLOOKUP(D8,$D$64:$E$101,2,0),0)</f>
        <v>0</v>
      </c>
    </row>
    <row r="9" spans="2:5" ht="24.6" customHeight="1">
      <c r="B9" s="171">
        <f t="shared" si="0"/>
        <v>7</v>
      </c>
      <c r="C9" s="23">
        <v>955325238</v>
      </c>
      <c r="D9" s="25" t="s">
        <v>483</v>
      </c>
      <c r="E9" s="281">
        <f t="shared" si="1"/>
        <v>0</v>
      </c>
    </row>
    <row r="10" spans="2:5" ht="24.6" customHeight="1">
      <c r="B10" s="171">
        <f t="shared" si="0"/>
        <v>8</v>
      </c>
      <c r="C10" s="23">
        <v>914163654</v>
      </c>
      <c r="D10" s="383" t="s">
        <v>49</v>
      </c>
      <c r="E10" s="281">
        <f t="shared" si="1"/>
        <v>0</v>
      </c>
    </row>
    <row r="11" spans="2:5" ht="24.6" customHeight="1">
      <c r="B11" s="171">
        <f t="shared" si="0"/>
        <v>9</v>
      </c>
      <c r="C11" s="23">
        <v>956668305</v>
      </c>
      <c r="D11" s="25" t="s">
        <v>489</v>
      </c>
      <c r="E11" s="281">
        <f t="shared" si="1"/>
        <v>0</v>
      </c>
    </row>
    <row r="12" spans="2:5" ht="24.6" customHeight="1">
      <c r="B12" s="171">
        <f t="shared" si="0"/>
        <v>10</v>
      </c>
      <c r="C12" s="23">
        <v>918741448</v>
      </c>
      <c r="D12" s="383" t="s">
        <v>426</v>
      </c>
      <c r="E12" s="281">
        <f t="shared" si="1"/>
        <v>150</v>
      </c>
    </row>
    <row r="13" spans="2:5" ht="24.6" customHeight="1">
      <c r="B13" s="171">
        <f t="shared" si="0"/>
        <v>11</v>
      </c>
      <c r="C13" s="23">
        <v>931097620</v>
      </c>
      <c r="D13" s="383" t="s">
        <v>477</v>
      </c>
      <c r="E13" s="281">
        <f t="shared" si="1"/>
        <v>144.30000000000001</v>
      </c>
    </row>
    <row r="14" spans="2:5" ht="24.6" customHeight="1">
      <c r="B14" s="171">
        <f t="shared" si="0"/>
        <v>12</v>
      </c>
      <c r="C14" s="23">
        <v>1105483422</v>
      </c>
      <c r="D14" s="25" t="s">
        <v>81</v>
      </c>
      <c r="E14" s="281">
        <f t="shared" si="1"/>
        <v>0</v>
      </c>
    </row>
    <row r="15" spans="2:5" ht="24.6" customHeight="1">
      <c r="B15" s="171">
        <f t="shared" si="0"/>
        <v>13</v>
      </c>
      <c r="C15" s="23">
        <v>942614645</v>
      </c>
      <c r="D15" s="25" t="s">
        <v>278</v>
      </c>
      <c r="E15" s="281">
        <f t="shared" si="1"/>
        <v>350</v>
      </c>
    </row>
    <row r="16" spans="2:5" ht="24.6" customHeight="1">
      <c r="B16" s="171">
        <f t="shared" si="0"/>
        <v>14</v>
      </c>
      <c r="C16" s="23">
        <v>951200062</v>
      </c>
      <c r="D16" s="25" t="s">
        <v>205</v>
      </c>
      <c r="E16" s="281">
        <f t="shared" si="1"/>
        <v>300</v>
      </c>
    </row>
    <row r="17" spans="2:5" ht="24" customHeight="1">
      <c r="B17" s="171">
        <f t="shared" si="0"/>
        <v>15</v>
      </c>
      <c r="C17" s="64">
        <v>950929232</v>
      </c>
      <c r="D17" s="25" t="s">
        <v>261</v>
      </c>
      <c r="E17" s="281">
        <f t="shared" si="1"/>
        <v>300</v>
      </c>
    </row>
    <row r="18" spans="2:5" ht="24.6" customHeight="1">
      <c r="B18" s="171">
        <f t="shared" si="0"/>
        <v>16</v>
      </c>
      <c r="C18" s="23">
        <v>953819646</v>
      </c>
      <c r="D18" s="25" t="s">
        <v>262</v>
      </c>
      <c r="E18" s="281">
        <f t="shared" si="1"/>
        <v>0</v>
      </c>
    </row>
    <row r="19" spans="2:5" ht="24.6" customHeight="1">
      <c r="B19" s="171">
        <f t="shared" si="0"/>
        <v>17</v>
      </c>
      <c r="C19" s="23">
        <v>956953392</v>
      </c>
      <c r="D19" s="25" t="s">
        <v>242</v>
      </c>
      <c r="E19" s="281">
        <f t="shared" si="1"/>
        <v>150</v>
      </c>
    </row>
    <row r="20" spans="2:5" ht="24.6" customHeight="1">
      <c r="B20" s="171">
        <f t="shared" si="0"/>
        <v>18</v>
      </c>
      <c r="C20" s="23">
        <v>956796767</v>
      </c>
      <c r="D20" s="231" t="s">
        <v>65</v>
      </c>
      <c r="E20" s="281">
        <f t="shared" si="1"/>
        <v>390</v>
      </c>
    </row>
    <row r="21" spans="2:5" ht="24.6" customHeight="1">
      <c r="B21" s="171">
        <f t="shared" si="0"/>
        <v>19</v>
      </c>
      <c r="C21" s="23" t="s">
        <v>427</v>
      </c>
      <c r="D21" s="231" t="s">
        <v>428</v>
      </c>
      <c r="E21" s="281">
        <f t="shared" si="1"/>
        <v>0</v>
      </c>
    </row>
    <row r="22" spans="2:5" ht="24.6" customHeight="1">
      <c r="B22" s="171">
        <f t="shared" si="0"/>
        <v>20</v>
      </c>
      <c r="C22" s="23">
        <v>1724102940</v>
      </c>
      <c r="D22" s="25" t="s">
        <v>237</v>
      </c>
      <c r="E22" s="281">
        <f t="shared" si="1"/>
        <v>500</v>
      </c>
    </row>
    <row r="23" spans="2:5" s="166" customFormat="1" ht="24.6" customHeight="1">
      <c r="B23" s="171">
        <f t="shared" si="0"/>
        <v>21</v>
      </c>
      <c r="C23" s="23">
        <v>943322974</v>
      </c>
      <c r="D23" s="25" t="s">
        <v>195</v>
      </c>
      <c r="E23" s="281">
        <f t="shared" si="1"/>
        <v>100</v>
      </c>
    </row>
    <row r="24" spans="2:5" s="166" customFormat="1" ht="24.6" customHeight="1">
      <c r="B24" s="171">
        <f t="shared" si="0"/>
        <v>22</v>
      </c>
      <c r="C24" s="23">
        <v>941096851</v>
      </c>
      <c r="D24" s="25" t="s">
        <v>23</v>
      </c>
      <c r="E24" s="281">
        <f t="shared" si="1"/>
        <v>480.64</v>
      </c>
    </row>
    <row r="25" spans="2:5" s="166" customFormat="1" ht="24.6" customHeight="1">
      <c r="B25" s="171">
        <f t="shared" si="0"/>
        <v>23</v>
      </c>
      <c r="C25" s="23">
        <v>957093800</v>
      </c>
      <c r="D25" s="25" t="s">
        <v>424</v>
      </c>
      <c r="E25" s="281">
        <f t="shared" si="1"/>
        <v>0</v>
      </c>
    </row>
    <row r="26" spans="2:5" s="166" customFormat="1" ht="28.95" customHeight="1">
      <c r="B26" s="171">
        <f t="shared" si="0"/>
        <v>24</v>
      </c>
      <c r="C26" s="401">
        <v>957924350</v>
      </c>
      <c r="D26" s="25" t="s">
        <v>418</v>
      </c>
      <c r="E26" s="281">
        <f t="shared" si="1"/>
        <v>0</v>
      </c>
    </row>
    <row r="27" spans="2:5" ht="24.6" customHeight="1">
      <c r="B27" s="171">
        <f t="shared" si="0"/>
        <v>25</v>
      </c>
      <c r="C27" s="23">
        <v>603838657</v>
      </c>
      <c r="D27" s="25" t="s">
        <v>68</v>
      </c>
      <c r="E27" s="281">
        <f t="shared" si="1"/>
        <v>400</v>
      </c>
    </row>
    <row r="28" spans="2:5" ht="24.6" customHeight="1">
      <c r="B28" s="171">
        <f t="shared" si="0"/>
        <v>26</v>
      </c>
      <c r="C28" s="23">
        <v>925240525</v>
      </c>
      <c r="D28" s="25" t="s">
        <v>54</v>
      </c>
      <c r="E28" s="281">
        <f t="shared" si="1"/>
        <v>0</v>
      </c>
    </row>
    <row r="29" spans="2:5" ht="24.6" customHeight="1">
      <c r="B29" s="171">
        <f t="shared" si="0"/>
        <v>27</v>
      </c>
      <c r="C29" s="23">
        <v>954520599</v>
      </c>
      <c r="D29" s="35" t="s">
        <v>66</v>
      </c>
      <c r="E29" s="281">
        <f t="shared" si="1"/>
        <v>500</v>
      </c>
    </row>
    <row r="30" spans="2:5" ht="24.6" customHeight="1">
      <c r="B30" s="171">
        <f t="shared" si="0"/>
        <v>28</v>
      </c>
      <c r="C30" s="23" t="s">
        <v>281</v>
      </c>
      <c r="D30" s="35" t="s">
        <v>280</v>
      </c>
      <c r="E30" s="281">
        <f t="shared" si="1"/>
        <v>300</v>
      </c>
    </row>
    <row r="31" spans="2:5" ht="24.6" customHeight="1">
      <c r="B31" s="171">
        <f t="shared" si="0"/>
        <v>29</v>
      </c>
      <c r="C31" s="23" t="s">
        <v>245</v>
      </c>
      <c r="D31" s="35" t="s">
        <v>246</v>
      </c>
      <c r="E31" s="281">
        <f t="shared" si="1"/>
        <v>550</v>
      </c>
    </row>
    <row r="32" spans="2:5" ht="24.6" customHeight="1">
      <c r="B32" s="171">
        <f t="shared" si="0"/>
        <v>30</v>
      </c>
      <c r="C32" s="23" t="s">
        <v>332</v>
      </c>
      <c r="D32" s="35" t="s">
        <v>315</v>
      </c>
      <c r="E32" s="281">
        <f t="shared" si="1"/>
        <v>332.13</v>
      </c>
    </row>
    <row r="33" spans="2:13" ht="24.6" customHeight="1">
      <c r="B33" s="171">
        <f t="shared" si="0"/>
        <v>31</v>
      </c>
      <c r="C33" s="23">
        <v>955395686</v>
      </c>
      <c r="D33" s="35" t="s">
        <v>43</v>
      </c>
      <c r="E33" s="281">
        <f t="shared" si="1"/>
        <v>100</v>
      </c>
    </row>
    <row r="34" spans="2:13" s="36" customFormat="1" ht="24.6" customHeight="1">
      <c r="B34" s="171">
        <f t="shared" si="0"/>
        <v>32</v>
      </c>
      <c r="C34" s="23">
        <v>940991987</v>
      </c>
      <c r="D34" s="25" t="s">
        <v>25</v>
      </c>
      <c r="E34" s="281">
        <f t="shared" si="1"/>
        <v>700</v>
      </c>
      <c r="H34"/>
      <c r="I34"/>
      <c r="J34"/>
    </row>
    <row r="35" spans="2:13" ht="24.6" customHeight="1">
      <c r="B35" s="171">
        <f t="shared" si="0"/>
        <v>33</v>
      </c>
      <c r="C35" s="23">
        <v>956929277</v>
      </c>
      <c r="D35" s="25" t="s">
        <v>417</v>
      </c>
      <c r="E35" s="281">
        <f t="shared" si="1"/>
        <v>0</v>
      </c>
    </row>
    <row r="36" spans="2:13" ht="24.6" customHeight="1">
      <c r="B36" s="171">
        <f t="shared" si="0"/>
        <v>34</v>
      </c>
      <c r="C36" s="23">
        <v>951763994</v>
      </c>
      <c r="D36" s="25" t="s">
        <v>229</v>
      </c>
      <c r="E36" s="281">
        <f t="shared" si="1"/>
        <v>0</v>
      </c>
    </row>
    <row r="37" spans="2:13" ht="24.6" customHeight="1">
      <c r="B37" s="171">
        <f t="shared" si="0"/>
        <v>35</v>
      </c>
      <c r="C37" s="23">
        <v>950703199</v>
      </c>
      <c r="D37" s="25" t="s">
        <v>69</v>
      </c>
      <c r="E37" s="281">
        <f t="shared" si="1"/>
        <v>0</v>
      </c>
    </row>
    <row r="38" spans="2:13" ht="24.6" customHeight="1">
      <c r="B38" s="171">
        <f t="shared" si="0"/>
        <v>36</v>
      </c>
      <c r="C38" s="23" t="s">
        <v>434</v>
      </c>
      <c r="D38" s="25" t="s">
        <v>435</v>
      </c>
      <c r="E38" s="281">
        <f t="shared" si="1"/>
        <v>400</v>
      </c>
    </row>
    <row r="39" spans="2:13" ht="24.6" customHeight="1">
      <c r="B39" s="171">
        <f t="shared" si="0"/>
        <v>37</v>
      </c>
      <c r="C39" s="23">
        <v>925830689</v>
      </c>
      <c r="D39" s="25" t="s">
        <v>26</v>
      </c>
      <c r="E39" s="281">
        <f t="shared" si="1"/>
        <v>831.44</v>
      </c>
      <c r="M39" s="80"/>
    </row>
    <row r="40" spans="2:13" ht="24.6" customHeight="1">
      <c r="B40" s="171">
        <f t="shared" si="0"/>
        <v>38</v>
      </c>
      <c r="C40" s="23">
        <v>944034842</v>
      </c>
      <c r="D40" s="753" t="s">
        <v>480</v>
      </c>
      <c r="E40" s="281">
        <f t="shared" si="1"/>
        <v>0</v>
      </c>
      <c r="M40" s="80"/>
    </row>
    <row r="41" spans="2:13" ht="24.6" customHeight="1">
      <c r="B41" s="171">
        <f t="shared" si="0"/>
        <v>39</v>
      </c>
      <c r="C41" s="23">
        <v>951340702</v>
      </c>
      <c r="D41" s="25" t="s">
        <v>260</v>
      </c>
      <c r="E41" s="281">
        <f t="shared" si="1"/>
        <v>400</v>
      </c>
    </row>
    <row r="42" spans="2:13" ht="24.6" customHeight="1">
      <c r="B42" s="171">
        <f t="shared" si="0"/>
        <v>40</v>
      </c>
      <c r="C42" s="23">
        <v>650112949</v>
      </c>
      <c r="D42" s="25" t="s">
        <v>76</v>
      </c>
      <c r="E42" s="281">
        <f t="shared" si="1"/>
        <v>200</v>
      </c>
    </row>
    <row r="43" spans="2:13" ht="24.6" customHeight="1">
      <c r="B43" s="171">
        <f t="shared" si="0"/>
        <v>41</v>
      </c>
      <c r="C43" s="23">
        <v>924232804</v>
      </c>
      <c r="D43" s="25" t="s">
        <v>55</v>
      </c>
      <c r="E43" s="281">
        <f t="shared" si="1"/>
        <v>900</v>
      </c>
    </row>
    <row r="44" spans="2:13" ht="24.6" customHeight="1">
      <c r="B44" s="171">
        <f t="shared" si="0"/>
        <v>42</v>
      </c>
      <c r="C44" s="23">
        <v>605031145</v>
      </c>
      <c r="D44" s="25" t="s">
        <v>82</v>
      </c>
      <c r="E44" s="281">
        <f t="shared" si="1"/>
        <v>0</v>
      </c>
    </row>
    <row r="45" spans="2:13" ht="24.6" customHeight="1">
      <c r="B45" s="171">
        <f t="shared" si="0"/>
        <v>43</v>
      </c>
      <c r="C45" s="23">
        <v>927257576</v>
      </c>
      <c r="D45" s="25" t="s">
        <v>39</v>
      </c>
      <c r="E45" s="281">
        <f t="shared" si="1"/>
        <v>426.97</v>
      </c>
    </row>
    <row r="46" spans="2:13" ht="24.6" customHeight="1">
      <c r="B46" s="171">
        <f t="shared" si="0"/>
        <v>44</v>
      </c>
      <c r="C46" s="23">
        <v>928901800</v>
      </c>
      <c r="D46" s="25" t="s">
        <v>263</v>
      </c>
      <c r="E46" s="281">
        <f t="shared" si="1"/>
        <v>150</v>
      </c>
    </row>
    <row r="47" spans="2:13" ht="24.6" customHeight="1">
      <c r="B47" s="171">
        <f t="shared" si="0"/>
        <v>45</v>
      </c>
      <c r="C47" s="23">
        <v>951315746</v>
      </c>
      <c r="D47" s="25" t="s">
        <v>73</v>
      </c>
      <c r="E47" s="281">
        <f t="shared" si="1"/>
        <v>350</v>
      </c>
    </row>
    <row r="48" spans="2:13" ht="24.6" customHeight="1">
      <c r="B48" s="171">
        <f t="shared" si="0"/>
        <v>46</v>
      </c>
      <c r="C48" s="23">
        <v>954184321</v>
      </c>
      <c r="D48" s="25" t="s">
        <v>47</v>
      </c>
      <c r="E48" s="281">
        <f t="shared" si="1"/>
        <v>200</v>
      </c>
    </row>
    <row r="49" spans="2:11" ht="24.6" customHeight="1">
      <c r="B49" s="171">
        <f t="shared" si="0"/>
        <v>47</v>
      </c>
      <c r="C49" s="37">
        <v>922034772</v>
      </c>
      <c r="D49" s="35" t="s">
        <v>38</v>
      </c>
      <c r="E49" s="281">
        <f t="shared" si="1"/>
        <v>600</v>
      </c>
    </row>
    <row r="50" spans="2:11" ht="36" customHeight="1">
      <c r="B50" s="171">
        <f t="shared" si="0"/>
        <v>48</v>
      </c>
      <c r="C50" s="23">
        <v>923837991</v>
      </c>
      <c r="D50" s="35" t="s">
        <v>251</v>
      </c>
      <c r="E50" s="281">
        <f t="shared" si="1"/>
        <v>850</v>
      </c>
    </row>
    <row r="51" spans="2:11" ht="24.6" customHeight="1">
      <c r="B51" s="171">
        <f t="shared" si="0"/>
        <v>49</v>
      </c>
      <c r="C51" s="23">
        <v>941508905</v>
      </c>
      <c r="D51" s="35" t="s">
        <v>28</v>
      </c>
      <c r="E51" s="281">
        <f t="shared" si="1"/>
        <v>500</v>
      </c>
    </row>
    <row r="52" spans="2:11" ht="24.6" customHeight="1">
      <c r="B52" s="171">
        <f t="shared" si="0"/>
        <v>50</v>
      </c>
      <c r="C52" s="23">
        <v>604154575</v>
      </c>
      <c r="D52" s="25" t="s">
        <v>30</v>
      </c>
      <c r="E52" s="281">
        <f t="shared" si="1"/>
        <v>800</v>
      </c>
    </row>
    <row r="53" spans="2:11" ht="24.6" customHeight="1">
      <c r="B53" s="171"/>
      <c r="C53" s="23"/>
      <c r="D53" s="35"/>
      <c r="E53" s="281">
        <f t="shared" si="1"/>
        <v>0</v>
      </c>
    </row>
    <row r="54" spans="2:11" ht="24.6" customHeight="1">
      <c r="B54" s="171"/>
      <c r="C54" s="23"/>
      <c r="D54" s="25"/>
      <c r="E54" s="281">
        <f t="shared" si="1"/>
        <v>0</v>
      </c>
    </row>
    <row r="55" spans="2:11" ht="22.2" customHeight="1">
      <c r="B55" s="153"/>
      <c r="C55" s="154"/>
      <c r="D55" s="79" t="s">
        <v>32</v>
      </c>
      <c r="E55" s="149">
        <f>SUBTOTAL(9,E3:E54)</f>
        <v>13476.109999999999</v>
      </c>
    </row>
    <row r="56" spans="2:11" s="18" customFormat="1" ht="27" customHeight="1">
      <c r="K56" s="301">
        <f>+E63-E55</f>
        <v>0</v>
      </c>
    </row>
    <row r="57" spans="2:11" s="18" customFormat="1" ht="58.2" customHeight="1">
      <c r="B57" s="456"/>
      <c r="C57" s="456"/>
      <c r="D57" s="456"/>
      <c r="E57" s="456"/>
    </row>
    <row r="58" spans="2:11" s="18" customFormat="1" ht="16.2">
      <c r="B58" s="456"/>
      <c r="C58" s="967" t="s">
        <v>488</v>
      </c>
      <c r="D58" s="967"/>
      <c r="E58" s="967"/>
    </row>
    <row r="59" spans="2:11" s="18" customFormat="1" ht="15" thickBot="1">
      <c r="B59" s="456"/>
      <c r="C59" s="456"/>
      <c r="D59" s="456"/>
      <c r="E59" s="456"/>
    </row>
    <row r="60" spans="2:11" s="18" customFormat="1" ht="41.4" customHeight="1">
      <c r="B60" s="474" t="s">
        <v>276</v>
      </c>
      <c r="C60" s="473" t="s">
        <v>275</v>
      </c>
      <c r="D60" s="472" t="s">
        <v>274</v>
      </c>
      <c r="E60" s="471" t="s">
        <v>442</v>
      </c>
    </row>
    <row r="61" spans="2:11" s="18" customFormat="1">
      <c r="B61" s="475"/>
      <c r="C61" s="470"/>
      <c r="D61" s="469"/>
      <c r="E61" s="468"/>
    </row>
    <row r="62" spans="2:11" s="18" customFormat="1" thickBot="1">
      <c r="B62" s="475"/>
      <c r="C62" s="467" t="s">
        <v>273</v>
      </c>
      <c r="D62" s="466" t="s">
        <v>272</v>
      </c>
      <c r="E62" s="465" t="s">
        <v>271</v>
      </c>
    </row>
    <row r="63" spans="2:11" s="18" customFormat="1" ht="16.2" thickBot="1">
      <c r="B63" s="476"/>
      <c r="C63" s="464" t="s">
        <v>270</v>
      </c>
      <c r="D63" s="463" t="s">
        <v>269</v>
      </c>
      <c r="E63" s="462">
        <f>SUM(E64:E100)</f>
        <v>13476.109999999999</v>
      </c>
    </row>
    <row r="64" spans="2:11" s="18" customFormat="1" ht="13.8">
      <c r="B64" s="490">
        <v>1</v>
      </c>
      <c r="C64" s="498" t="s">
        <v>475</v>
      </c>
      <c r="D64" s="492" t="s">
        <v>426</v>
      </c>
      <c r="E64" s="496">
        <v>150</v>
      </c>
      <c r="H64" s="301"/>
    </row>
    <row r="65" spans="1:54" s="18" customFormat="1" ht="13.8">
      <c r="B65" s="491">
        <v>2</v>
      </c>
      <c r="C65" s="499" t="s">
        <v>443</v>
      </c>
      <c r="D65" s="493" t="s">
        <v>28</v>
      </c>
      <c r="E65" s="497">
        <v>500</v>
      </c>
      <c r="H65" s="301"/>
    </row>
    <row r="66" spans="1:54" s="18" customFormat="1" ht="13.8">
      <c r="B66" s="491">
        <v>3</v>
      </c>
      <c r="C66" s="499" t="s">
        <v>490</v>
      </c>
      <c r="D66" s="493" t="s">
        <v>43</v>
      </c>
      <c r="E66" s="497">
        <v>100</v>
      </c>
    </row>
    <row r="67" spans="1:54" s="18" customFormat="1" ht="13.8">
      <c r="B67" s="491">
        <v>4</v>
      </c>
      <c r="C67" s="499" t="s">
        <v>444</v>
      </c>
      <c r="D67" s="493" t="s">
        <v>46</v>
      </c>
      <c r="E67" s="497">
        <v>720.63</v>
      </c>
    </row>
    <row r="68" spans="1:54" s="18" customFormat="1" ht="13.8">
      <c r="B68" s="491">
        <v>5</v>
      </c>
      <c r="C68" s="499" t="s">
        <v>476</v>
      </c>
      <c r="D68" s="493" t="s">
        <v>477</v>
      </c>
      <c r="E68" s="497">
        <v>144.30000000000001</v>
      </c>
    </row>
    <row r="69" spans="1:54" s="18" customFormat="1" ht="13.8">
      <c r="B69" s="491">
        <v>6</v>
      </c>
      <c r="C69" s="499" t="s">
        <v>445</v>
      </c>
      <c r="D69" s="493" t="s">
        <v>435</v>
      </c>
      <c r="E69" s="497">
        <v>400</v>
      </c>
      <c r="H69" s="301"/>
      <c r="J69" s="301"/>
    </row>
    <row r="70" spans="1:54" s="18" customFormat="1" ht="13.8">
      <c r="B70" s="491">
        <v>7</v>
      </c>
      <c r="C70" s="499" t="s">
        <v>478</v>
      </c>
      <c r="D70" s="493" t="s">
        <v>195</v>
      </c>
      <c r="E70" s="497">
        <v>100</v>
      </c>
    </row>
    <row r="71" spans="1:54" s="18" customFormat="1" ht="13.8">
      <c r="B71" s="491">
        <v>8</v>
      </c>
      <c r="C71" s="499" t="s">
        <v>446</v>
      </c>
      <c r="D71" s="493" t="s">
        <v>237</v>
      </c>
      <c r="E71" s="497">
        <v>500</v>
      </c>
    </row>
    <row r="72" spans="1:54" s="18" customFormat="1">
      <c r="A72"/>
      <c r="B72" s="491">
        <v>9</v>
      </c>
      <c r="C72" s="499" t="s">
        <v>437</v>
      </c>
      <c r="D72" s="493" t="s">
        <v>55</v>
      </c>
      <c r="E72" s="497">
        <v>900</v>
      </c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</row>
    <row r="73" spans="1:54" s="18" customFormat="1">
      <c r="A73"/>
      <c r="B73" s="491">
        <v>10</v>
      </c>
      <c r="C73" s="499" t="s">
        <v>447</v>
      </c>
      <c r="D73" s="493" t="s">
        <v>30</v>
      </c>
      <c r="E73" s="497">
        <v>800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</row>
    <row r="74" spans="1:54" s="18" customFormat="1">
      <c r="A74"/>
      <c r="B74" s="491">
        <v>11</v>
      </c>
      <c r="C74" s="499" t="s">
        <v>448</v>
      </c>
      <c r="D74" s="493" t="s">
        <v>47</v>
      </c>
      <c r="E74" s="497">
        <v>200</v>
      </c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</row>
    <row r="75" spans="1:54">
      <c r="B75" s="491">
        <v>12</v>
      </c>
      <c r="C75" s="499" t="s">
        <v>449</v>
      </c>
      <c r="D75" s="493" t="s">
        <v>260</v>
      </c>
      <c r="E75" s="497">
        <v>400</v>
      </c>
    </row>
    <row r="76" spans="1:54" s="18" customFormat="1">
      <c r="A76"/>
      <c r="B76" s="491">
        <v>13</v>
      </c>
      <c r="C76" s="499" t="s">
        <v>450</v>
      </c>
      <c r="D76" s="493" t="s">
        <v>39</v>
      </c>
      <c r="E76" s="497">
        <v>426.97</v>
      </c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</row>
    <row r="77" spans="1:54" s="18" customFormat="1">
      <c r="A77"/>
      <c r="B77" s="491">
        <v>14</v>
      </c>
      <c r="C77" s="499" t="s">
        <v>451</v>
      </c>
      <c r="D77" s="493" t="s">
        <v>66</v>
      </c>
      <c r="E77" s="497">
        <v>500</v>
      </c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</row>
    <row r="78" spans="1:54" s="18" customFormat="1">
      <c r="A78"/>
      <c r="B78" s="491">
        <v>15</v>
      </c>
      <c r="C78" s="499" t="s">
        <v>452</v>
      </c>
      <c r="D78" s="493" t="s">
        <v>261</v>
      </c>
      <c r="E78" s="497">
        <v>300</v>
      </c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</row>
    <row r="79" spans="1:54" ht="18" customHeight="1">
      <c r="B79" s="491">
        <v>16</v>
      </c>
      <c r="C79" s="499" t="s">
        <v>453</v>
      </c>
      <c r="D79" s="493" t="s">
        <v>26</v>
      </c>
      <c r="E79" s="497">
        <v>831.44</v>
      </c>
    </row>
    <row r="80" spans="1:54">
      <c r="B80" s="491">
        <v>17</v>
      </c>
      <c r="C80" s="499" t="s">
        <v>454</v>
      </c>
      <c r="D80" s="493" t="s">
        <v>65</v>
      </c>
      <c r="E80" s="497">
        <v>390</v>
      </c>
      <c r="H80" s="80"/>
    </row>
    <row r="81" spans="2:8">
      <c r="B81" s="491">
        <v>18</v>
      </c>
      <c r="C81" s="499" t="s">
        <v>455</v>
      </c>
      <c r="D81" s="493" t="s">
        <v>73</v>
      </c>
      <c r="E81" s="497">
        <v>350</v>
      </c>
    </row>
    <row r="82" spans="2:8">
      <c r="B82" s="491">
        <v>19</v>
      </c>
      <c r="C82" s="499" t="s">
        <v>456</v>
      </c>
      <c r="D82" s="493" t="s">
        <v>38</v>
      </c>
      <c r="E82" s="497">
        <v>600</v>
      </c>
      <c r="G82" s="34"/>
    </row>
    <row r="83" spans="2:8" ht="16.2" customHeight="1">
      <c r="B83" s="491">
        <v>20</v>
      </c>
      <c r="C83" s="499" t="s">
        <v>457</v>
      </c>
      <c r="D83" s="493" t="s">
        <v>263</v>
      </c>
      <c r="E83" s="497">
        <v>150</v>
      </c>
    </row>
    <row r="84" spans="2:8">
      <c r="B84" s="491">
        <v>21</v>
      </c>
      <c r="C84" s="499" t="s">
        <v>458</v>
      </c>
      <c r="D84" s="493" t="s">
        <v>76</v>
      </c>
      <c r="E84" s="497">
        <v>200</v>
      </c>
    </row>
    <row r="85" spans="2:8">
      <c r="B85" s="491">
        <v>22</v>
      </c>
      <c r="C85" s="499" t="s">
        <v>459</v>
      </c>
      <c r="D85" s="493" t="s">
        <v>77</v>
      </c>
      <c r="E85" s="497">
        <v>400</v>
      </c>
    </row>
    <row r="86" spans="2:8">
      <c r="B86" s="491">
        <v>23</v>
      </c>
      <c r="C86" s="499" t="s">
        <v>460</v>
      </c>
      <c r="D86" s="493" t="s">
        <v>68</v>
      </c>
      <c r="E86" s="497">
        <v>400</v>
      </c>
    </row>
    <row r="87" spans="2:8">
      <c r="B87" s="491">
        <v>24</v>
      </c>
      <c r="C87" s="499" t="s">
        <v>461</v>
      </c>
      <c r="D87" s="493" t="s">
        <v>25</v>
      </c>
      <c r="E87" s="497">
        <v>700</v>
      </c>
      <c r="H87" s="120"/>
    </row>
    <row r="88" spans="2:8">
      <c r="B88" s="491">
        <v>25</v>
      </c>
      <c r="C88" s="499" t="s">
        <v>462</v>
      </c>
      <c r="D88" s="493" t="s">
        <v>205</v>
      </c>
      <c r="E88" s="497">
        <v>300</v>
      </c>
    </row>
    <row r="89" spans="2:8">
      <c r="B89" s="491">
        <v>26</v>
      </c>
      <c r="C89" s="499" t="s">
        <v>491</v>
      </c>
      <c r="D89" s="493" t="s">
        <v>242</v>
      </c>
      <c r="E89" s="497">
        <v>150</v>
      </c>
    </row>
    <row r="90" spans="2:8">
      <c r="B90" s="491">
        <v>27</v>
      </c>
      <c r="C90" s="499" t="s">
        <v>463</v>
      </c>
      <c r="D90" s="493" t="s">
        <v>246</v>
      </c>
      <c r="E90" s="497">
        <v>550</v>
      </c>
    </row>
    <row r="91" spans="2:8">
      <c r="B91" s="491">
        <v>28</v>
      </c>
      <c r="C91" s="499" t="s">
        <v>464</v>
      </c>
      <c r="D91" s="493" t="s">
        <v>315</v>
      </c>
      <c r="E91" s="497">
        <v>332.13</v>
      </c>
    </row>
    <row r="92" spans="2:8">
      <c r="B92" s="491">
        <v>29</v>
      </c>
      <c r="C92" s="500" t="s">
        <v>465</v>
      </c>
      <c r="D92" s="494" t="s">
        <v>280</v>
      </c>
      <c r="E92" s="497">
        <v>300</v>
      </c>
    </row>
    <row r="93" spans="2:8">
      <c r="B93" s="491">
        <v>30</v>
      </c>
      <c r="C93" s="469" t="s">
        <v>466</v>
      </c>
      <c r="D93" s="495" t="s">
        <v>278</v>
      </c>
      <c r="E93" s="497">
        <v>350</v>
      </c>
    </row>
    <row r="94" spans="2:8">
      <c r="B94" s="491">
        <v>31</v>
      </c>
      <c r="C94" s="469" t="s">
        <v>492</v>
      </c>
      <c r="D94" s="495" t="s">
        <v>23</v>
      </c>
      <c r="E94" s="497">
        <v>480.64</v>
      </c>
    </row>
    <row r="95" spans="2:8">
      <c r="B95" s="491">
        <v>32</v>
      </c>
      <c r="C95" s="469" t="s">
        <v>467</v>
      </c>
      <c r="D95" s="495" t="s">
        <v>251</v>
      </c>
      <c r="E95" s="497">
        <v>850</v>
      </c>
    </row>
    <row r="96" spans="2:8">
      <c r="B96" s="491">
        <v>33</v>
      </c>
      <c r="C96" s="469"/>
      <c r="D96" s="495"/>
      <c r="E96" s="497"/>
    </row>
    <row r="97" spans="2:5">
      <c r="B97" s="491">
        <v>34</v>
      </c>
      <c r="C97" s="469"/>
      <c r="D97" s="495"/>
      <c r="E97" s="497"/>
    </row>
    <row r="98" spans="2:5">
      <c r="B98" s="491">
        <v>35</v>
      </c>
      <c r="C98" s="469"/>
      <c r="D98" s="495"/>
      <c r="E98" s="497"/>
    </row>
    <row r="99" spans="2:5">
      <c r="B99" s="491">
        <v>36</v>
      </c>
      <c r="C99" s="469"/>
      <c r="D99" s="495"/>
      <c r="E99" s="497"/>
    </row>
    <row r="100" spans="2:5">
      <c r="B100" s="491">
        <v>37</v>
      </c>
      <c r="C100" s="461"/>
      <c r="D100" s="461"/>
      <c r="E100" s="460"/>
    </row>
    <row r="101" spans="2:5" ht="15" thickBot="1">
      <c r="B101" s="459"/>
      <c r="C101" s="458"/>
      <c r="D101" s="458"/>
      <c r="E101" s="457"/>
    </row>
  </sheetData>
  <autoFilter ref="A1:BB54" xr:uid="{5B735F60-728C-47EB-9BE7-A891703FF662}"/>
  <mergeCells count="5">
    <mergeCell ref="C58:E58"/>
    <mergeCell ref="E1:E2"/>
    <mergeCell ref="B1:B2"/>
    <mergeCell ref="C1:C2"/>
    <mergeCell ref="D1:D2"/>
  </mergeCells>
  <pageMargins left="0.53" right="0.12" top="0.43" bottom="0.12" header="0.12" footer="0.3"/>
  <pageSetup scale="35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51FB-E530-480C-B3CD-68FD6AF573C8}">
  <sheetPr codeName="Hoja17"/>
  <dimension ref="F3:F4"/>
  <sheetViews>
    <sheetView workbookViewId="0">
      <selection activeCell="H22" sqref="H22"/>
    </sheetView>
  </sheetViews>
  <sheetFormatPr baseColWidth="10" defaultRowHeight="14.4"/>
  <cols>
    <col min="6" max="6" width="11.5546875" style="34"/>
  </cols>
  <sheetData>
    <row r="3" spans="6:6">
      <c r="F3" s="34">
        <f>800/30</f>
        <v>26.666666666666668</v>
      </c>
    </row>
    <row r="4" spans="6:6">
      <c r="F4" s="34">
        <f>+F3*2</f>
        <v>53.333333333333336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6E4B-4EE0-46CB-9E59-CC1E2570967B}">
  <sheetPr codeName="Hoja18"/>
  <dimension ref="D2:G35"/>
  <sheetViews>
    <sheetView topLeftCell="A16" workbookViewId="0">
      <selection activeCell="I36" sqref="I36"/>
    </sheetView>
  </sheetViews>
  <sheetFormatPr baseColWidth="10" defaultRowHeight="14.4"/>
  <cols>
    <col min="4" max="4" width="48.21875" customWidth="1"/>
    <col min="5" max="5" width="11.5546875" style="504"/>
    <col min="6" max="6" width="11.5546875" style="107"/>
  </cols>
  <sheetData>
    <row r="2" spans="4:7">
      <c r="D2" s="503" t="s">
        <v>314</v>
      </c>
      <c r="E2" s="505">
        <v>490.16</v>
      </c>
      <c r="F2" s="506">
        <v>490.15999999999997</v>
      </c>
      <c r="G2" s="397">
        <f t="shared" ref="G2:G34" si="0">+E2-F2</f>
        <v>0</v>
      </c>
    </row>
    <row r="3" spans="4:7">
      <c r="D3" s="503" t="s">
        <v>313</v>
      </c>
      <c r="E3" s="505">
        <v>213.66</v>
      </c>
      <c r="F3" s="506">
        <v>213.66000000000003</v>
      </c>
      <c r="G3" s="397">
        <f t="shared" si="0"/>
        <v>0</v>
      </c>
    </row>
    <row r="4" spans="4:7">
      <c r="D4" s="503" t="s">
        <v>312</v>
      </c>
      <c r="E4" s="505">
        <v>250.89</v>
      </c>
      <c r="F4" s="506">
        <v>250.88714999999996</v>
      </c>
      <c r="G4" s="397">
        <f t="shared" si="0"/>
        <v>2.8500000000235559E-3</v>
      </c>
    </row>
    <row r="5" spans="4:7">
      <c r="D5" s="503" t="s">
        <v>311</v>
      </c>
      <c r="E5" s="505">
        <v>27.08</v>
      </c>
      <c r="F5" s="506">
        <v>27.083333333333336</v>
      </c>
      <c r="G5" s="397">
        <f t="shared" si="0"/>
        <v>-3.3333333333374071E-3</v>
      </c>
    </row>
    <row r="6" spans="4:7">
      <c r="D6" s="503" t="s">
        <v>310</v>
      </c>
      <c r="E6" s="505">
        <v>176.12</v>
      </c>
      <c r="F6" s="506">
        <v>176.12</v>
      </c>
      <c r="G6" s="397">
        <f t="shared" si="0"/>
        <v>0</v>
      </c>
    </row>
    <row r="7" spans="4:7">
      <c r="D7" s="503" t="s">
        <v>309</v>
      </c>
      <c r="E7" s="505">
        <v>199.65</v>
      </c>
      <c r="F7" s="506">
        <v>199.65033333333335</v>
      </c>
      <c r="G7" s="397">
        <f t="shared" si="0"/>
        <v>-3.3333333334439885E-4</v>
      </c>
    </row>
    <row r="8" spans="4:7">
      <c r="D8" s="503" t="s">
        <v>308</v>
      </c>
      <c r="E8" s="505">
        <v>255.05</v>
      </c>
      <c r="F8" s="506">
        <v>255.053</v>
      </c>
      <c r="G8" s="397">
        <f t="shared" si="0"/>
        <v>-2.9999999999859028E-3</v>
      </c>
    </row>
    <row r="9" spans="4:7">
      <c r="D9" s="503" t="s">
        <v>307</v>
      </c>
      <c r="E9" s="505">
        <v>29.79</v>
      </c>
      <c r="F9" s="506">
        <v>29.791666666666664</v>
      </c>
      <c r="G9" s="397">
        <f t="shared" si="0"/>
        <v>-1.6666666666651508E-3</v>
      </c>
    </row>
    <row r="10" spans="4:7">
      <c r="D10" s="503" t="s">
        <v>306</v>
      </c>
      <c r="E10" s="505">
        <v>205.17</v>
      </c>
      <c r="F10" s="506">
        <v>205.16924999999998</v>
      </c>
      <c r="G10" s="397">
        <f t="shared" si="0"/>
        <v>7.5000000001068656E-4</v>
      </c>
    </row>
    <row r="11" spans="4:7">
      <c r="D11" s="503" t="s">
        <v>305</v>
      </c>
      <c r="E11" s="505">
        <v>177.59</v>
      </c>
      <c r="F11" s="506">
        <v>177.59021333333334</v>
      </c>
      <c r="G11" s="397">
        <f t="shared" si="0"/>
        <v>-2.1333333333473092E-4</v>
      </c>
    </row>
    <row r="12" spans="4:7">
      <c r="D12" s="503" t="s">
        <v>304</v>
      </c>
      <c r="E12" s="505">
        <v>325.8</v>
      </c>
      <c r="F12" s="506">
        <v>325.80407000000002</v>
      </c>
      <c r="G12" s="397">
        <f t="shared" si="0"/>
        <v>-4.0700000000128966E-3</v>
      </c>
    </row>
    <row r="13" spans="4:7">
      <c r="D13" s="503" t="s">
        <v>303</v>
      </c>
      <c r="E13" s="505">
        <v>23.56</v>
      </c>
      <c r="F13" s="506">
        <v>23.560000000000002</v>
      </c>
      <c r="G13" s="397">
        <f t="shared" si="0"/>
        <v>0</v>
      </c>
    </row>
    <row r="14" spans="4:7">
      <c r="D14" s="503" t="s">
        <v>302</v>
      </c>
      <c r="E14" s="505">
        <v>426.41</v>
      </c>
      <c r="F14" s="506">
        <v>426.4100416666667</v>
      </c>
      <c r="G14" s="397">
        <f t="shared" si="0"/>
        <v>-4.1666666675155284E-5</v>
      </c>
    </row>
    <row r="15" spans="4:7">
      <c r="D15" s="503" t="s">
        <v>301</v>
      </c>
      <c r="E15" s="505">
        <v>332.11</v>
      </c>
      <c r="F15" s="506">
        <v>332.11419000000001</v>
      </c>
      <c r="G15" s="397">
        <f t="shared" si="0"/>
        <v>-4.1899999999941429E-3</v>
      </c>
    </row>
    <row r="16" spans="4:7">
      <c r="D16" s="503" t="s">
        <v>300</v>
      </c>
      <c r="E16" s="505">
        <v>700</v>
      </c>
      <c r="F16" s="506">
        <v>700</v>
      </c>
      <c r="G16" s="397">
        <f t="shared" si="0"/>
        <v>0</v>
      </c>
    </row>
    <row r="17" spans="4:7">
      <c r="D17" s="503" t="s">
        <v>299</v>
      </c>
      <c r="E17" s="505">
        <v>161</v>
      </c>
      <c r="F17" s="506">
        <v>161</v>
      </c>
      <c r="G17" s="397">
        <f t="shared" si="0"/>
        <v>0</v>
      </c>
    </row>
    <row r="18" spans="4:7">
      <c r="D18" s="503" t="s">
        <v>298</v>
      </c>
      <c r="E18" s="505">
        <v>458.77</v>
      </c>
      <c r="F18" s="506">
        <v>458.76600000000002</v>
      </c>
      <c r="G18" s="397">
        <f t="shared" si="0"/>
        <v>3.999999999962256E-3</v>
      </c>
    </row>
    <row r="19" spans="4:7">
      <c r="D19" s="503" t="s">
        <v>297</v>
      </c>
      <c r="E19" s="505">
        <v>175.61</v>
      </c>
      <c r="F19" s="506">
        <v>175.61160000000001</v>
      </c>
      <c r="G19" s="397">
        <f t="shared" si="0"/>
        <v>-1.5999999999962711E-3</v>
      </c>
    </row>
    <row r="20" spans="4:7">
      <c r="D20" s="503" t="s">
        <v>296</v>
      </c>
      <c r="E20" s="505">
        <v>200</v>
      </c>
      <c r="F20" s="506">
        <v>200</v>
      </c>
      <c r="G20" s="397">
        <f t="shared" si="0"/>
        <v>0</v>
      </c>
    </row>
    <row r="21" spans="4:7">
      <c r="D21" s="503" t="s">
        <v>295</v>
      </c>
      <c r="E21" s="505">
        <v>123.82</v>
      </c>
      <c r="F21" s="506">
        <v>123.82249333333334</v>
      </c>
      <c r="G21" s="397">
        <f t="shared" si="0"/>
        <v>-2.4933333333478913E-3</v>
      </c>
    </row>
    <row r="22" spans="4:7">
      <c r="D22" s="503" t="s">
        <v>294</v>
      </c>
      <c r="E22" s="505">
        <v>252.99</v>
      </c>
      <c r="F22" s="506">
        <v>252.99243999999999</v>
      </c>
      <c r="G22" s="397">
        <f t="shared" si="0"/>
        <v>-2.4399999999786814E-3</v>
      </c>
    </row>
    <row r="23" spans="4:7">
      <c r="D23" s="503" t="s">
        <v>293</v>
      </c>
      <c r="E23" s="505">
        <v>172.56</v>
      </c>
      <c r="F23" s="506">
        <v>172.55500000000001</v>
      </c>
      <c r="G23" s="397">
        <f t="shared" si="0"/>
        <v>4.9999999999954525E-3</v>
      </c>
    </row>
    <row r="24" spans="4:7">
      <c r="D24" s="503" t="s">
        <v>292</v>
      </c>
      <c r="E24" s="505">
        <v>404.95</v>
      </c>
      <c r="F24" s="506">
        <v>404.9511</v>
      </c>
      <c r="G24" s="397">
        <f t="shared" si="0"/>
        <v>-1.1000000000080945E-3</v>
      </c>
    </row>
    <row r="25" spans="4:7">
      <c r="D25" s="503" t="s">
        <v>291</v>
      </c>
      <c r="E25" s="505">
        <v>58.24</v>
      </c>
      <c r="F25" s="506">
        <v>58.235585833333339</v>
      </c>
      <c r="G25" s="397">
        <f t="shared" si="0"/>
        <v>4.4141666666632773E-3</v>
      </c>
    </row>
    <row r="26" spans="4:7">
      <c r="D26" s="503" t="s">
        <v>290</v>
      </c>
      <c r="E26" s="505">
        <v>566.4</v>
      </c>
      <c r="F26" s="506">
        <v>566.4004083333333</v>
      </c>
      <c r="G26" s="397">
        <f t="shared" si="0"/>
        <v>-4.0833333332557231E-4</v>
      </c>
    </row>
    <row r="27" spans="4:7">
      <c r="D27" s="503" t="s">
        <v>289</v>
      </c>
      <c r="E27" s="505">
        <v>289.16000000000003</v>
      </c>
      <c r="F27" s="506">
        <v>289.16000000000003</v>
      </c>
      <c r="G27" s="397">
        <f t="shared" si="0"/>
        <v>0</v>
      </c>
    </row>
    <row r="28" spans="4:7">
      <c r="D28" s="503" t="s">
        <v>288</v>
      </c>
      <c r="E28" s="505">
        <v>464.12</v>
      </c>
      <c r="F28" s="506">
        <v>464.12440000000004</v>
      </c>
      <c r="G28" s="397">
        <f t="shared" si="0"/>
        <v>-4.400000000032378E-3</v>
      </c>
    </row>
    <row r="29" spans="4:7">
      <c r="D29" s="503" t="s">
        <v>287</v>
      </c>
      <c r="E29" s="505">
        <v>347.81</v>
      </c>
      <c r="F29" s="506">
        <v>347.81</v>
      </c>
      <c r="G29" s="397">
        <f t="shared" si="0"/>
        <v>0</v>
      </c>
    </row>
    <row r="30" spans="4:7">
      <c r="D30" s="503" t="s">
        <v>286</v>
      </c>
      <c r="E30" s="505">
        <v>24.15</v>
      </c>
      <c r="F30" s="506">
        <v>24.149999999999977</v>
      </c>
      <c r="G30" s="397">
        <f t="shared" si="0"/>
        <v>0</v>
      </c>
    </row>
    <row r="31" spans="4:7">
      <c r="D31" s="503" t="s">
        <v>285</v>
      </c>
      <c r="E31" s="505">
        <v>375.07</v>
      </c>
      <c r="F31" s="506">
        <v>375.07000000000005</v>
      </c>
      <c r="G31" s="397">
        <f t="shared" si="0"/>
        <v>0</v>
      </c>
    </row>
    <row r="32" spans="4:7">
      <c r="D32" s="503" t="s">
        <v>284</v>
      </c>
      <c r="E32" s="505">
        <v>14.91</v>
      </c>
      <c r="F32" s="506">
        <v>14.907083333333336</v>
      </c>
      <c r="G32" s="397">
        <f t="shared" si="0"/>
        <v>2.916666666664014E-3</v>
      </c>
    </row>
    <row r="33" spans="4:7">
      <c r="D33" s="503" t="s">
        <v>283</v>
      </c>
      <c r="E33" s="505">
        <v>153.65</v>
      </c>
      <c r="F33" s="506">
        <v>153.65145000000001</v>
      </c>
      <c r="G33" s="397">
        <f t="shared" si="0"/>
        <v>-1.4500000000055024E-3</v>
      </c>
    </row>
    <row r="34" spans="4:7">
      <c r="D34" s="503" t="s">
        <v>282</v>
      </c>
      <c r="E34" s="505">
        <v>330.33</v>
      </c>
      <c r="F34" s="506">
        <v>330.33050000000003</v>
      </c>
      <c r="G34" s="397">
        <f t="shared" si="0"/>
        <v>-5.0000000004501999E-4</v>
      </c>
    </row>
    <row r="35" spans="4:7">
      <c r="E35" s="504">
        <f>SUM(E2:E34)</f>
        <v>8406.5799999999981</v>
      </c>
      <c r="F35" s="504">
        <f>SUM(F2:F34)</f>
        <v>8406.5913091666662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0C7B-D488-40D1-AB9F-26C447FA3782}">
  <sheetPr codeName="Hoja19"/>
  <dimension ref="B5:W25"/>
  <sheetViews>
    <sheetView showGridLines="0" workbookViewId="0">
      <selection activeCell="J24" sqref="J24"/>
    </sheetView>
  </sheetViews>
  <sheetFormatPr baseColWidth="10" defaultRowHeight="14.4"/>
  <cols>
    <col min="1" max="1" width="2.77734375" customWidth="1"/>
    <col min="2" max="2" width="5.77734375" customWidth="1"/>
    <col min="3" max="3" width="7.21875" customWidth="1"/>
    <col min="4" max="4" width="23.33203125" customWidth="1"/>
    <col min="5" max="5" width="8.33203125" customWidth="1"/>
    <col min="6" max="6" width="9.21875" hidden="1" customWidth="1"/>
    <col min="7" max="7" width="6.6640625" customWidth="1"/>
    <col min="8" max="8" width="6.44140625" customWidth="1"/>
    <col min="9" max="9" width="8.109375" customWidth="1"/>
    <col min="10" max="21" width="9.44140625" style="525" customWidth="1"/>
    <col min="22" max="22" width="11.5546875" style="34"/>
  </cols>
  <sheetData>
    <row r="5" spans="2:23">
      <c r="J5" s="605">
        <v>1</v>
      </c>
      <c r="K5" s="605">
        <v>2</v>
      </c>
      <c r="L5" s="605">
        <v>3</v>
      </c>
      <c r="M5" s="605">
        <v>4</v>
      </c>
      <c r="N5" s="605">
        <v>5</v>
      </c>
      <c r="O5" s="605">
        <v>6</v>
      </c>
      <c r="P5" s="605">
        <v>7</v>
      </c>
      <c r="Q5" s="605">
        <v>8</v>
      </c>
      <c r="R5" s="605">
        <v>9</v>
      </c>
      <c r="S5" s="605">
        <v>10</v>
      </c>
      <c r="T5" s="605">
        <v>11</v>
      </c>
      <c r="U5" s="605">
        <v>12</v>
      </c>
    </row>
    <row r="6" spans="2:23" ht="19.2">
      <c r="B6" s="508" t="s">
        <v>316</v>
      </c>
      <c r="C6" s="508" t="s">
        <v>317</v>
      </c>
      <c r="D6" s="508" t="s">
        <v>318</v>
      </c>
      <c r="E6" s="509" t="s">
        <v>319</v>
      </c>
      <c r="F6" s="508" t="s">
        <v>320</v>
      </c>
      <c r="G6" s="509" t="s">
        <v>321</v>
      </c>
      <c r="H6" s="520" t="s">
        <v>322</v>
      </c>
      <c r="I6" s="522" t="s">
        <v>323</v>
      </c>
      <c r="J6" s="606" t="s">
        <v>327</v>
      </c>
      <c r="K6" s="606" t="s">
        <v>328</v>
      </c>
      <c r="L6" s="606" t="s">
        <v>329</v>
      </c>
      <c r="M6" s="606" t="s">
        <v>330</v>
      </c>
      <c r="N6" s="606" t="s">
        <v>365</v>
      </c>
      <c r="O6" s="606" t="s">
        <v>366</v>
      </c>
      <c r="P6" s="606" t="s">
        <v>367</v>
      </c>
      <c r="Q6" s="606" t="s">
        <v>368</v>
      </c>
      <c r="R6" s="606" t="s">
        <v>373</v>
      </c>
      <c r="S6" s="606" t="s">
        <v>374</v>
      </c>
      <c r="T6" s="606" t="s">
        <v>375</v>
      </c>
      <c r="U6" s="606" t="s">
        <v>335</v>
      </c>
      <c r="V6" s="526" t="s">
        <v>21</v>
      </c>
    </row>
    <row r="7" spans="2:23">
      <c r="B7" s="510">
        <v>9583</v>
      </c>
      <c r="C7" s="544">
        <v>940991987</v>
      </c>
      <c r="D7" s="533" t="s">
        <v>25</v>
      </c>
      <c r="E7" s="511">
        <v>25000</v>
      </c>
      <c r="F7" s="512" t="s">
        <v>128</v>
      </c>
      <c r="G7" s="511">
        <f t="shared" ref="G7:G13" si="0">+IF(F7= "NO",E7*2%,0)</f>
        <v>500</v>
      </c>
      <c r="H7" s="521">
        <v>6</v>
      </c>
      <c r="I7" s="523">
        <f t="shared" ref="I7:I13" si="1">+G7/H7</f>
        <v>83.333333333333329</v>
      </c>
      <c r="J7" s="607">
        <f>+I7</f>
        <v>83.333333333333329</v>
      </c>
      <c r="K7" s="608">
        <v>83.33</v>
      </c>
      <c r="L7" s="608">
        <v>83.33</v>
      </c>
      <c r="M7" s="530">
        <v>83.33</v>
      </c>
      <c r="N7" s="531">
        <v>83.33</v>
      </c>
      <c r="O7" s="531">
        <v>83.35</v>
      </c>
      <c r="P7" s="532"/>
      <c r="Q7" s="532"/>
      <c r="R7" s="532"/>
      <c r="S7" s="532"/>
      <c r="T7" s="532"/>
      <c r="U7" s="532"/>
      <c r="V7" s="68">
        <f>SUM(J7:U7)</f>
        <v>500.00333333333333</v>
      </c>
      <c r="W7" s="80">
        <f>+G7-V7</f>
        <v>-3.3333333333303017E-3</v>
      </c>
    </row>
    <row r="8" spans="2:23">
      <c r="B8" s="510">
        <v>9364</v>
      </c>
      <c r="C8" s="544">
        <v>925813685</v>
      </c>
      <c r="D8" s="533" t="s">
        <v>46</v>
      </c>
      <c r="E8" s="511">
        <v>1000</v>
      </c>
      <c r="F8" s="512" t="s">
        <v>128</v>
      </c>
      <c r="G8" s="511">
        <f t="shared" si="0"/>
        <v>20</v>
      </c>
      <c r="H8" s="521">
        <v>1</v>
      </c>
      <c r="I8" s="523">
        <f t="shared" si="1"/>
        <v>20</v>
      </c>
      <c r="J8" s="532">
        <v>20</v>
      </c>
      <c r="K8" s="532"/>
      <c r="L8" s="532"/>
      <c r="M8" s="532"/>
      <c r="N8" s="532"/>
      <c r="O8" s="532"/>
      <c r="P8" s="532"/>
      <c r="Q8" s="532"/>
      <c r="R8" s="532"/>
      <c r="S8" s="532"/>
      <c r="T8" s="532"/>
      <c r="U8" s="532"/>
      <c r="V8" s="68">
        <f t="shared" ref="V8:V13" si="2">SUM(J8:U8)</f>
        <v>20</v>
      </c>
      <c r="W8" s="80">
        <f t="shared" ref="W8:W13" si="3">+G8-V8</f>
        <v>0</v>
      </c>
    </row>
    <row r="9" spans="2:23">
      <c r="B9" s="510">
        <v>8569</v>
      </c>
      <c r="C9" s="544">
        <v>928901800</v>
      </c>
      <c r="D9" s="533" t="s">
        <v>27</v>
      </c>
      <c r="E9" s="511">
        <v>20000</v>
      </c>
      <c r="F9" s="512" t="s">
        <v>128</v>
      </c>
      <c r="G9" s="511">
        <f t="shared" si="0"/>
        <v>400</v>
      </c>
      <c r="H9" s="521">
        <v>12</v>
      </c>
      <c r="I9" s="523">
        <f t="shared" si="1"/>
        <v>33.333333333333336</v>
      </c>
      <c r="J9" s="532">
        <v>33.333333333333336</v>
      </c>
      <c r="K9" s="532">
        <v>33.333333333333336</v>
      </c>
      <c r="L9" s="532">
        <v>33.333333333333336</v>
      </c>
      <c r="M9" s="532">
        <v>33.33</v>
      </c>
      <c r="N9" s="532">
        <v>33.33</v>
      </c>
      <c r="O9" s="532">
        <v>33.33</v>
      </c>
      <c r="P9" s="532">
        <v>33.33</v>
      </c>
      <c r="Q9" s="532">
        <v>33.33</v>
      </c>
      <c r="R9" s="532">
        <v>33.33</v>
      </c>
      <c r="S9" s="532">
        <v>33.33</v>
      </c>
      <c r="T9" s="532">
        <v>33.33</v>
      </c>
      <c r="U9" s="532">
        <v>33.33</v>
      </c>
      <c r="V9" s="68">
        <f>SUM(J9:U9)</f>
        <v>399.96999999999986</v>
      </c>
      <c r="W9" s="80">
        <f t="shared" si="3"/>
        <v>3.0000000000143245E-2</v>
      </c>
    </row>
    <row r="10" spans="2:23">
      <c r="B10" s="510">
        <v>14207</v>
      </c>
      <c r="C10" s="544">
        <v>604394502</v>
      </c>
      <c r="D10" s="533" t="s">
        <v>61</v>
      </c>
      <c r="E10" s="511">
        <v>3000</v>
      </c>
      <c r="F10" s="512" t="s">
        <v>128</v>
      </c>
      <c r="G10" s="511">
        <f t="shared" si="0"/>
        <v>60</v>
      </c>
      <c r="H10" s="521">
        <v>1</v>
      </c>
      <c r="I10" s="523">
        <f t="shared" si="1"/>
        <v>60</v>
      </c>
      <c r="J10" s="532">
        <v>60</v>
      </c>
      <c r="K10" s="532"/>
      <c r="L10" s="532"/>
      <c r="M10" s="532"/>
      <c r="N10" s="532"/>
      <c r="O10" s="532"/>
      <c r="P10" s="532"/>
      <c r="Q10" s="532"/>
      <c r="R10" s="532"/>
      <c r="S10" s="532"/>
      <c r="T10" s="532"/>
      <c r="U10" s="532"/>
      <c r="V10" s="68">
        <f t="shared" si="2"/>
        <v>60</v>
      </c>
      <c r="W10" s="80">
        <f t="shared" si="3"/>
        <v>0</v>
      </c>
    </row>
    <row r="11" spans="2:23">
      <c r="B11" s="510">
        <v>12152</v>
      </c>
      <c r="C11" s="544">
        <v>955395686</v>
      </c>
      <c r="D11" s="533" t="s">
        <v>43</v>
      </c>
      <c r="E11" s="511">
        <v>15000</v>
      </c>
      <c r="F11" s="512" t="s">
        <v>128</v>
      </c>
      <c r="G11" s="511">
        <f t="shared" si="0"/>
        <v>300</v>
      </c>
      <c r="H11" s="521">
        <v>3</v>
      </c>
      <c r="I11" s="523">
        <f t="shared" si="1"/>
        <v>100</v>
      </c>
      <c r="J11" s="532">
        <v>100</v>
      </c>
      <c r="K11" s="532">
        <v>100</v>
      </c>
      <c r="L11" s="532">
        <v>100</v>
      </c>
      <c r="M11" s="532"/>
      <c r="N11" s="532"/>
      <c r="O11" s="532"/>
      <c r="P11" s="532"/>
      <c r="Q11" s="532"/>
      <c r="R11" s="532"/>
      <c r="S11" s="532"/>
      <c r="T11" s="532"/>
      <c r="U11" s="532"/>
      <c r="V11" s="68">
        <f t="shared" si="2"/>
        <v>300</v>
      </c>
      <c r="W11" s="80">
        <f t="shared" si="3"/>
        <v>0</v>
      </c>
    </row>
    <row r="12" spans="2:23" ht="14.4" customHeight="1">
      <c r="B12" s="510">
        <v>5135</v>
      </c>
      <c r="C12" s="544">
        <v>925830689</v>
      </c>
      <c r="D12" s="533" t="s">
        <v>331</v>
      </c>
      <c r="E12" s="511">
        <v>11000</v>
      </c>
      <c r="F12" s="512" t="s">
        <v>128</v>
      </c>
      <c r="G12" s="511">
        <f t="shared" si="0"/>
        <v>220</v>
      </c>
      <c r="H12" s="521">
        <v>1</v>
      </c>
      <c r="I12" s="523">
        <f t="shared" si="1"/>
        <v>220</v>
      </c>
      <c r="J12" s="532">
        <v>220</v>
      </c>
      <c r="K12" s="532"/>
      <c r="L12" s="532"/>
      <c r="M12" s="532"/>
      <c r="N12" s="532"/>
      <c r="O12" s="532"/>
      <c r="P12" s="532"/>
      <c r="Q12" s="532"/>
      <c r="R12" s="532"/>
      <c r="S12" s="532"/>
      <c r="T12" s="532"/>
      <c r="U12" s="532"/>
      <c r="V12" s="68">
        <f t="shared" si="2"/>
        <v>220</v>
      </c>
      <c r="W12" s="80">
        <f t="shared" si="3"/>
        <v>0</v>
      </c>
    </row>
    <row r="13" spans="2:23">
      <c r="B13" s="510">
        <v>14045</v>
      </c>
      <c r="C13" s="544">
        <v>953819646</v>
      </c>
      <c r="D13" s="533" t="s">
        <v>59</v>
      </c>
      <c r="E13" s="511">
        <v>1500</v>
      </c>
      <c r="F13" s="512" t="s">
        <v>128</v>
      </c>
      <c r="G13" s="511">
        <f t="shared" si="0"/>
        <v>30</v>
      </c>
      <c r="H13" s="521">
        <v>1</v>
      </c>
      <c r="I13" s="523">
        <f t="shared" si="1"/>
        <v>30</v>
      </c>
      <c r="J13" s="532">
        <v>30</v>
      </c>
      <c r="K13" s="532"/>
      <c r="L13" s="532"/>
      <c r="M13" s="532"/>
      <c r="N13" s="532"/>
      <c r="O13" s="532"/>
      <c r="P13" s="532"/>
      <c r="Q13" s="532"/>
      <c r="R13" s="532"/>
      <c r="S13" s="532"/>
      <c r="T13" s="532"/>
      <c r="U13" s="532"/>
      <c r="V13" s="68">
        <f t="shared" si="2"/>
        <v>30</v>
      </c>
      <c r="W13" s="80">
        <f t="shared" si="3"/>
        <v>0</v>
      </c>
    </row>
    <row r="14" spans="2:23">
      <c r="B14" s="968" t="s">
        <v>326</v>
      </c>
      <c r="C14" s="969"/>
      <c r="D14" s="969"/>
      <c r="E14" s="513">
        <f>+SUBTOTAL(9,E7:E13)</f>
        <v>76500</v>
      </c>
      <c r="F14" s="514"/>
      <c r="G14" s="513">
        <f>+SUBTOTAL(9,G7:G13)</f>
        <v>1530</v>
      </c>
      <c r="H14" s="520">
        <f>+SUBTOTAL(9,H7:H13)</f>
        <v>25</v>
      </c>
      <c r="I14" s="524">
        <f>+SUBTOTAL(9,I7:I13)</f>
        <v>546.66666666666663</v>
      </c>
      <c r="J14" s="527">
        <f>SUM(J7:J13)</f>
        <v>546.66666666666663</v>
      </c>
      <c r="K14" s="527">
        <f t="shared" ref="K14:U14" si="4">SUM(K7:K13)</f>
        <v>216.66333333333333</v>
      </c>
      <c r="L14" s="527">
        <f t="shared" si="4"/>
        <v>216.66333333333333</v>
      </c>
      <c r="M14" s="527">
        <f t="shared" si="4"/>
        <v>116.66</v>
      </c>
      <c r="N14" s="527">
        <f t="shared" si="4"/>
        <v>116.66</v>
      </c>
      <c r="O14" s="527">
        <f t="shared" si="4"/>
        <v>116.67999999999999</v>
      </c>
      <c r="P14" s="527">
        <f t="shared" si="4"/>
        <v>33.33</v>
      </c>
      <c r="Q14" s="527">
        <f t="shared" si="4"/>
        <v>33.33</v>
      </c>
      <c r="R14" s="527">
        <f t="shared" si="4"/>
        <v>33.33</v>
      </c>
      <c r="S14" s="527">
        <f t="shared" si="4"/>
        <v>33.33</v>
      </c>
      <c r="T14" s="527">
        <f t="shared" si="4"/>
        <v>33.33</v>
      </c>
      <c r="U14" s="527">
        <f t="shared" si="4"/>
        <v>33.33</v>
      </c>
      <c r="V14" s="529">
        <f>SUM(V7:V13)</f>
        <v>1529.9733333333331</v>
      </c>
      <c r="W14" s="80">
        <f>SUM(W7:W13)</f>
        <v>2.6666666666812944E-2</v>
      </c>
    </row>
    <row r="15" spans="2:23">
      <c r="B15" s="515"/>
      <c r="C15" s="515"/>
      <c r="D15" s="515"/>
      <c r="E15" s="516"/>
      <c r="F15" s="517"/>
      <c r="G15" s="516"/>
      <c r="H15" s="518"/>
      <c r="I15" s="519"/>
    </row>
    <row r="16" spans="2:23">
      <c r="B16" s="515"/>
      <c r="C16" s="515"/>
      <c r="D16" s="515"/>
      <c r="E16" s="516"/>
      <c r="F16" s="517"/>
      <c r="G16" s="516"/>
      <c r="H16" s="518"/>
      <c r="I16" s="519"/>
    </row>
    <row r="18" spans="7:19">
      <c r="N18" s="604">
        <v>33.333333333333336</v>
      </c>
      <c r="R18" s="525">
        <v>550</v>
      </c>
    </row>
    <row r="19" spans="7:19">
      <c r="O19" s="525">
        <f>33.33*12</f>
        <v>399.96</v>
      </c>
      <c r="R19" s="525">
        <v>60</v>
      </c>
      <c r="S19" s="525" t="s">
        <v>369</v>
      </c>
    </row>
    <row r="20" spans="7:19">
      <c r="G20">
        <v>83.33</v>
      </c>
      <c r="I20">
        <v>33.33</v>
      </c>
      <c r="R20" s="525">
        <v>67.010000000000005</v>
      </c>
      <c r="S20" s="525" t="s">
        <v>370</v>
      </c>
    </row>
    <row r="21" spans="7:19">
      <c r="G21">
        <v>83.33</v>
      </c>
      <c r="I21">
        <v>33.33</v>
      </c>
      <c r="K21" s="603"/>
      <c r="M21" s="525">
        <v>250</v>
      </c>
      <c r="N21" s="525" t="s">
        <v>372</v>
      </c>
      <c r="R21" s="525">
        <v>74.680000000000007</v>
      </c>
      <c r="S21" s="525" t="s">
        <v>371</v>
      </c>
    </row>
    <row r="22" spans="7:19">
      <c r="G22">
        <v>83.33</v>
      </c>
      <c r="I22">
        <v>33.33</v>
      </c>
      <c r="M22" s="525">
        <f>+SUM(M9:U9)</f>
        <v>299.96999999999991</v>
      </c>
      <c r="R22" s="525">
        <f>SUM(R18:R21)</f>
        <v>751.69</v>
      </c>
    </row>
    <row r="23" spans="7:19">
      <c r="G23">
        <f>SUM(G20:G22)</f>
        <v>249.99</v>
      </c>
      <c r="I23">
        <f>SUM(I20:I22)</f>
        <v>99.99</v>
      </c>
      <c r="M23" s="525">
        <f>SUM(M21:M22)</f>
        <v>549.96999999999991</v>
      </c>
      <c r="O23" s="525">
        <f>33.33*3</f>
        <v>99.99</v>
      </c>
    </row>
    <row r="24" spans="7:19">
      <c r="I24">
        <f>400-I23</f>
        <v>300.01</v>
      </c>
      <c r="R24" s="525">
        <v>751.69</v>
      </c>
    </row>
    <row r="25" spans="7:19">
      <c r="G25">
        <f>500-G23</f>
        <v>250.01</v>
      </c>
      <c r="O25" s="525">
        <f>400-O23</f>
        <v>300.01</v>
      </c>
      <c r="R25" s="525">
        <f>+R24-R22</f>
        <v>0</v>
      </c>
    </row>
  </sheetData>
  <mergeCells count="1">
    <mergeCell ref="B14:D14"/>
  </mergeCells>
  <phoneticPr fontId="13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64C7-B567-43B2-9EF4-06721DA6AC16}">
  <sheetPr codeName="Hoja20"/>
  <dimension ref="B2:N6"/>
  <sheetViews>
    <sheetView workbookViewId="0">
      <selection activeCell="I9" sqref="I9"/>
    </sheetView>
  </sheetViews>
  <sheetFormatPr baseColWidth="10" defaultRowHeight="14.4"/>
  <cols>
    <col min="2" max="2" width="6.33203125" customWidth="1"/>
    <col min="4" max="4" width="17.77734375" customWidth="1"/>
    <col min="6" max="6" width="9.88671875" customWidth="1"/>
    <col min="7" max="7" width="8.109375" customWidth="1"/>
    <col min="8" max="9" width="9.44140625" style="525" customWidth="1"/>
    <col min="10" max="10" width="8.44140625" style="525" customWidth="1"/>
    <col min="11" max="11" width="8.5546875" style="525" customWidth="1"/>
    <col min="12" max="12" width="8.44140625" style="525" customWidth="1"/>
    <col min="13" max="13" width="10.44140625" style="34" customWidth="1"/>
  </cols>
  <sheetData>
    <row r="2" spans="2:14">
      <c r="H2" s="528">
        <v>1</v>
      </c>
      <c r="I2" s="528"/>
      <c r="J2" s="528">
        <v>2</v>
      </c>
      <c r="K2" s="528">
        <v>3</v>
      </c>
      <c r="L2" s="528">
        <v>4</v>
      </c>
    </row>
    <row r="3" spans="2:14" ht="19.2">
      <c r="B3" s="536" t="s">
        <v>316</v>
      </c>
      <c r="C3" s="536" t="s">
        <v>317</v>
      </c>
      <c r="D3" s="537" t="s">
        <v>318</v>
      </c>
      <c r="E3" s="538" t="s">
        <v>319</v>
      </c>
      <c r="F3" s="539" t="s">
        <v>322</v>
      </c>
      <c r="G3" s="522" t="s">
        <v>323</v>
      </c>
      <c r="H3" s="534" t="s">
        <v>335</v>
      </c>
      <c r="I3" s="125" t="s">
        <v>327</v>
      </c>
      <c r="J3" s="125" t="s">
        <v>328</v>
      </c>
      <c r="K3" s="125" t="s">
        <v>329</v>
      </c>
      <c r="L3" s="125" t="s">
        <v>330</v>
      </c>
      <c r="M3" s="526" t="s">
        <v>21</v>
      </c>
    </row>
    <row r="4" spans="2:14">
      <c r="B4" s="540">
        <v>9583</v>
      </c>
      <c r="C4" s="540" t="s">
        <v>324</v>
      </c>
      <c r="D4" s="541" t="s">
        <v>333</v>
      </c>
      <c r="E4" s="542">
        <v>176.06</v>
      </c>
      <c r="F4" s="543">
        <v>5</v>
      </c>
      <c r="G4" s="523">
        <f>+E4/5</f>
        <v>35.212000000000003</v>
      </c>
      <c r="H4" s="535">
        <f>+G4</f>
        <v>35.212000000000003</v>
      </c>
      <c r="I4" s="530">
        <f>+H4</f>
        <v>35.212000000000003</v>
      </c>
      <c r="J4" s="531">
        <f>+H4</f>
        <v>35.212000000000003</v>
      </c>
      <c r="K4" s="531">
        <f t="shared" ref="K4:L5" si="0">+J4</f>
        <v>35.212000000000003</v>
      </c>
      <c r="L4" s="531">
        <f t="shared" si="0"/>
        <v>35.212000000000003</v>
      </c>
      <c r="M4" s="68">
        <f>SUM(H4:L4)</f>
        <v>176.06</v>
      </c>
      <c r="N4" s="80">
        <f>+E4-M4</f>
        <v>0</v>
      </c>
    </row>
    <row r="5" spans="2:14">
      <c r="B5" s="540">
        <v>9364</v>
      </c>
      <c r="C5" s="540" t="s">
        <v>325</v>
      </c>
      <c r="D5" s="541" t="s">
        <v>334</v>
      </c>
      <c r="E5" s="542">
        <v>176.06</v>
      </c>
      <c r="F5" s="543">
        <v>5</v>
      </c>
      <c r="G5" s="523">
        <f>+E5/5</f>
        <v>35.212000000000003</v>
      </c>
      <c r="H5" s="535">
        <f>+G5</f>
        <v>35.212000000000003</v>
      </c>
      <c r="I5" s="530">
        <f>+H5</f>
        <v>35.212000000000003</v>
      </c>
      <c r="J5" s="531">
        <f>+H5</f>
        <v>35.212000000000003</v>
      </c>
      <c r="K5" s="531">
        <f t="shared" si="0"/>
        <v>35.212000000000003</v>
      </c>
      <c r="L5" s="531">
        <f t="shared" si="0"/>
        <v>35.212000000000003</v>
      </c>
      <c r="M5" s="68">
        <f>SUM(H5:L5)</f>
        <v>176.06</v>
      </c>
      <c r="N5" s="80">
        <f>+E5-M5</f>
        <v>0</v>
      </c>
    </row>
    <row r="6" spans="2:14">
      <c r="B6" s="515"/>
      <c r="C6" s="515"/>
      <c r="D6" s="515"/>
      <c r="E6" s="516"/>
      <c r="F6" s="518"/>
      <c r="G6" s="5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2</vt:i4>
      </vt:variant>
    </vt:vector>
  </HeadingPairs>
  <TitlesOfParts>
    <vt:vector size="30" baseType="lpstr">
      <vt:lpstr>OCTUBRE 2025</vt:lpstr>
      <vt:lpstr>BONO vehicular</vt:lpstr>
      <vt:lpstr>COMISIONES</vt:lpstr>
      <vt:lpstr>ROL INDIVIDUAL</vt:lpstr>
      <vt:lpstr>ROL INDIVIDUAL (2)</vt:lpstr>
      <vt:lpstr>ROL INDIVIDUAL Prueba</vt:lpstr>
      <vt:lpstr>CHIMBOLEMA</vt:lpstr>
      <vt:lpstr>coca</vt:lpstr>
      <vt:lpstr>coca (2)</vt:lpstr>
      <vt:lpstr>Enfermedad-Meza)</vt:lpstr>
      <vt:lpstr>Cálculo Morocho</vt:lpstr>
      <vt:lpstr>DEL ROSARIO</vt:lpstr>
      <vt:lpstr>CHIMBOLEMA KEVIN</vt:lpstr>
      <vt:lpstr>OTRAS COMISIONES</vt:lpstr>
      <vt:lpstr>COMISIONES-SOCIOS</vt:lpstr>
      <vt:lpstr>CTAS POR COBRAR-GUAPI</vt:lpstr>
      <vt:lpstr>H.EXTRAS</vt:lpstr>
      <vt:lpstr>Conversión-HE</vt:lpstr>
      <vt:lpstr>PQ</vt:lpstr>
      <vt:lpstr>FR</vt:lpstr>
      <vt:lpstr>Enfermedad</vt:lpstr>
      <vt:lpstr>CxC García Henry</vt:lpstr>
      <vt:lpstr>CxC Guayanlema</vt:lpstr>
      <vt:lpstr>ANTICIPOS</vt:lpstr>
      <vt:lpstr>Hoja1</vt:lpstr>
      <vt:lpstr>comprobación</vt:lpstr>
      <vt:lpstr>DESCUENTO</vt:lpstr>
      <vt:lpstr>anticipos-pago yuquilema</vt:lpstr>
      <vt:lpstr>'Conversión-HE'!Área_de_impresión</vt:lpstr>
      <vt:lpstr>'OCTUBRE 2025'!Títulos_a_imprimir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Maite</dc:creator>
  <cp:lastModifiedBy>Danny Joeh Veliz Calero</cp:lastModifiedBy>
  <cp:lastPrinted>2025-11-30T01:45:10Z</cp:lastPrinted>
  <dcterms:created xsi:type="dcterms:W3CDTF">2020-01-31T23:31:18Z</dcterms:created>
  <dcterms:modified xsi:type="dcterms:W3CDTF">2025-11-30T02:15:41Z</dcterms:modified>
</cp:coreProperties>
</file>