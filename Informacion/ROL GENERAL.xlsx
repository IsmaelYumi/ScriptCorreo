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y\Documents\Trabajo\TrabajoLiz\"/>
    </mc:Choice>
  </mc:AlternateContent>
  <xr:revisionPtr revIDLastSave="0" documentId="13_ncr:1_{38727F9A-1E58-46B0-A6B5-518C2FC53531}" xr6:coauthVersionLast="47" xr6:coauthVersionMax="47" xr10:uidLastSave="{00000000-0000-0000-0000-000000000000}"/>
  <bookViews>
    <workbookView xWindow="-108" yWindow="-108" windowWidth="23256" windowHeight="12456" xr2:uid="{EDB14DFC-DCF5-4B4C-A274-5000F7B6804E}"/>
  </bookViews>
  <sheets>
    <sheet name="ROL GENERAL" sheetId="1" r:id="rId1"/>
    <sheet name="Hoja2" sheetId="2" r:id="rId2"/>
  </sheets>
  <externalReferences>
    <externalReference r:id="rId3"/>
  </externalReferences>
  <definedNames>
    <definedName name="_xlnm._FilterDatabase" localSheetId="0" hidden="1">'ROL GENERAL'!$A$6:$AL$57</definedName>
    <definedName name="CANTIDAD_POR_DEPARTAMENTO">#REF!</definedName>
    <definedName name="SUELDOS_POR_DEPARTAMENTO">#REF!</definedName>
    <definedName name="_xlnm.Print_Titles" localSheetId="0">'ROL GENERAL'!$2:$4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8" i="1" l="1"/>
  <c r="AG58" i="1"/>
  <c r="AF58" i="1"/>
  <c r="AD58" i="1"/>
  <c r="AB58" i="1"/>
  <c r="AA58" i="1"/>
  <c r="V58" i="1"/>
  <c r="O58" i="1"/>
  <c r="N58" i="1"/>
  <c r="J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X58" i="1"/>
  <c r="R33" i="1"/>
  <c r="R32" i="1"/>
  <c r="R31" i="1"/>
  <c r="Q31" i="1"/>
  <c r="P31" i="1"/>
  <c r="R30" i="1"/>
  <c r="Q30" i="1"/>
  <c r="P30" i="1"/>
  <c r="R29" i="1"/>
  <c r="Q29" i="1"/>
  <c r="P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L58" i="1"/>
  <c r="R23" i="1"/>
  <c r="Q23" i="1"/>
  <c r="P23" i="1"/>
  <c r="R22" i="1"/>
  <c r="Q22" i="1"/>
  <c r="P22" i="1"/>
  <c r="R21" i="1"/>
  <c r="Q21" i="1"/>
  <c r="P21" i="1"/>
  <c r="R20" i="1"/>
  <c r="Q20" i="1"/>
  <c r="P20" i="1"/>
  <c r="R19" i="1"/>
  <c r="Q19" i="1"/>
  <c r="P19" i="1"/>
  <c r="R18" i="1"/>
  <c r="Q18" i="1"/>
  <c r="P18" i="1"/>
  <c r="R17" i="1"/>
  <c r="Q17" i="1"/>
  <c r="P17" i="1"/>
  <c r="R16" i="1"/>
  <c r="Q16" i="1"/>
  <c r="P16" i="1"/>
  <c r="R15" i="1"/>
  <c r="Q15" i="1"/>
  <c r="P15" i="1"/>
  <c r="R14" i="1"/>
  <c r="Q14" i="1"/>
  <c r="P14" i="1"/>
  <c r="R13" i="1"/>
  <c r="Q13" i="1"/>
  <c r="P13" i="1"/>
  <c r="R12" i="1"/>
  <c r="Q12" i="1"/>
  <c r="P12" i="1"/>
  <c r="R11" i="1"/>
  <c r="Q11" i="1"/>
  <c r="P11" i="1"/>
  <c r="R10" i="1"/>
  <c r="Q10" i="1"/>
  <c r="P10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R9" i="1"/>
  <c r="Q9" i="1"/>
  <c r="P9" i="1"/>
  <c r="B9" i="1"/>
  <c r="AC58" i="1"/>
  <c r="R8" i="1"/>
  <c r="Q8" i="1"/>
  <c r="P8" i="1"/>
  <c r="Q58" i="1" l="1"/>
  <c r="P58" i="1"/>
  <c r="U58" i="1"/>
  <c r="K58" i="1"/>
  <c r="R58" i="1"/>
  <c r="M58" i="1"/>
  <c r="W58" i="1"/>
  <c r="AE58" i="1" l="1"/>
  <c r="S58" i="1"/>
  <c r="T58" i="1" l="1"/>
  <c r="Z58" i="1" s="1"/>
  <c r="AI58" i="1"/>
  <c r="Y58" i="1" l="1"/>
  <c r="AJ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K32" authorId="0" shapeId="0" xr:uid="{E5DB65AF-A42F-4595-BE67-08F65C0EE2C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$150 bono vehicular y $50 por peajes</t>
        </r>
      </text>
    </comment>
  </commentList>
</comments>
</file>

<file path=xl/sharedStrings.xml><?xml version="1.0" encoding="utf-8"?>
<sst xmlns="http://schemas.openxmlformats.org/spreadsheetml/2006/main" count="249" uniqueCount="124">
  <si>
    <t>COOPERATIVA DE AHORRO Y CRÉDITO "LOS ANDES LATINOS" LTDA.</t>
  </si>
  <si>
    <t xml:space="preserve">  </t>
  </si>
  <si>
    <t xml:space="preserve">       ROL DE PAGOS</t>
  </si>
  <si>
    <t xml:space="preserve"> MES DE OCTUBRE 2025</t>
  </si>
  <si>
    <t>INGRESOS</t>
  </si>
  <si>
    <t>EGRESOS</t>
  </si>
  <si>
    <t>No.</t>
  </si>
  <si>
    <t>CEDULA</t>
  </si>
  <si>
    <t xml:space="preserve">NOMBRE </t>
  </si>
  <si>
    <t>FECHA DE
 INGRESO</t>
  </si>
  <si>
    <t>CARGO</t>
  </si>
  <si>
    <t>GÉNERO</t>
  </si>
  <si>
    <t>AGENCIA</t>
  </si>
  <si>
    <t>DIAS 
TRABAJADOS</t>
  </si>
  <si>
    <t>SUELDO BRUTO</t>
  </si>
  <si>
    <t>BONO 
VEHICULAR</t>
  </si>
  <si>
    <t>Bono General Mensual</t>
  </si>
  <si>
    <t>BONO CUMPLIMIENTO</t>
  </si>
  <si>
    <t>COMISIÓN SUP. META</t>
  </si>
  <si>
    <t>COMISION POR PLAZOS FIJOS</t>
  </si>
  <si>
    <t>COM. SOCIOS NUEVOS Y COLOCACION</t>
  </si>
  <si>
    <t>VALOR EN HORAS EXTRAS</t>
  </si>
  <si>
    <t>TOTAL POR VARIACION</t>
  </si>
  <si>
    <t>INGRESOS APORTE AL IESS</t>
  </si>
  <si>
    <t>FONDO
RESERVAS</t>
  </si>
  <si>
    <t>FONDO DE RESERVA (BONO NAVIDEÑO)</t>
  </si>
  <si>
    <t>DECIMO TERCERO</t>
  </si>
  <si>
    <t>DECIMO
CUARTO</t>
  </si>
  <si>
    <t>TOTAL DE Ingresos</t>
  </si>
  <si>
    <t xml:space="preserve"> IESS</t>
  </si>
  <si>
    <t>RET IMP A LA RENTA</t>
  </si>
  <si>
    <t>DSCTOS</t>
  </si>
  <si>
    <t>PRESTAMO PQ- HIP</t>
  </si>
  <si>
    <t>SUBSIDIOS
MONETARIO</t>
  </si>
  <si>
    <t>EXT. SALUD</t>
  </si>
  <si>
    <t>PENSION
ALIMENTICIA</t>
  </si>
  <si>
    <t>C*C</t>
  </si>
  <si>
    <t>ANTICP. SUELD.</t>
  </si>
  <si>
    <t>TOTAL DESCTS.</t>
  </si>
  <si>
    <t>NETO</t>
  </si>
  <si>
    <t>RECIBI CONFORME</t>
  </si>
  <si>
    <t>ASITIMBAY CRIOLLO JOHN ANDERSON</t>
  </si>
  <si>
    <t xml:space="preserve"> JEFE DE MARKETING</t>
  </si>
  <si>
    <t>M</t>
  </si>
  <si>
    <t>Matriz</t>
  </si>
  <si>
    <t>BARAHONA ZAMBRANO DAYANA NICOLE</t>
  </si>
  <si>
    <t>CAJERO FINANCIERO</t>
  </si>
  <si>
    <t>F</t>
  </si>
  <si>
    <t>BETUN CHAFLA JULIO CESAR</t>
  </si>
  <si>
    <t>ASESOR DE NEGOCIOS</t>
  </si>
  <si>
    <t>CHACAGUASAY CHACAGUASAY ROBERTH CRISTHIAN</t>
  </si>
  <si>
    <t>OFICIAL DE RECAUDACIONES</t>
  </si>
  <si>
    <t>0943964973</t>
  </si>
  <si>
    <t>CHACAGUASAY GUAMAN KEVIN NEHEMIAS</t>
  </si>
  <si>
    <t>CHIMBOLEMA YUNGAN MARIO EFRAIN</t>
  </si>
  <si>
    <t>Durán</t>
  </si>
  <si>
    <t>CHOCA CEPEDA INES VIVIANA</t>
  </si>
  <si>
    <t>CAJERA FINANCIERA</t>
  </si>
  <si>
    <t>COCA BENITEZ JORGE MANUEL</t>
  </si>
  <si>
    <t>ANALISTA DE RIESGO</t>
  </si>
  <si>
    <t>CORO YUQUILEMA RUTH NOEMI</t>
  </si>
  <si>
    <t>0918741448</t>
  </si>
  <si>
    <t>DEFAS CHICAIZA JOEL ALBERTO</t>
  </si>
  <si>
    <t>Norte</t>
  </si>
  <si>
    <t>DEL ROSARIO RODRIGUEZ JUDY ANGELICA</t>
  </si>
  <si>
    <t>FLORES HERRERA WENDY DEL CISNE</t>
  </si>
  <si>
    <t>FUELA TOABANDA JOSUE CHRISTIAN</t>
  </si>
  <si>
    <t>ASISTENTE CONTABLE</t>
  </si>
  <si>
    <t>GALAN LEMACHE INGRID GISELA</t>
  </si>
  <si>
    <t>BACK UP ADMINISTRATIVO  FINANCIERO</t>
  </si>
  <si>
    <t>GARCIA VERA HENRY  LUIS</t>
  </si>
  <si>
    <t>GUALACEO ÑAMO JONATHAN IVÁN</t>
  </si>
  <si>
    <t>GUAPI YUMAGLLA OSCAR EDUARDO</t>
  </si>
  <si>
    <t>GUAYANLEMA RUIZ EDINSON DAVID</t>
  </si>
  <si>
    <t>0932036049</t>
  </si>
  <si>
    <t>HERRERA JIMENEZ CAROLINA ADELIHER</t>
  </si>
  <si>
    <t>ASISTENTE DE OPERACIONES</t>
  </si>
  <si>
    <t>HIDALGO CHERRES NESTOR VLADIMIR</t>
  </si>
  <si>
    <t>JEFE DE CREDITO</t>
  </si>
  <si>
    <t>JANETA RUIZ ALEXANDRA DEL ROCIO</t>
  </si>
  <si>
    <t>LEMA CHIRAU RAMONA MARIA</t>
  </si>
  <si>
    <t>ASESOR DE CAPTACIONES</t>
  </si>
  <si>
    <t>LEMA TADAY BRAYAN WIDINSON</t>
  </si>
  <si>
    <t>LLUMI YUQUILEMA MAYCOOL DANNY</t>
  </si>
  <si>
    <t>MALAN DELGADO JOSE ALBERTO</t>
  </si>
  <si>
    <t>MALAN YUQUILEMA RAUL ALBERTO</t>
  </si>
  <si>
    <t>ASESOR LEGAL</t>
  </si>
  <si>
    <t>MARSHALL VEGA YULIANA LISSETT</t>
  </si>
  <si>
    <t>0943906032</t>
  </si>
  <si>
    <t>MEZA RODRIGUEZ MICHAEL FERNANDO</t>
  </si>
  <si>
    <t>0919306050</t>
  </si>
  <si>
    <t>MORAN GARCIA DANNY FAVIAN</t>
  </si>
  <si>
    <t>OFICIAL DE CUMPLIMIENTO</t>
  </si>
  <si>
    <t>0941235376</t>
  </si>
  <si>
    <t>MOREIRA ESPINOZA LINDA ELIZABETH</t>
  </si>
  <si>
    <t>MOROCHO DUCHI SANDRA STEPHANIE</t>
  </si>
  <si>
    <t>MOROCHO YANTALEMA DINA MAGALY</t>
  </si>
  <si>
    <t>TALENTO HUMANO</t>
  </si>
  <si>
    <t>NAULA CRIOLLO CINTHYA ABIGAIL</t>
  </si>
  <si>
    <t>NEVAREZ PEÑAFIEL EVELYN JULEXY</t>
  </si>
  <si>
    <t>ÑAMO GUALACEO BRYAN JAVIER</t>
  </si>
  <si>
    <t>0923715692</t>
  </si>
  <si>
    <t>ORELLANA MANZO WHITNEY YAILYN</t>
  </si>
  <si>
    <t>OFICIAL DE SEGURIDAD DE LA INFORMACIÓN</t>
  </si>
  <si>
    <t>PERALTA MENDEZ LINA LISSETTE</t>
  </si>
  <si>
    <t>JEFE DE CRÉDITO</t>
  </si>
  <si>
    <t>PEREZ ZAMORA ANA DE LOS ANGELES</t>
  </si>
  <si>
    <t>QUITO CALDERON JONATHAN ENRIQUE</t>
  </si>
  <si>
    <t>JEFE DE COBRANZAS</t>
  </si>
  <si>
    <t>QUITO UCHUBANDA JANETH ALEXANDRA</t>
  </si>
  <si>
    <t>RECALDE NARANJO ANGEL ALEXIS</t>
  </si>
  <si>
    <t>JEFE TI</t>
  </si>
  <si>
    <t>SALAO PEREZ GERMAN FABRICIO</t>
  </si>
  <si>
    <t>SANISACA MITE ISRAEL BENJAMIN</t>
  </si>
  <si>
    <t>TADAY GUAMAN NÉSTOR ALONSO</t>
  </si>
  <si>
    <t>JEFE DE BOVEDA</t>
  </si>
  <si>
    <t>TIGUA MONTERO KAREN LISBETH</t>
  </si>
  <si>
    <t>URQUIZO GUARANGA ALEX EFRAIN</t>
  </si>
  <si>
    <t>VERA GUEVARA PAOLA KARINA</t>
  </si>
  <si>
    <t>YUNDA CUJILEMA MARIA TERESA</t>
  </si>
  <si>
    <t>CONTADOR GENERAL</t>
  </si>
  <si>
    <t>YUQUILEMA CACUANGO ANGEL JOSE</t>
  </si>
  <si>
    <t>YUQUILEMA DELGADO PEDRO ANTONIO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</si>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</sst>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yy;@"/>
    <numFmt numFmtId="165" formatCode="00000000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0"/>
      <name val="Bookman Old Style"/>
      <family val="1"/>
    </font>
    <font>
      <b/>
      <sz val="11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7"/>
      <name val="Calibri"/>
      <family val="2"/>
      <scheme val="minor"/>
    </font>
    <font>
      <b/>
      <sz val="6"/>
      <name val="Calibri"/>
      <family val="2"/>
      <scheme val="minor"/>
    </font>
    <font>
      <b/>
      <u/>
      <sz val="8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0" tint="-4.9989318521683403E-2"/>
      <name val="Verdana"/>
      <family val="2"/>
    </font>
    <font>
      <sz val="11"/>
      <color theme="0" tint="-4.9989318521683403E-2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8"/>
      <name val="Bookman Old Style"/>
      <family val="1"/>
    </font>
    <font>
      <b/>
      <sz val="10"/>
      <name val="Bookman Old Style"/>
      <family val="1"/>
    </font>
    <font>
      <sz val="8"/>
      <name val="Bookman Old Style"/>
      <family val="1"/>
    </font>
    <font>
      <sz val="12"/>
      <color theme="1"/>
      <name val="Calibri"/>
      <family val="2"/>
      <scheme val="minor"/>
    </font>
    <font>
      <b/>
      <sz val="12"/>
      <name val="Bookman Old Style"/>
      <family val="1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color theme="1"/>
      <name val="Bookman Old Style"/>
      <family val="1"/>
    </font>
    <font>
      <b/>
      <sz val="10"/>
      <name val="Arial"/>
      <family val="2"/>
    </font>
    <font>
      <sz val="10"/>
      <color theme="0"/>
      <name val="Bookman Old Style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</cellStyleXfs>
  <cellXfs count="24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wrapText="1"/>
    </xf>
    <xf numFmtId="164" fontId="4" fillId="0" borderId="0" xfId="0" applyNumberFormat="1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4" fontId="4" fillId="0" borderId="0" xfId="2" applyFont="1" applyFill="1" applyAlignment="1">
      <alignment horizontal="center"/>
    </xf>
    <xf numFmtId="0" fontId="6" fillId="0" borderId="0" xfId="0" applyFont="1"/>
    <xf numFmtId="0" fontId="4" fillId="2" borderId="0" xfId="0" applyFont="1" applyFill="1"/>
    <xf numFmtId="0" fontId="8" fillId="2" borderId="0" xfId="3" applyFont="1" applyFill="1"/>
    <xf numFmtId="0" fontId="8" fillId="2" borderId="0" xfId="3" applyFont="1" applyFill="1" applyAlignment="1">
      <alignment horizontal="center"/>
    </xf>
    <xf numFmtId="0" fontId="10" fillId="2" borderId="0" xfId="3" applyFont="1" applyFill="1" applyAlignment="1">
      <alignment horizontal="center"/>
    </xf>
    <xf numFmtId="0" fontId="11" fillId="2" borderId="0" xfId="3" applyFont="1" applyFill="1" applyAlignment="1">
      <alignment horizontal="left" wrapText="1"/>
    </xf>
    <xf numFmtId="1" fontId="10" fillId="2" borderId="0" xfId="3" applyNumberFormat="1" applyFont="1" applyFill="1" applyAlignment="1">
      <alignment horizontal="center"/>
    </xf>
    <xf numFmtId="0" fontId="10" fillId="2" borderId="0" xfId="3" applyFont="1" applyFill="1" applyAlignment="1">
      <alignment horizontal="center" vertical="center"/>
    </xf>
    <xf numFmtId="0" fontId="12" fillId="0" borderId="0" xfId="0" applyFont="1" applyAlignment="1">
      <alignment horizontal="left" wrapText="1"/>
    </xf>
    <xf numFmtId="164" fontId="0" fillId="0" borderId="0" xfId="0" applyNumberFormat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14" fillId="0" borderId="10" xfId="0" applyNumberFormat="1" applyFont="1" applyBorder="1" applyAlignment="1">
      <alignment horizontal="center" vertical="center" wrapText="1"/>
    </xf>
    <xf numFmtId="10" fontId="14" fillId="0" borderId="10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0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164" fontId="4" fillId="0" borderId="13" xfId="1" applyNumberFormat="1" applyFont="1" applyFill="1" applyBorder="1" applyAlignment="1">
      <alignment horizontal="center" vertical="center" wrapText="1"/>
    </xf>
    <xf numFmtId="49" fontId="4" fillId="0" borderId="13" xfId="1" applyNumberFormat="1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3" fontId="4" fillId="0" borderId="13" xfId="1" applyNumberFormat="1" applyFont="1" applyFill="1" applyBorder="1" applyAlignment="1">
      <alignment horizontal="center" vertical="center"/>
    </xf>
    <xf numFmtId="44" fontId="4" fillId="0" borderId="13" xfId="2" applyFont="1" applyFill="1" applyBorder="1" applyAlignment="1">
      <alignment horizontal="center" vertical="center"/>
    </xf>
    <xf numFmtId="43" fontId="4" fillId="0" borderId="13" xfId="1" applyFont="1" applyFill="1" applyBorder="1" applyAlignment="1">
      <alignment horizontal="center" vertical="center"/>
    </xf>
    <xf numFmtId="43" fontId="4" fillId="0" borderId="14" xfId="1" applyFont="1" applyFill="1" applyBorder="1" applyAlignment="1">
      <alignment horizontal="center" vertical="center"/>
    </xf>
    <xf numFmtId="44" fontId="21" fillId="0" borderId="14" xfId="2" applyFont="1" applyFill="1" applyBorder="1" applyAlignment="1" applyProtection="1">
      <alignment vertical="center"/>
      <protection locked="0"/>
    </xf>
    <xf numFmtId="43" fontId="0" fillId="0" borderId="14" xfId="1" applyFont="1" applyFill="1" applyBorder="1" applyAlignment="1" applyProtection="1">
      <alignment vertical="center"/>
      <protection locked="0"/>
    </xf>
    <xf numFmtId="43" fontId="0" fillId="0" borderId="14" xfId="1" applyFont="1" applyFill="1" applyBorder="1" applyAlignment="1" applyProtection="1">
      <alignment vertical="center"/>
    </xf>
    <xf numFmtId="43" fontId="0" fillId="0" borderId="14" xfId="1" applyFont="1" applyFill="1" applyBorder="1" applyAlignment="1">
      <alignment vertical="center"/>
    </xf>
    <xf numFmtId="43" fontId="0" fillId="8" borderId="14" xfId="0" applyNumberFormat="1" applyFill="1" applyBorder="1" applyAlignment="1">
      <alignment vertical="center"/>
    </xf>
    <xf numFmtId="43" fontId="0" fillId="0" borderId="14" xfId="1" applyFont="1" applyBorder="1" applyAlignment="1">
      <alignment horizontal="center" vertical="center"/>
    </xf>
    <xf numFmtId="43" fontId="0" fillId="6" borderId="14" xfId="1" applyFont="1" applyFill="1" applyBorder="1" applyAlignment="1">
      <alignment horizontal="center" vertical="center"/>
    </xf>
    <xf numFmtId="43" fontId="0" fillId="6" borderId="14" xfId="1" applyFont="1" applyFill="1" applyBorder="1" applyAlignment="1">
      <alignment vertical="center"/>
    </xf>
    <xf numFmtId="0" fontId="0" fillId="6" borderId="14" xfId="0" applyFill="1" applyBorder="1" applyAlignment="1">
      <alignment vertical="center"/>
    </xf>
    <xf numFmtId="43" fontId="0" fillId="0" borderId="14" xfId="0" applyNumberFormat="1" applyBorder="1" applyAlignment="1">
      <alignment vertical="center"/>
    </xf>
    <xf numFmtId="44" fontId="0" fillId="0" borderId="14" xfId="2" applyFont="1" applyBorder="1" applyAlignment="1" applyProtection="1">
      <alignment vertical="center"/>
      <protection locked="0"/>
    </xf>
    <xf numFmtId="44" fontId="0" fillId="0" borderId="14" xfId="2" applyFont="1" applyBorder="1" applyAlignment="1">
      <alignment vertical="center"/>
    </xf>
    <xf numFmtId="44" fontId="4" fillId="2" borderId="14" xfId="2" applyFont="1" applyFill="1" applyBorder="1" applyAlignment="1">
      <alignment vertical="center"/>
    </xf>
    <xf numFmtId="1" fontId="4" fillId="0" borderId="13" xfId="0" applyNumberFormat="1" applyFont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22" fillId="0" borderId="13" xfId="0" applyFont="1" applyBorder="1" applyAlignment="1">
      <alignment horizontal="left" vertical="center" wrapText="1"/>
    </xf>
    <xf numFmtId="164" fontId="2" fillId="0" borderId="13" xfId="1" applyNumberFormat="1" applyFont="1" applyFill="1" applyBorder="1" applyAlignment="1">
      <alignment horizontal="center" vertical="center" wrapText="1"/>
    </xf>
    <xf numFmtId="49" fontId="2" fillId="0" borderId="13" xfId="1" applyNumberFormat="1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3" fontId="2" fillId="0" borderId="13" xfId="1" applyNumberFormat="1" applyFont="1" applyFill="1" applyBorder="1" applyAlignment="1">
      <alignment horizontal="center" vertical="center"/>
    </xf>
    <xf numFmtId="44" fontId="2" fillId="0" borderId="13" xfId="2" applyFont="1" applyFill="1" applyBorder="1" applyAlignment="1">
      <alignment horizontal="center" vertical="center"/>
    </xf>
    <xf numFmtId="49" fontId="21" fillId="0" borderId="13" xfId="1" applyNumberFormat="1" applyFont="1" applyFill="1" applyBorder="1" applyAlignment="1">
      <alignment horizontal="left" vertical="center" wrapText="1"/>
    </xf>
    <xf numFmtId="164" fontId="0" fillId="0" borderId="13" xfId="1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3" fontId="0" fillId="0" borderId="13" xfId="1" applyNumberFormat="1" applyFont="1" applyFill="1" applyBorder="1" applyAlignment="1">
      <alignment horizontal="center" vertical="center"/>
    </xf>
    <xf numFmtId="44" fontId="0" fillId="0" borderId="14" xfId="2" applyFont="1" applyFill="1" applyBorder="1" applyAlignment="1" applyProtection="1">
      <alignment vertical="center"/>
      <protection locked="0"/>
    </xf>
    <xf numFmtId="1" fontId="4" fillId="0" borderId="0" xfId="0" applyNumberFormat="1" applyFont="1" applyAlignment="1">
      <alignment horizontal="center" vertical="center"/>
    </xf>
    <xf numFmtId="44" fontId="4" fillId="0" borderId="14" xfId="2" applyFont="1" applyBorder="1" applyAlignment="1" applyProtection="1">
      <alignment vertical="center"/>
      <protection locked="0"/>
    </xf>
    <xf numFmtId="164" fontId="4" fillId="0" borderId="13" xfId="0" applyNumberFormat="1" applyFont="1" applyBorder="1" applyAlignment="1">
      <alignment horizontal="center" vertical="center"/>
    </xf>
    <xf numFmtId="2" fontId="0" fillId="6" borderId="14" xfId="0" applyNumberFormat="1" applyFill="1" applyBorder="1" applyAlignment="1">
      <alignment vertical="center"/>
    </xf>
    <xf numFmtId="1" fontId="0" fillId="2" borderId="0" xfId="0" applyNumberFormat="1" applyFill="1" applyAlignment="1">
      <alignment horizontal="center" vertical="center"/>
    </xf>
    <xf numFmtId="44" fontId="0" fillId="2" borderId="14" xfId="2" applyFont="1" applyFill="1" applyBorder="1" applyAlignment="1" applyProtection="1">
      <alignment vertical="center"/>
      <protection locked="0"/>
    </xf>
    <xf numFmtId="1" fontId="23" fillId="2" borderId="0" xfId="0" applyNumberFormat="1" applyFont="1" applyFill="1" applyAlignment="1">
      <alignment horizontal="center" vertical="center"/>
    </xf>
    <xf numFmtId="0" fontId="23" fillId="0" borderId="0" xfId="0" applyFont="1"/>
    <xf numFmtId="43" fontId="4" fillId="9" borderId="13" xfId="1" applyFont="1" applyFill="1" applyBorder="1" applyAlignment="1">
      <alignment horizontal="center" vertical="center"/>
    </xf>
    <xf numFmtId="164" fontId="1" fillId="0" borderId="13" xfId="1" applyNumberFormat="1" applyFont="1" applyFill="1" applyBorder="1" applyAlignment="1">
      <alignment horizontal="center" vertical="center" wrapText="1"/>
    </xf>
    <xf numFmtId="3" fontId="1" fillId="0" borderId="13" xfId="1" applyNumberFormat="1" applyFont="1" applyFill="1" applyBorder="1" applyAlignment="1">
      <alignment horizontal="center" vertical="center"/>
    </xf>
    <xf numFmtId="44" fontId="1" fillId="0" borderId="13" xfId="2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5" fontId="4" fillId="7" borderId="0" xfId="0" applyNumberFormat="1" applyFont="1" applyFill="1" applyAlignment="1">
      <alignment horizontal="center" vertical="center"/>
    </xf>
    <xf numFmtId="0" fontId="24" fillId="7" borderId="0" xfId="0" applyFont="1" applyFill="1" applyAlignment="1">
      <alignment horizontal="left" wrapText="1"/>
    </xf>
    <xf numFmtId="164" fontId="14" fillId="0" borderId="0" xfId="1" applyNumberFormat="1" applyFont="1" applyFill="1" applyBorder="1" applyAlignment="1">
      <alignment horizontal="center" vertical="center" wrapText="1"/>
    </xf>
    <xf numFmtId="49" fontId="14" fillId="0" borderId="0" xfId="1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3" fontId="14" fillId="0" borderId="0" xfId="1" applyNumberFormat="1" applyFont="1" applyFill="1" applyBorder="1" applyAlignment="1">
      <alignment horizontal="center" vertical="center"/>
    </xf>
    <xf numFmtId="44" fontId="14" fillId="0" borderId="0" xfId="2" applyFont="1" applyFill="1" applyBorder="1" applyAlignment="1">
      <alignment horizontal="center" vertical="center"/>
    </xf>
    <xf numFmtId="44" fontId="14" fillId="7" borderId="0" xfId="2" applyFont="1" applyFill="1" applyBorder="1" applyAlignment="1">
      <alignment horizontal="center" vertical="center"/>
    </xf>
    <xf numFmtId="44" fontId="16" fillId="7" borderId="0" xfId="2" applyFont="1" applyFill="1" applyBorder="1" applyAlignment="1">
      <alignment horizontal="center" vertical="center"/>
    </xf>
    <xf numFmtId="44" fontId="14" fillId="2" borderId="0" xfId="2" applyFont="1" applyFill="1" applyBorder="1" applyAlignment="1">
      <alignment horizontal="center" vertical="center"/>
    </xf>
    <xf numFmtId="0" fontId="24" fillId="0" borderId="0" xfId="0" applyFont="1" applyAlignment="1">
      <alignment horizontal="left" wrapText="1"/>
    </xf>
    <xf numFmtId="164" fontId="3" fillId="0" borderId="0" xfId="0" applyNumberFormat="1" applyFont="1"/>
    <xf numFmtId="0" fontId="24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4" fontId="3" fillId="0" borderId="0" xfId="2" applyFont="1" applyFill="1"/>
    <xf numFmtId="44" fontId="25" fillId="0" borderId="0" xfId="2" applyFont="1" applyFill="1"/>
    <xf numFmtId="44" fontId="3" fillId="0" borderId="0" xfId="2" applyFont="1" applyFill="1" applyAlignment="1">
      <alignment horizontal="center"/>
    </xf>
    <xf numFmtId="44" fontId="3" fillId="2" borderId="0" xfId="2" applyFont="1" applyFill="1"/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1" fillId="0" borderId="0" xfId="0" applyFont="1"/>
    <xf numFmtId="44" fontId="21" fillId="0" borderId="0" xfId="0" applyNumberFormat="1" applyFont="1"/>
    <xf numFmtId="44" fontId="0" fillId="0" borderId="0" xfId="0" applyNumberFormat="1"/>
    <xf numFmtId="44" fontId="0" fillId="0" borderId="0" xfId="0" applyNumberFormat="1" applyAlignment="1">
      <alignment vertical="center" wrapText="1"/>
    </xf>
    <xf numFmtId="44" fontId="0" fillId="0" borderId="0" xfId="2" applyFont="1"/>
    <xf numFmtId="44" fontId="21" fillId="0" borderId="0" xfId="2" applyFont="1"/>
    <xf numFmtId="44" fontId="0" fillId="0" borderId="0" xfId="2" applyFont="1" applyAlignment="1">
      <alignment horizontal="center"/>
    </xf>
    <xf numFmtId="165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164" fontId="27" fillId="0" borderId="0" xfId="0" applyNumberFormat="1" applyFont="1"/>
    <xf numFmtId="0" fontId="28" fillId="0" borderId="0" xfId="0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center" vertical="center"/>
    </xf>
    <xf numFmtId="44" fontId="27" fillId="0" borderId="0" xfId="2" applyFont="1" applyFill="1"/>
    <xf numFmtId="44" fontId="27" fillId="0" borderId="0" xfId="0" applyNumberFormat="1" applyFont="1"/>
    <xf numFmtId="0" fontId="29" fillId="0" borderId="0" xfId="0" applyFont="1"/>
    <xf numFmtId="0" fontId="27" fillId="0" borderId="0" xfId="0" applyFont="1" applyAlignment="1">
      <alignment horizontal="center"/>
    </xf>
    <xf numFmtId="0" fontId="27" fillId="2" borderId="0" xfId="0" applyFont="1" applyFill="1"/>
    <xf numFmtId="0" fontId="33" fillId="0" borderId="0" xfId="0" applyFont="1"/>
    <xf numFmtId="0" fontId="0" fillId="0" borderId="0" xfId="0" applyBorder="1"/>
    <xf numFmtId="0" fontId="12" fillId="0" borderId="0" xfId="0" applyFont="1" applyBorder="1" applyAlignment="1">
      <alignment horizontal="left" wrapText="1"/>
    </xf>
    <xf numFmtId="164" fontId="0" fillId="0" borderId="0" xfId="0" applyNumberFormat="1" applyBorder="1"/>
    <xf numFmtId="0" fontId="1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1" fillId="0" borderId="0" xfId="0" applyFont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30" fillId="0" borderId="0" xfId="0" applyFont="1" applyBorder="1" applyAlignment="1">
      <alignment horizontal="left" wrapText="1"/>
    </xf>
    <xf numFmtId="164" fontId="30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/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/>
    <xf numFmtId="0" fontId="31" fillId="0" borderId="0" xfId="0" applyFont="1" applyBorder="1"/>
    <xf numFmtId="0" fontId="32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3" fillId="0" borderId="0" xfId="0" applyFont="1" applyBorder="1"/>
    <xf numFmtId="0" fontId="30" fillId="0" borderId="0" xfId="0" applyFont="1" applyBorder="1" applyAlignment="1">
      <alignment horizontal="left" vertical="center" wrapText="1"/>
    </xf>
    <xf numFmtId="164" fontId="34" fillId="0" borderId="0" xfId="0" applyNumberFormat="1" applyFont="1" applyBorder="1" applyAlignment="1">
      <alignment horizontal="centerContinuous" vertical="center"/>
    </xf>
    <xf numFmtId="0" fontId="35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5" fillId="0" borderId="0" xfId="0" applyFont="1" applyBorder="1"/>
    <xf numFmtId="0" fontId="33" fillId="2" borderId="0" xfId="0" applyFont="1" applyFill="1" applyBorder="1"/>
    <xf numFmtId="0" fontId="34" fillId="0" borderId="0" xfId="0" applyFont="1" applyBorder="1"/>
    <xf numFmtId="0" fontId="36" fillId="0" borderId="0" xfId="0" applyFont="1" applyBorder="1" applyAlignment="1">
      <alignment horizontal="right"/>
    </xf>
    <xf numFmtId="4" fontId="37" fillId="0" borderId="0" xfId="0" applyNumberFormat="1" applyFont="1" applyBorder="1" applyAlignment="1">
      <alignment horizontal="center"/>
    </xf>
    <xf numFmtId="0" fontId="38" fillId="0" borderId="0" xfId="0" applyFont="1" applyBorder="1"/>
    <xf numFmtId="43" fontId="36" fillId="0" borderId="0" xfId="1" applyFont="1" applyFill="1" applyBorder="1"/>
    <xf numFmtId="43" fontId="38" fillId="0" borderId="0" xfId="1" applyFont="1" applyFill="1" applyBorder="1"/>
    <xf numFmtId="43" fontId="38" fillId="0" borderId="0" xfId="1" applyFont="1" applyBorder="1"/>
    <xf numFmtId="43" fontId="38" fillId="0" borderId="0" xfId="1" applyFont="1" applyBorder="1" applyAlignment="1">
      <alignment horizontal="center"/>
    </xf>
    <xf numFmtId="0" fontId="21" fillId="2" borderId="0" xfId="0" applyFont="1" applyFill="1" applyBorder="1"/>
    <xf numFmtId="10" fontId="38" fillId="0" borderId="0" xfId="0" applyNumberFormat="1" applyFont="1" applyBorder="1"/>
    <xf numFmtId="2" fontId="39" fillId="0" borderId="0" xfId="0" applyNumberFormat="1" applyFont="1" applyBorder="1" applyAlignment="1">
      <alignment horizontal="center"/>
    </xf>
    <xf numFmtId="10" fontId="38" fillId="0" borderId="0" xfId="1" applyNumberFormat="1" applyFont="1" applyFill="1" applyBorder="1"/>
    <xf numFmtId="2" fontId="38" fillId="0" borderId="0" xfId="0" applyNumberFormat="1" applyFont="1" applyBorder="1"/>
    <xf numFmtId="0" fontId="38" fillId="0" borderId="0" xfId="0" applyFont="1" applyBorder="1" applyAlignment="1">
      <alignment horizontal="center"/>
    </xf>
    <xf numFmtId="44" fontId="0" fillId="0" borderId="0" xfId="0" applyNumberFormat="1" applyBorder="1"/>
    <xf numFmtId="43" fontId="0" fillId="0" borderId="0" xfId="1" applyFont="1" applyBorder="1"/>
    <xf numFmtId="0" fontId="36" fillId="0" borderId="0" xfId="0" applyFont="1" applyBorder="1"/>
    <xf numFmtId="2" fontId="37" fillId="0" borderId="0" xfId="0" applyNumberFormat="1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43" fontId="21" fillId="0" borderId="0" xfId="1" applyFont="1" applyBorder="1"/>
    <xf numFmtId="0" fontId="37" fillId="0" borderId="0" xfId="0" applyFont="1" applyBorder="1"/>
    <xf numFmtId="0" fontId="37" fillId="0" borderId="0" xfId="0" applyFont="1" applyBorder="1" applyAlignment="1">
      <alignment horizontal="center"/>
    </xf>
    <xf numFmtId="1" fontId="37" fillId="0" borderId="0" xfId="0" applyNumberFormat="1" applyFont="1" applyBorder="1" applyAlignment="1">
      <alignment horizontal="center"/>
    </xf>
    <xf numFmtId="43" fontId="38" fillId="0" borderId="0" xfId="0" applyNumberFormat="1" applyFont="1" applyBorder="1"/>
    <xf numFmtId="0" fontId="3" fillId="6" borderId="0" xfId="0" applyFont="1" applyFill="1" applyBorder="1" applyAlignment="1">
      <alignment vertical="center"/>
    </xf>
    <xf numFmtId="0" fontId="40" fillId="6" borderId="0" xfId="0" applyFont="1" applyFill="1" applyBorder="1" applyAlignment="1">
      <alignment horizontal="center"/>
    </xf>
    <xf numFmtId="0" fontId="39" fillId="0" borderId="0" xfId="0" applyFont="1" applyBorder="1" applyAlignment="1">
      <alignment horizontal="center"/>
    </xf>
    <xf numFmtId="0" fontId="25" fillId="6" borderId="0" xfId="0" applyFont="1" applyFill="1" applyBorder="1" applyAlignment="1">
      <alignment horizontal="center"/>
    </xf>
    <xf numFmtId="43" fontId="7" fillId="0" borderId="0" xfId="1" applyFont="1" applyBorder="1"/>
    <xf numFmtId="0" fontId="25" fillId="6" borderId="0" xfId="0" applyFont="1" applyFill="1" applyBorder="1"/>
    <xf numFmtId="43" fontId="40" fillId="6" borderId="0" xfId="1" applyFont="1" applyFill="1" applyBorder="1" applyAlignment="1">
      <alignment horizontal="center"/>
    </xf>
    <xf numFmtId="43" fontId="7" fillId="0" borderId="0" xfId="1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40" fillId="6" borderId="0" xfId="0" applyFont="1" applyFill="1" applyBorder="1"/>
    <xf numFmtId="43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10" fontId="40" fillId="0" borderId="0" xfId="0" applyNumberFormat="1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9" fillId="0" borderId="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44" fontId="15" fillId="0" borderId="5" xfId="2" applyFont="1" applyFill="1" applyBorder="1" applyAlignment="1">
      <alignment horizontal="center" vertical="center" wrapText="1"/>
    </xf>
    <xf numFmtId="44" fontId="15" fillId="0" borderId="10" xfId="2" applyFont="1" applyFill="1" applyBorder="1" applyAlignment="1">
      <alignment horizontal="center" vertical="center" wrapText="1"/>
    </xf>
    <xf numFmtId="44" fontId="15" fillId="0" borderId="6" xfId="2" applyFont="1" applyFill="1" applyBorder="1" applyAlignment="1">
      <alignment horizontal="center" vertical="center" wrapText="1"/>
    </xf>
    <xf numFmtId="44" fontId="15" fillId="0" borderId="11" xfId="2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9" fontId="15" fillId="0" borderId="5" xfId="0" applyNumberFormat="1" applyFont="1" applyBorder="1" applyAlignment="1">
      <alignment horizontal="center" vertical="center" wrapText="1"/>
    </xf>
    <xf numFmtId="9" fontId="15" fillId="0" borderId="10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44" fontId="14" fillId="0" borderId="5" xfId="2" applyFont="1" applyFill="1" applyBorder="1" applyAlignment="1">
      <alignment horizontal="center" vertical="center" wrapText="1"/>
    </xf>
    <xf numFmtId="44" fontId="14" fillId="0" borderId="10" xfId="2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164" fontId="16" fillId="0" borderId="5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8" fillId="2" borderId="0" xfId="3" applyFont="1" applyFill="1" applyAlignment="1">
      <alignment horizontal="center"/>
    </xf>
    <xf numFmtId="0" fontId="8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right"/>
    </xf>
    <xf numFmtId="44" fontId="13" fillId="3" borderId="1" xfId="2" applyFont="1" applyFill="1" applyBorder="1" applyAlignment="1">
      <alignment horizontal="center"/>
    </xf>
    <xf numFmtId="44" fontId="13" fillId="3" borderId="2" xfId="2" applyFont="1" applyFill="1" applyBorder="1" applyAlignment="1">
      <alignment horizontal="center"/>
    </xf>
    <xf numFmtId="44" fontId="13" fillId="3" borderId="3" xfId="2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Normal 2" xfId="3" xr:uid="{4CE6202A-0717-4534-88CB-B12DFE23F970}"/>
  </cellStyles>
  <dxfs count="2">
    <dxf>
      <fill>
        <patternFill>
          <bgColor rgb="FFFFFF8B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372834</xdr:colOff>
      <xdr:row>63</xdr:row>
      <xdr:rowOff>40822</xdr:rowOff>
    </xdr:from>
    <xdr:to>
      <xdr:col>17</xdr:col>
      <xdr:colOff>576942</xdr:colOff>
      <xdr:row>69</xdr:row>
      <xdr:rowOff>171450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184C48C-5EC4-4199-A201-0761D0C12F6E}"/>
            </a:ext>
          </a:extLst>
        </xdr:cNvPr>
        <xdr:cNvSpPr txBox="1"/>
      </xdr:nvSpPr>
      <xdr:spPr>
        <a:xfrm>
          <a:off x="12039054" y="18732682"/>
          <a:ext cx="4738008" cy="18756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ING.</a:t>
          </a:r>
          <a:r>
            <a:rPr lang="es-EC" sz="1200" b="1" baseline="0">
              <a:latin typeface="Baskerville Old Face" panose="02020602080505020303" pitchFamily="18" charset="0"/>
            </a:rPr>
            <a:t> ALFREDO PILATAXI Y.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GERENTE GENERAL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20</xdr:col>
      <xdr:colOff>618315</xdr:colOff>
      <xdr:row>63</xdr:row>
      <xdr:rowOff>40821</xdr:rowOff>
    </xdr:from>
    <xdr:to>
      <xdr:col>28</xdr:col>
      <xdr:colOff>685809</xdr:colOff>
      <xdr:row>69</xdr:row>
      <xdr:rowOff>171450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8349D4F-D5B4-4CDF-BA8E-0FD2D4735998}"/>
            </a:ext>
          </a:extLst>
        </xdr:cNvPr>
        <xdr:cNvSpPr txBox="1"/>
      </xdr:nvSpPr>
      <xdr:spPr>
        <a:xfrm>
          <a:off x="20003595" y="18732681"/>
          <a:ext cx="6712134" cy="1875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CPA.</a:t>
          </a:r>
          <a:r>
            <a:rPr lang="es-EC" sz="1200" b="1" baseline="0">
              <a:latin typeface="Baskerville Old Face" panose="02020602080505020303" pitchFamily="18" charset="0"/>
            </a:rPr>
            <a:t> MA. TERESA YUNDA C.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CONTADORA GENERAL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32</xdr:col>
      <xdr:colOff>419100</xdr:colOff>
      <xdr:row>63</xdr:row>
      <xdr:rowOff>38100</xdr:rowOff>
    </xdr:from>
    <xdr:to>
      <xdr:col>36</xdr:col>
      <xdr:colOff>1028700</xdr:colOff>
      <xdr:row>69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0A5DE8C-CD89-4783-BFDC-DFEC5CED37DF}"/>
            </a:ext>
          </a:extLst>
        </xdr:cNvPr>
        <xdr:cNvSpPr txBox="1"/>
      </xdr:nvSpPr>
      <xdr:spPr>
        <a:xfrm>
          <a:off x="30121860" y="18729960"/>
          <a:ext cx="4229100" cy="1878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ING.</a:t>
          </a:r>
          <a:r>
            <a:rPr lang="es-EC" sz="1200" b="1" baseline="0">
              <a:latin typeface="Baskerville Old Face" panose="02020602080505020303" pitchFamily="18" charset="0"/>
            </a:rPr>
            <a:t> MAGALY MOROCHO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TALENTO HUMANO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6</xdr:col>
      <xdr:colOff>564077</xdr:colOff>
      <xdr:row>0</xdr:row>
      <xdr:rowOff>0</xdr:rowOff>
    </xdr:from>
    <xdr:to>
      <xdr:col>8</xdr:col>
      <xdr:colOff>1921</xdr:colOff>
      <xdr:row>3</xdr:row>
      <xdr:rowOff>83128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C427748D-3313-42C9-B50C-84B3E2B7BCDD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0707" r="81510" b="25679"/>
        <a:stretch/>
      </xdr:blipFill>
      <xdr:spPr>
        <a:xfrm>
          <a:off x="7048697" y="0"/>
          <a:ext cx="969464" cy="7315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301174</xdr:colOff>
      <xdr:row>159</xdr:row>
      <xdr:rowOff>68944</xdr:rowOff>
    </xdr:from>
    <xdr:to>
      <xdr:col>27</xdr:col>
      <xdr:colOff>224588</xdr:colOff>
      <xdr:row>166</xdr:row>
      <xdr:rowOff>23889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59AADA7-1CEB-442A-A45F-D1F3A96D4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0374" y="37010704"/>
          <a:ext cx="4800214" cy="12351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10%20OC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UBRE 2025"/>
      <sheetName val="BONO vehicular"/>
      <sheetName val="COMISIONES"/>
      <sheetName val="ROL INDIVIDUAL"/>
      <sheetName val="ROL INDIVIDUAL (2)"/>
      <sheetName val="CHIMBOLEMA"/>
      <sheetName val="coca"/>
      <sheetName val="coca (2)"/>
      <sheetName val="Enfermedad-Meza)"/>
      <sheetName val="Cálculo Morocho"/>
      <sheetName val="DEL ROSARIO"/>
      <sheetName val="CHIMBOLEMA KEVIN"/>
      <sheetName val="OTRAS COMISIONES"/>
      <sheetName val="COMISIONES-SOCIOS"/>
      <sheetName val="CTAS POR COBRAR-GUAPI"/>
      <sheetName val="H.EXTRAS"/>
      <sheetName val="Conversión-HE"/>
      <sheetName val="PQ"/>
      <sheetName val="FR"/>
      <sheetName val="Enfermedad"/>
      <sheetName val="CxC García Henry"/>
      <sheetName val="CxC Guayanlema"/>
      <sheetName val="ANTICIPOS"/>
      <sheetName val="Hoja1"/>
      <sheetName val="comprobación"/>
      <sheetName val="DESCUENTO"/>
      <sheetName val="anticipos-pago yuquilema"/>
      <sheetName val="10 OCT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>
            <v>925813685</v>
          </cell>
          <cell r="D8" t="str">
            <v>ASITIMBAY CRIOLLO JOHN ANDERSON</v>
          </cell>
          <cell r="E8" t="str">
            <v xml:space="preserve"> JEFE DE MARKETING</v>
          </cell>
          <cell r="F8" t="str">
            <v>Matriz</v>
          </cell>
          <cell r="G8">
            <v>817.76</v>
          </cell>
          <cell r="J8">
            <v>0</v>
          </cell>
          <cell r="K8">
            <v>0</v>
          </cell>
          <cell r="L8">
            <v>0</v>
          </cell>
        </row>
        <row r="9">
          <cell r="C9">
            <v>944405737</v>
          </cell>
          <cell r="D9" t="str">
            <v>BARAHONA ZAMBRANO DAYANA NICOLE</v>
          </cell>
          <cell r="E9" t="str">
            <v>CAJERO FINANCIERO</v>
          </cell>
          <cell r="F9" t="str">
            <v>Matriz</v>
          </cell>
          <cell r="G9">
            <v>15.86</v>
          </cell>
          <cell r="J9">
            <v>0</v>
          </cell>
          <cell r="K9">
            <v>0</v>
          </cell>
          <cell r="L9">
            <v>0</v>
          </cell>
        </row>
        <row r="10">
          <cell r="C10">
            <v>604394502</v>
          </cell>
          <cell r="D10" t="str">
            <v>BETUN CHAFLA JULIO CESAR</v>
          </cell>
          <cell r="E10" t="str">
            <v>ASESOR DE NEGOCIOS</v>
          </cell>
          <cell r="F10" t="str">
            <v>Matriz</v>
          </cell>
          <cell r="G10">
            <v>613.32000000000005</v>
          </cell>
          <cell r="J10">
            <v>0</v>
          </cell>
          <cell r="K10">
            <v>0</v>
          </cell>
          <cell r="L10">
            <v>0</v>
          </cell>
        </row>
        <row r="11">
          <cell r="C11">
            <v>955741970</v>
          </cell>
          <cell r="D11" t="str">
            <v>CHACAGUASAY CHACAGUASAY ROBERTH CRISTHIAN</v>
          </cell>
          <cell r="E11" t="str">
            <v>OFICIAL DE RECAUDACIONES</v>
          </cell>
          <cell r="F11" t="str">
            <v>Matriz</v>
          </cell>
          <cell r="G11">
            <v>473.88</v>
          </cell>
          <cell r="J11">
            <v>0</v>
          </cell>
          <cell r="K11">
            <v>0</v>
          </cell>
          <cell r="L11">
            <v>0</v>
          </cell>
        </row>
        <row r="12">
          <cell r="C12" t="str">
            <v>0943964973</v>
          </cell>
          <cell r="D12" t="str">
            <v>CHACAGUASAY GUAMAN KEVIN NEHEMIAS</v>
          </cell>
          <cell r="E12" t="str">
            <v>ASESOR DE NEGOCIOS</v>
          </cell>
          <cell r="F12" t="str">
            <v>Matriz</v>
          </cell>
          <cell r="G12">
            <v>256.52999999999997</v>
          </cell>
          <cell r="J12">
            <v>0</v>
          </cell>
          <cell r="K12">
            <v>0</v>
          </cell>
          <cell r="L12">
            <v>0</v>
          </cell>
        </row>
        <row r="13">
          <cell r="C13">
            <v>944143148</v>
          </cell>
          <cell r="D13" t="str">
            <v>CHIMBOLEMA YUNGAN MARIO EFRAIN</v>
          </cell>
          <cell r="E13" t="str">
            <v>OFICIAL DE RECAUDACIONES</v>
          </cell>
          <cell r="F13" t="str">
            <v>Durán</v>
          </cell>
          <cell r="G13">
            <v>142.16</v>
          </cell>
          <cell r="J13">
            <v>0</v>
          </cell>
          <cell r="K13">
            <v>0</v>
          </cell>
          <cell r="L13">
            <v>0</v>
          </cell>
        </row>
        <row r="14">
          <cell r="C14">
            <v>955325238</v>
          </cell>
          <cell r="D14" t="str">
            <v>CHOCA CEPEDA INES VIVIANA</v>
          </cell>
          <cell r="E14" t="str">
            <v>CAJERA FINANCIERA</v>
          </cell>
          <cell r="F14" t="str">
            <v>Matriz</v>
          </cell>
          <cell r="G14">
            <v>256.52999999999997</v>
          </cell>
          <cell r="J14">
            <v>0</v>
          </cell>
          <cell r="K14">
            <v>0</v>
          </cell>
          <cell r="L14">
            <v>0</v>
          </cell>
        </row>
        <row r="15">
          <cell r="C15">
            <v>914163654</v>
          </cell>
          <cell r="D15" t="str">
            <v>COCA BENITEZ JORGE MANUEL</v>
          </cell>
          <cell r="E15" t="str">
            <v>ANALISTA DE RIESGO</v>
          </cell>
          <cell r="F15" t="str">
            <v>Matriz</v>
          </cell>
          <cell r="G15">
            <v>1200</v>
          </cell>
          <cell r="J15">
            <v>0</v>
          </cell>
          <cell r="K15">
            <v>0</v>
          </cell>
          <cell r="L15">
            <v>0</v>
          </cell>
        </row>
        <row r="16">
          <cell r="C16">
            <v>956668305</v>
          </cell>
          <cell r="D16" t="str">
            <v>CORO YUQUILEMA RUTH NOEMI</v>
          </cell>
          <cell r="E16" t="str">
            <v>OFICIAL DE RECAUDACIONES</v>
          </cell>
          <cell r="F16" t="str">
            <v>Matriz</v>
          </cell>
          <cell r="G16">
            <v>252.74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0918741448</v>
          </cell>
          <cell r="D17" t="str">
            <v>DEFAS CHICAIZA JOEL ALBERTO</v>
          </cell>
          <cell r="E17" t="str">
            <v>ASESOR DE NEGOCIOS</v>
          </cell>
          <cell r="F17" t="str">
            <v>Norte</v>
          </cell>
          <cell r="G17">
            <v>626.65</v>
          </cell>
          <cell r="J17">
            <v>0</v>
          </cell>
          <cell r="K17">
            <v>0</v>
          </cell>
          <cell r="L17">
            <v>0</v>
          </cell>
        </row>
        <row r="18">
          <cell r="C18">
            <v>931097620</v>
          </cell>
          <cell r="D18" t="str">
            <v>DEL ROSARIO RODRIGUEZ JUDY ANGELICA</v>
          </cell>
          <cell r="E18" t="str">
            <v>CAJERA FINANCIERA</v>
          </cell>
          <cell r="F18" t="str">
            <v>Norte</v>
          </cell>
          <cell r="G18">
            <v>256.52999999999997</v>
          </cell>
          <cell r="J18">
            <v>0</v>
          </cell>
          <cell r="K18">
            <v>0</v>
          </cell>
          <cell r="L18">
            <v>0</v>
          </cell>
        </row>
        <row r="19">
          <cell r="C19">
            <v>1105483422</v>
          </cell>
          <cell r="D19" t="str">
            <v>FLORES HERRERA WENDY DEL CISNE</v>
          </cell>
          <cell r="E19" t="str">
            <v>CAJERO FINANCIERO</v>
          </cell>
          <cell r="F19" t="str">
            <v>Durán</v>
          </cell>
          <cell r="G19">
            <v>650</v>
          </cell>
          <cell r="J19">
            <v>0</v>
          </cell>
          <cell r="K19">
            <v>0</v>
          </cell>
          <cell r="L19">
            <v>0</v>
          </cell>
        </row>
        <row r="20">
          <cell r="C20">
            <v>942614645</v>
          </cell>
          <cell r="D20" t="str">
            <v>FUELA TOABANDA JOSUE CHRISTIAN</v>
          </cell>
          <cell r="E20" t="str">
            <v>ASISTENTE CONTABLE</v>
          </cell>
          <cell r="F20" t="str">
            <v>Matriz</v>
          </cell>
          <cell r="G20">
            <v>481</v>
          </cell>
          <cell r="J20">
            <v>0</v>
          </cell>
          <cell r="K20">
            <v>0</v>
          </cell>
          <cell r="L20">
            <v>0</v>
          </cell>
        </row>
        <row r="21">
          <cell r="C21">
            <v>951200062</v>
          </cell>
          <cell r="D21" t="str">
            <v>GALAN LEMACHE INGRID GISELA</v>
          </cell>
          <cell r="E21" t="str">
            <v>BACK UP ADMINISTRATIVO  FINANCIERO</v>
          </cell>
          <cell r="F21" t="str">
            <v>Norte</v>
          </cell>
          <cell r="G21">
            <v>473.88</v>
          </cell>
          <cell r="J21">
            <v>0</v>
          </cell>
          <cell r="K21">
            <v>0</v>
          </cell>
          <cell r="L21">
            <v>0</v>
          </cell>
        </row>
        <row r="22">
          <cell r="C22">
            <v>950929232</v>
          </cell>
          <cell r="D22" t="str">
            <v>GARCIA VERA HENRY  LUIS</v>
          </cell>
          <cell r="E22" t="str">
            <v>OFICIAL DE RECAUDACIONES</v>
          </cell>
          <cell r="F22" t="str">
            <v>Norte</v>
          </cell>
          <cell r="G22">
            <v>715.54</v>
          </cell>
          <cell r="J22">
            <v>0</v>
          </cell>
          <cell r="K22">
            <v>0</v>
          </cell>
          <cell r="L22">
            <v>0</v>
          </cell>
        </row>
        <row r="23">
          <cell r="C23">
            <v>953819646</v>
          </cell>
          <cell r="D23" t="str">
            <v>GUALACEO ÑAMO JONATHAN IVÁN</v>
          </cell>
          <cell r="E23" t="str">
            <v>OFICIAL DE RECAUDACIONES</v>
          </cell>
          <cell r="F23" t="str">
            <v>Matriz</v>
          </cell>
          <cell r="G23">
            <v>511.1</v>
          </cell>
          <cell r="J23">
            <v>0</v>
          </cell>
          <cell r="K23">
            <v>0</v>
          </cell>
          <cell r="L23">
            <v>0</v>
          </cell>
        </row>
        <row r="24">
          <cell r="C24">
            <v>956953392</v>
          </cell>
          <cell r="D24" t="str">
            <v>GUAPI YUMAGLLA OSCAR EDUARDO</v>
          </cell>
          <cell r="E24" t="str">
            <v>OFICIAL DE RECAUDACIONES</v>
          </cell>
          <cell r="F24" t="str">
            <v>Matriz</v>
          </cell>
          <cell r="G24">
            <v>473.88</v>
          </cell>
          <cell r="J24">
            <v>0</v>
          </cell>
          <cell r="K24">
            <v>0</v>
          </cell>
          <cell r="L24">
            <v>0</v>
          </cell>
        </row>
        <row r="25">
          <cell r="C25">
            <v>956796767</v>
          </cell>
          <cell r="D25" t="str">
            <v>GUAYANLEMA RUIZ EDINSON DAVID</v>
          </cell>
          <cell r="E25" t="str">
            <v>OFICIAL DE RECAUDACIONES</v>
          </cell>
          <cell r="F25" t="str">
            <v>Norte</v>
          </cell>
          <cell r="G25">
            <v>473.88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0932036049</v>
          </cell>
          <cell r="D26" t="str">
            <v>HERRERA JIMENEZ CAROLINA ADELIHER</v>
          </cell>
          <cell r="E26" t="str">
            <v>ASISTENTE DE OPERACIONES</v>
          </cell>
          <cell r="F26" t="str">
            <v>Matriz</v>
          </cell>
          <cell r="G26">
            <v>481</v>
          </cell>
          <cell r="J26">
            <v>0</v>
          </cell>
          <cell r="K26">
            <v>0</v>
          </cell>
          <cell r="L26">
            <v>0</v>
          </cell>
        </row>
        <row r="27">
          <cell r="C27">
            <v>1724102940</v>
          </cell>
          <cell r="D27" t="str">
            <v>HIDALGO CHERRES NESTOR VLADIMIR</v>
          </cell>
          <cell r="E27" t="str">
            <v>JEFE DE CREDITO</v>
          </cell>
          <cell r="F27" t="str">
            <v>Durán</v>
          </cell>
          <cell r="G27">
            <v>817.76</v>
          </cell>
          <cell r="J27">
            <v>0</v>
          </cell>
          <cell r="K27">
            <v>0</v>
          </cell>
          <cell r="L27">
            <v>0</v>
          </cell>
        </row>
        <row r="28">
          <cell r="C28">
            <v>943322974</v>
          </cell>
          <cell r="D28" t="str">
            <v>JANETA RUIZ ALEXANDRA DEL ROCIO</v>
          </cell>
          <cell r="E28" t="str">
            <v>OFICIAL DE RECAUDACIONES</v>
          </cell>
          <cell r="F28" t="str">
            <v>Norte</v>
          </cell>
          <cell r="G28">
            <v>473.88</v>
          </cell>
          <cell r="J28">
            <v>0</v>
          </cell>
          <cell r="K28">
            <v>0</v>
          </cell>
          <cell r="L28">
            <v>0</v>
          </cell>
        </row>
        <row r="29">
          <cell r="C29">
            <v>941096851</v>
          </cell>
          <cell r="D29" t="str">
            <v>LEMA CHIRAU RAMONA MARIA</v>
          </cell>
          <cell r="E29" t="str">
            <v>ASESOR DE CAPTACIONES</v>
          </cell>
          <cell r="F29" t="str">
            <v>Durán</v>
          </cell>
          <cell r="G29">
            <v>700</v>
          </cell>
          <cell r="J29">
            <v>0</v>
          </cell>
          <cell r="K29">
            <v>0</v>
          </cell>
          <cell r="L29">
            <v>0</v>
          </cell>
        </row>
        <row r="30">
          <cell r="C30">
            <v>957093800</v>
          </cell>
          <cell r="D30" t="str">
            <v>LEMA TADAY BRAYAN WIDINSON</v>
          </cell>
          <cell r="E30" t="str">
            <v>OFICIAL DE RECAUDACIONES</v>
          </cell>
          <cell r="F30" t="str">
            <v>Durán</v>
          </cell>
          <cell r="G30">
            <v>473.88</v>
          </cell>
          <cell r="J30">
            <v>0</v>
          </cell>
          <cell r="K30">
            <v>0</v>
          </cell>
          <cell r="L30">
            <v>0</v>
          </cell>
        </row>
        <row r="31">
          <cell r="C31">
            <v>957924350</v>
          </cell>
          <cell r="D31" t="str">
            <v>LLUMI YUQUILEMA MAYCOOL DANNY</v>
          </cell>
          <cell r="E31" t="str">
            <v>ASESOR DE NEGOCIOS</v>
          </cell>
          <cell r="F31" t="str">
            <v>Matriz</v>
          </cell>
          <cell r="G31">
            <v>481</v>
          </cell>
          <cell r="J31">
            <v>0</v>
          </cell>
          <cell r="K31">
            <v>0</v>
          </cell>
          <cell r="L31">
            <v>0</v>
          </cell>
        </row>
        <row r="32">
          <cell r="C32">
            <v>603838657</v>
          </cell>
          <cell r="D32" t="str">
            <v>MALAN DELGADO JOSE ALBERTO</v>
          </cell>
          <cell r="E32" t="str">
            <v>OFICIAL DE RECAUDACIONES</v>
          </cell>
          <cell r="F32" t="str">
            <v>Durán</v>
          </cell>
          <cell r="G32">
            <v>473.88</v>
          </cell>
          <cell r="J32">
            <v>0</v>
          </cell>
          <cell r="K32">
            <v>0</v>
          </cell>
          <cell r="L32">
            <v>0</v>
          </cell>
        </row>
        <row r="33">
          <cell r="C33">
            <v>925240525</v>
          </cell>
          <cell r="D33" t="str">
            <v>MALAN YUQUILEMA RAUL ALBERTO</v>
          </cell>
          <cell r="E33" t="str">
            <v>ASESOR LEGAL</v>
          </cell>
          <cell r="F33" t="str">
            <v>Matriz</v>
          </cell>
          <cell r="G33">
            <v>2700</v>
          </cell>
          <cell r="J33">
            <v>0</v>
          </cell>
          <cell r="K33">
            <v>0</v>
          </cell>
          <cell r="L33">
            <v>0</v>
          </cell>
        </row>
        <row r="34">
          <cell r="C34">
            <v>954520599</v>
          </cell>
          <cell r="D34" t="str">
            <v>MARSHALL VEGA YULIANA LISSETT</v>
          </cell>
          <cell r="E34" t="str">
            <v>ASESOR DE NEGOCIOS</v>
          </cell>
          <cell r="F34" t="str">
            <v>Durán</v>
          </cell>
          <cell r="G34">
            <v>613.32000000000005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0943906032</v>
          </cell>
          <cell r="D35" t="str">
            <v>MEZA RODRIGUEZ MICHAEL FERNANDO</v>
          </cell>
          <cell r="E35" t="str">
            <v>OFICIAL DE RECAUDACIONES</v>
          </cell>
          <cell r="F35" t="str">
            <v>Norte</v>
          </cell>
          <cell r="G35">
            <v>473.88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0919306050</v>
          </cell>
          <cell r="D36" t="str">
            <v>MORAN GARCIA DANNY FAVIAN</v>
          </cell>
          <cell r="E36" t="str">
            <v>OFICIAL DE CUMPLIMIENTO</v>
          </cell>
          <cell r="F36" t="str">
            <v>Matriz</v>
          </cell>
          <cell r="G36">
            <v>600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0941235376</v>
          </cell>
          <cell r="D37" t="str">
            <v>MOREIRA ESPINOZA LINDA ELIZABETH</v>
          </cell>
          <cell r="E37" t="str">
            <v>CAJERO FINANCIERO</v>
          </cell>
          <cell r="F37" t="str">
            <v>Durán</v>
          </cell>
          <cell r="G37">
            <v>481</v>
          </cell>
          <cell r="J37">
            <v>0</v>
          </cell>
          <cell r="K37">
            <v>0</v>
          </cell>
          <cell r="L37">
            <v>0</v>
          </cell>
        </row>
        <row r="38">
          <cell r="C38">
            <v>955395686</v>
          </cell>
          <cell r="D38" t="str">
            <v>MOROCHO DUCHI SANDRA STEPHANIE</v>
          </cell>
          <cell r="E38" t="str">
            <v>ASESOR DE NEGOCIOS</v>
          </cell>
          <cell r="F38" t="str">
            <v>Norte</v>
          </cell>
          <cell r="G38">
            <v>613.32000000000005</v>
          </cell>
          <cell r="J38">
            <v>0</v>
          </cell>
          <cell r="K38">
            <v>0</v>
          </cell>
          <cell r="L38">
            <v>0</v>
          </cell>
        </row>
        <row r="39">
          <cell r="C39">
            <v>940991987</v>
          </cell>
          <cell r="D39" t="str">
            <v>MOROCHO YANTALEMA DINA MAGALY</v>
          </cell>
          <cell r="E39" t="str">
            <v>TALENTO HUMANO</v>
          </cell>
          <cell r="F39" t="str">
            <v>Matriz</v>
          </cell>
          <cell r="G39">
            <v>766.65</v>
          </cell>
          <cell r="J39">
            <v>0</v>
          </cell>
          <cell r="K39">
            <v>0</v>
          </cell>
          <cell r="L39">
            <v>0</v>
          </cell>
        </row>
        <row r="40">
          <cell r="C40">
            <v>956929277</v>
          </cell>
          <cell r="D40" t="str">
            <v>NAULA CRIOLLO CINTHYA ABIGAIL</v>
          </cell>
          <cell r="E40" t="str">
            <v>CAJERO FINANCIERO</v>
          </cell>
          <cell r="F40" t="str">
            <v>Matriz</v>
          </cell>
          <cell r="G40">
            <v>481</v>
          </cell>
          <cell r="J40">
            <v>0</v>
          </cell>
          <cell r="K40">
            <v>0</v>
          </cell>
          <cell r="L40">
            <v>0</v>
          </cell>
        </row>
        <row r="41">
          <cell r="C41">
            <v>951763994</v>
          </cell>
          <cell r="D41" t="str">
            <v>NEVAREZ PEÑAFIEL EVELYN JULEXY</v>
          </cell>
          <cell r="E41" t="str">
            <v>ASESOR DE CAPTACIONES</v>
          </cell>
          <cell r="F41" t="str">
            <v>Norte</v>
          </cell>
          <cell r="G41">
            <v>475.85</v>
          </cell>
          <cell r="J41">
            <v>0</v>
          </cell>
          <cell r="K41">
            <v>0</v>
          </cell>
          <cell r="L41">
            <v>0</v>
          </cell>
        </row>
        <row r="42">
          <cell r="C42">
            <v>950703199</v>
          </cell>
          <cell r="D42" t="str">
            <v>ÑAMO GUALACEO BRYAN JAVIER</v>
          </cell>
          <cell r="E42" t="str">
            <v>OFICIAL DE RECAUDACIONES</v>
          </cell>
          <cell r="F42" t="str">
            <v>Matriz</v>
          </cell>
          <cell r="G42">
            <v>473.88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0923715692</v>
          </cell>
          <cell r="D43" t="str">
            <v>ORELLANA MANZO WHITNEY YAILYN</v>
          </cell>
          <cell r="E43" t="str">
            <v>OFICIAL DE SEGURIDAD DE LA INFORMACIÓN</v>
          </cell>
          <cell r="F43" t="str">
            <v>Matriz</v>
          </cell>
          <cell r="G43">
            <v>600</v>
          </cell>
          <cell r="J43">
            <v>0</v>
          </cell>
          <cell r="K43">
            <v>0</v>
          </cell>
          <cell r="L43">
            <v>0</v>
          </cell>
        </row>
        <row r="44">
          <cell r="C44">
            <v>925830689</v>
          </cell>
          <cell r="D44" t="str">
            <v>PERALTA MENDEZ LINA LISSETTE</v>
          </cell>
          <cell r="E44" t="str">
            <v>JEFE DE CRÉDITO</v>
          </cell>
          <cell r="F44" t="str">
            <v>Matriz</v>
          </cell>
          <cell r="G44">
            <v>1022.2</v>
          </cell>
          <cell r="J44">
            <v>0</v>
          </cell>
          <cell r="K44">
            <v>0</v>
          </cell>
          <cell r="L44">
            <v>0</v>
          </cell>
        </row>
        <row r="45">
          <cell r="C45">
            <v>944034842</v>
          </cell>
          <cell r="D45" t="str">
            <v>PEREZ ZAMORA ANA DE LOS ANGELES</v>
          </cell>
          <cell r="E45" t="str">
            <v>CAJERO FINANCIERO</v>
          </cell>
          <cell r="F45" t="str">
            <v>Matriz</v>
          </cell>
          <cell r="G45">
            <v>256.52999999999997</v>
          </cell>
          <cell r="J45">
            <v>0</v>
          </cell>
          <cell r="K45">
            <v>0</v>
          </cell>
          <cell r="L45">
            <v>0</v>
          </cell>
        </row>
        <row r="46">
          <cell r="C46">
            <v>951340702</v>
          </cell>
          <cell r="D46" t="str">
            <v>QUITO CALDERON JONATHAN ENRIQUE</v>
          </cell>
          <cell r="E46" t="str">
            <v>JEFE DE COBRANZAS</v>
          </cell>
          <cell r="F46" t="str">
            <v>Matriz</v>
          </cell>
          <cell r="G46">
            <v>817.76</v>
          </cell>
          <cell r="J46">
            <v>0</v>
          </cell>
          <cell r="K46">
            <v>0</v>
          </cell>
          <cell r="L46">
            <v>0</v>
          </cell>
        </row>
        <row r="47">
          <cell r="C47">
            <v>650112949</v>
          </cell>
          <cell r="D47" t="str">
            <v>QUITO UCHUBANDA JANETH ALEXANDRA</v>
          </cell>
          <cell r="E47" t="str">
            <v>OFICIAL DE RECAUDACIONES</v>
          </cell>
          <cell r="F47" t="str">
            <v>Norte</v>
          </cell>
          <cell r="G47">
            <v>473.88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924232804</v>
          </cell>
          <cell r="D48" t="str">
            <v>RECALDE NARANJO ANGEL ALEXIS</v>
          </cell>
          <cell r="E48" t="str">
            <v>JEFE TI</v>
          </cell>
          <cell r="F48" t="str">
            <v>Matriz</v>
          </cell>
          <cell r="G48">
            <v>1022.2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605031145</v>
          </cell>
          <cell r="D49" t="str">
            <v>SALAO PEREZ GERMAN FABRICIO</v>
          </cell>
          <cell r="E49" t="str">
            <v>ASESOR DE NEGOCIOS</v>
          </cell>
          <cell r="F49" t="str">
            <v>Durán</v>
          </cell>
          <cell r="G49">
            <v>613.32000000000005</v>
          </cell>
          <cell r="J49">
            <v>0</v>
          </cell>
          <cell r="K49">
            <v>0</v>
          </cell>
          <cell r="L49">
            <v>0</v>
          </cell>
        </row>
        <row r="50">
          <cell r="C50">
            <v>927257576</v>
          </cell>
          <cell r="D50" t="str">
            <v>SANISACA MITE ISRAEL BENJAMIN</v>
          </cell>
          <cell r="E50" t="str">
            <v>JEFE DE CRÉDITO</v>
          </cell>
          <cell r="F50" t="str">
            <v>Norte</v>
          </cell>
          <cell r="G50">
            <v>1022.2</v>
          </cell>
          <cell r="J50">
            <v>0</v>
          </cell>
          <cell r="K50">
            <v>0</v>
          </cell>
          <cell r="L50">
            <v>0</v>
          </cell>
        </row>
        <row r="51">
          <cell r="C51">
            <v>928901800</v>
          </cell>
          <cell r="D51" t="str">
            <v>TADAY GUAMAN NÉSTOR ALONSO</v>
          </cell>
          <cell r="E51" t="str">
            <v>JEFE DE BOVEDA</v>
          </cell>
          <cell r="F51" t="str">
            <v>Matriz</v>
          </cell>
          <cell r="G51">
            <v>511.1</v>
          </cell>
          <cell r="J51">
            <v>0</v>
          </cell>
          <cell r="K51">
            <v>0</v>
          </cell>
          <cell r="L51">
            <v>0</v>
          </cell>
        </row>
        <row r="52">
          <cell r="C52">
            <v>951315746</v>
          </cell>
          <cell r="D52" t="str">
            <v>TIGUA MONTERO KAREN LISBETH</v>
          </cell>
          <cell r="E52" t="str">
            <v>ASESOR DE NEGOCIOS</v>
          </cell>
          <cell r="F52" t="str">
            <v>Matriz</v>
          </cell>
          <cell r="G52">
            <v>613.32000000000005</v>
          </cell>
          <cell r="J52">
            <v>0</v>
          </cell>
          <cell r="K52">
            <v>0</v>
          </cell>
          <cell r="L52">
            <v>0</v>
          </cell>
        </row>
        <row r="53">
          <cell r="C53">
            <v>954184321</v>
          </cell>
          <cell r="D53" t="str">
            <v>URQUIZO GUARANGA ALEX EFRAIN</v>
          </cell>
          <cell r="E53" t="str">
            <v>OFICIAL DE RECAUDACIONES</v>
          </cell>
          <cell r="F53" t="str">
            <v>Matriz</v>
          </cell>
          <cell r="G53">
            <v>511.1</v>
          </cell>
          <cell r="J53">
            <v>0</v>
          </cell>
          <cell r="K53">
            <v>0</v>
          </cell>
          <cell r="L53">
            <v>0</v>
          </cell>
        </row>
        <row r="54">
          <cell r="C54">
            <v>922034772</v>
          </cell>
          <cell r="D54" t="str">
            <v>VERA GUEVARA PAOLA KARINA</v>
          </cell>
          <cell r="E54" t="str">
            <v>ASESOR DE CAPTACIONES</v>
          </cell>
          <cell r="F54" t="str">
            <v>Matriz</v>
          </cell>
          <cell r="G54">
            <v>700</v>
          </cell>
          <cell r="J54">
            <v>0</v>
          </cell>
          <cell r="K54">
            <v>0</v>
          </cell>
          <cell r="L54">
            <v>0</v>
          </cell>
        </row>
        <row r="55">
          <cell r="C55">
            <v>923837991</v>
          </cell>
          <cell r="D55" t="str">
            <v>YUNDA CUJILEMA MARIA TERESA</v>
          </cell>
          <cell r="E55" t="str">
            <v>CONTADOR GENERAL</v>
          </cell>
          <cell r="F55" t="str">
            <v>Matriz</v>
          </cell>
          <cell r="G55">
            <v>1022.2</v>
          </cell>
          <cell r="J55">
            <v>0</v>
          </cell>
          <cell r="K55">
            <v>0</v>
          </cell>
          <cell r="L55">
            <v>0</v>
          </cell>
        </row>
        <row r="56">
          <cell r="C56">
            <v>941508905</v>
          </cell>
          <cell r="D56" t="str">
            <v>YUQUILEMA CACUANGO ANGEL JOSE</v>
          </cell>
          <cell r="E56" t="str">
            <v>OFICIAL DE RECAUDACIONES</v>
          </cell>
          <cell r="F56" t="str">
            <v>Matriz</v>
          </cell>
          <cell r="G56">
            <v>511.1</v>
          </cell>
          <cell r="J56">
            <v>0</v>
          </cell>
          <cell r="K56">
            <v>0</v>
          </cell>
          <cell r="L56">
            <v>0</v>
          </cell>
        </row>
        <row r="57">
          <cell r="C57">
            <v>604154575</v>
          </cell>
          <cell r="D57" t="str">
            <v>YUQUILEMA DELGADO PEDRO ANTONIO</v>
          </cell>
          <cell r="E57" t="str">
            <v>JEFE DE CRÉDITO</v>
          </cell>
          <cell r="F57" t="str">
            <v>Durán</v>
          </cell>
          <cell r="G57">
            <v>1022.2</v>
          </cell>
          <cell r="J57">
            <v>0</v>
          </cell>
          <cell r="K57">
            <v>0</v>
          </cell>
          <cell r="L57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176A-800F-4FAD-8086-CD114A7178F1}">
  <sheetPr>
    <tabColor rgb="FF345525"/>
    <pageSetUpPr fitToPage="1"/>
  </sheetPr>
  <dimension ref="A1:AL113"/>
  <sheetViews>
    <sheetView showGridLines="0" tabSelected="1" topLeftCell="B1" zoomScale="70" zoomScaleNormal="70" zoomScaleSheetLayoutView="25" workbookViewId="0">
      <pane xSplit="8" ySplit="7" topLeftCell="J10" activePane="bottomRight" state="frozen"/>
      <selection activeCell="B1" sqref="B1"/>
      <selection pane="topRight" activeCell="J1" sqref="J1"/>
      <selection pane="bottomLeft" activeCell="B8" sqref="B8"/>
      <selection pane="bottomRight" activeCell="F37" sqref="F37"/>
    </sheetView>
  </sheetViews>
  <sheetFormatPr baseColWidth="10" defaultColWidth="9.109375" defaultRowHeight="14.4" x14ac:dyDescent="0.3"/>
  <cols>
    <col min="1" max="1" width="3.44140625" hidden="1" customWidth="1"/>
    <col min="2" max="2" width="3.6640625" customWidth="1"/>
    <col min="3" max="3" width="13.33203125" customWidth="1"/>
    <col min="4" max="4" width="30.88671875" style="16" customWidth="1"/>
    <col min="5" max="5" width="16.77734375" style="17" customWidth="1"/>
    <col min="6" max="6" width="29.88671875" style="18" customWidth="1"/>
    <col min="7" max="7" width="10.44140625" customWidth="1"/>
    <col min="8" max="8" width="11.88671875" style="20" customWidth="1"/>
    <col min="9" max="9" width="14.21875" customWidth="1"/>
    <col min="10" max="10" width="14.5546875" customWidth="1"/>
    <col min="11" max="11" width="11.88671875" customWidth="1"/>
    <col min="12" max="12" width="12.5546875" customWidth="1"/>
    <col min="13" max="13" width="14.5546875" style="102" customWidth="1"/>
    <col min="14" max="14" width="12.109375" customWidth="1"/>
    <col min="15" max="15" width="14.88671875" customWidth="1"/>
    <col min="16" max="16" width="14.44140625" customWidth="1"/>
    <col min="17" max="17" width="10.109375" customWidth="1"/>
    <col min="18" max="18" width="12.77734375" customWidth="1"/>
    <col min="19" max="19" width="15.77734375" customWidth="1"/>
    <col min="20" max="20" width="17.88671875" customWidth="1"/>
    <col min="21" max="21" width="12.88671875" style="19" customWidth="1"/>
    <col min="22" max="22" width="12.88671875" hidden="1" customWidth="1"/>
    <col min="23" max="23" width="11.77734375" customWidth="1"/>
    <col min="24" max="24" width="11.21875" customWidth="1"/>
    <col min="25" max="25" width="15.5546875" customWidth="1"/>
    <col min="26" max="26" width="19.6640625" customWidth="1"/>
    <col min="27" max="28" width="12.88671875" customWidth="1"/>
    <col min="29" max="29" width="17.33203125" customWidth="1"/>
    <col min="30" max="30" width="13.77734375" customWidth="1"/>
    <col min="31" max="31" width="11.6640625" customWidth="1"/>
    <col min="32" max="32" width="10.77734375" customWidth="1"/>
    <col min="33" max="33" width="8.6640625" customWidth="1"/>
    <col min="34" max="34" width="11.5546875" customWidth="1"/>
    <col min="35" max="35" width="15.88671875" customWidth="1"/>
    <col min="36" max="36" width="16.6640625" style="22" customWidth="1"/>
    <col min="37" max="37" width="20.6640625" customWidth="1"/>
    <col min="38" max="38" width="2.5546875" style="22" customWidth="1"/>
  </cols>
  <sheetData>
    <row r="1" spans="1:38" s="1" customFormat="1" ht="6.6" customHeight="1" x14ac:dyDescent="0.3">
      <c r="D1" s="2"/>
      <c r="E1" s="3"/>
      <c r="F1" s="4"/>
      <c r="G1" s="5"/>
      <c r="H1" s="6"/>
      <c r="J1" s="7"/>
      <c r="M1" s="8"/>
      <c r="U1" s="5"/>
      <c r="AJ1" s="9"/>
      <c r="AL1" s="9"/>
    </row>
    <row r="2" spans="1:38" s="1" customFormat="1" ht="24.75" customHeight="1" x14ac:dyDescent="0.4">
      <c r="B2" s="234" t="s">
        <v>0</v>
      </c>
      <c r="C2" s="234"/>
      <c r="D2" s="234"/>
      <c r="E2" s="234"/>
      <c r="F2" s="234"/>
      <c r="G2" s="234"/>
      <c r="H2" s="235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10"/>
    </row>
    <row r="3" spans="1:38" s="1" customFormat="1" ht="26.4" customHeight="1" thickBot="1" x14ac:dyDescent="0.45">
      <c r="A3" s="1" t="s">
        <v>1</v>
      </c>
      <c r="B3" s="236" t="s">
        <v>2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10" t="s">
        <v>3</v>
      </c>
      <c r="S3" s="10"/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s="1" customFormat="1" ht="23.4" hidden="1" thickBot="1" x14ac:dyDescent="0.45">
      <c r="B4" s="11"/>
      <c r="C4" s="12">
        <v>1</v>
      </c>
      <c r="D4" s="13">
        <v>2</v>
      </c>
      <c r="E4" s="14">
        <v>3</v>
      </c>
      <c r="F4" s="15">
        <v>4</v>
      </c>
      <c r="G4" s="12">
        <v>5</v>
      </c>
      <c r="H4" s="12">
        <v>6</v>
      </c>
      <c r="I4" s="12">
        <v>7</v>
      </c>
      <c r="J4" s="12">
        <v>8</v>
      </c>
      <c r="K4" s="12">
        <v>9</v>
      </c>
      <c r="L4" s="12">
        <v>10</v>
      </c>
      <c r="M4" s="12">
        <v>11</v>
      </c>
      <c r="N4" s="12">
        <v>12</v>
      </c>
      <c r="O4" s="12">
        <v>13</v>
      </c>
      <c r="P4" s="12">
        <v>14</v>
      </c>
      <c r="Q4" s="12">
        <v>15</v>
      </c>
      <c r="R4" s="12">
        <v>16</v>
      </c>
      <c r="S4" s="12">
        <v>17</v>
      </c>
      <c r="T4" s="12">
        <v>18</v>
      </c>
      <c r="U4" s="12">
        <v>19</v>
      </c>
      <c r="V4" s="12">
        <v>20</v>
      </c>
      <c r="W4" s="12">
        <v>21</v>
      </c>
      <c r="X4" s="12">
        <v>22</v>
      </c>
      <c r="Y4" s="12">
        <v>23</v>
      </c>
      <c r="Z4" s="12">
        <v>24</v>
      </c>
      <c r="AA4" s="12">
        <v>25</v>
      </c>
      <c r="AB4" s="12">
        <v>26</v>
      </c>
      <c r="AC4" s="12">
        <v>27</v>
      </c>
      <c r="AD4" s="12">
        <v>28</v>
      </c>
      <c r="AE4" s="12">
        <v>29</v>
      </c>
      <c r="AF4" s="12">
        <v>30</v>
      </c>
      <c r="AG4" s="12">
        <v>31</v>
      </c>
      <c r="AH4" s="12">
        <v>32</v>
      </c>
      <c r="AI4" s="12">
        <v>33</v>
      </c>
      <c r="AJ4" s="11"/>
      <c r="AK4" s="11"/>
      <c r="AL4" s="11"/>
    </row>
    <row r="5" spans="1:38" ht="16.2" thickBot="1" x14ac:dyDescent="0.35">
      <c r="G5" s="19"/>
      <c r="I5" s="21"/>
      <c r="J5" s="237" t="s">
        <v>4</v>
      </c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9"/>
      <c r="Z5" s="240" t="s">
        <v>5</v>
      </c>
      <c r="AA5" s="241"/>
      <c r="AB5" s="241"/>
      <c r="AC5" s="241"/>
      <c r="AD5" s="241"/>
      <c r="AE5" s="241"/>
      <c r="AF5" s="241"/>
      <c r="AG5" s="241"/>
      <c r="AH5" s="241"/>
      <c r="AI5" s="242"/>
    </row>
    <row r="6" spans="1:38" ht="42.75" customHeight="1" x14ac:dyDescent="0.3">
      <c r="B6" s="224" t="s">
        <v>6</v>
      </c>
      <c r="C6" s="226" t="s">
        <v>7</v>
      </c>
      <c r="D6" s="228" t="s">
        <v>8</v>
      </c>
      <c r="E6" s="230" t="s">
        <v>9</v>
      </c>
      <c r="F6" s="232" t="s">
        <v>10</v>
      </c>
      <c r="G6" s="218" t="s">
        <v>11</v>
      </c>
      <c r="H6" s="218" t="s">
        <v>12</v>
      </c>
      <c r="I6" s="202" t="s">
        <v>13</v>
      </c>
      <c r="J6" s="220" t="s">
        <v>14</v>
      </c>
      <c r="K6" s="202" t="s">
        <v>15</v>
      </c>
      <c r="L6" s="222" t="s">
        <v>16</v>
      </c>
      <c r="M6" s="202" t="s">
        <v>17</v>
      </c>
      <c r="N6" s="202" t="s">
        <v>18</v>
      </c>
      <c r="O6" s="210" t="s">
        <v>19</v>
      </c>
      <c r="P6" s="212" t="s">
        <v>20</v>
      </c>
      <c r="Q6" s="202" t="s">
        <v>21</v>
      </c>
      <c r="R6" s="202"/>
      <c r="S6" s="214" t="s">
        <v>22</v>
      </c>
      <c r="T6" s="216" t="s">
        <v>23</v>
      </c>
      <c r="U6" s="204" t="s">
        <v>24</v>
      </c>
      <c r="V6" s="206" t="s">
        <v>25</v>
      </c>
      <c r="W6" s="204" t="s">
        <v>26</v>
      </c>
      <c r="X6" s="204" t="s">
        <v>27</v>
      </c>
      <c r="Y6" s="208" t="s">
        <v>28</v>
      </c>
      <c r="Z6" s="23" t="s">
        <v>29</v>
      </c>
      <c r="AA6" s="196" t="s">
        <v>30</v>
      </c>
      <c r="AB6" s="24" t="s">
        <v>31</v>
      </c>
      <c r="AC6" s="196" t="s">
        <v>32</v>
      </c>
      <c r="AD6" s="198" t="s">
        <v>33</v>
      </c>
      <c r="AE6" s="198" t="s">
        <v>34</v>
      </c>
      <c r="AF6" s="200" t="s">
        <v>35</v>
      </c>
      <c r="AG6" s="202" t="s">
        <v>36</v>
      </c>
      <c r="AH6" s="202" t="s">
        <v>37</v>
      </c>
      <c r="AI6" s="190" t="s">
        <v>38</v>
      </c>
      <c r="AJ6" s="192" t="s">
        <v>39</v>
      </c>
      <c r="AK6" s="194" t="s">
        <v>40</v>
      </c>
      <c r="AL6" s="25"/>
    </row>
    <row r="7" spans="1:38" s="20" customFormat="1" ht="15" customHeight="1" thickBot="1" x14ac:dyDescent="0.35">
      <c r="B7" s="225"/>
      <c r="C7" s="227"/>
      <c r="D7" s="229"/>
      <c r="E7" s="231"/>
      <c r="F7" s="233"/>
      <c r="G7" s="219"/>
      <c r="H7" s="219"/>
      <c r="I7" s="203"/>
      <c r="J7" s="221"/>
      <c r="K7" s="203"/>
      <c r="L7" s="223"/>
      <c r="M7" s="203"/>
      <c r="N7" s="203"/>
      <c r="O7" s="211"/>
      <c r="P7" s="213"/>
      <c r="Q7" s="26">
        <v>0.5</v>
      </c>
      <c r="R7" s="26">
        <v>1</v>
      </c>
      <c r="S7" s="215"/>
      <c r="T7" s="217"/>
      <c r="U7" s="205"/>
      <c r="V7" s="207"/>
      <c r="W7" s="205"/>
      <c r="X7" s="205"/>
      <c r="Y7" s="209"/>
      <c r="Z7" s="27">
        <v>9.4500000000000001E-2</v>
      </c>
      <c r="AA7" s="197"/>
      <c r="AB7" s="28"/>
      <c r="AC7" s="197"/>
      <c r="AD7" s="199"/>
      <c r="AE7" s="199"/>
      <c r="AF7" s="201"/>
      <c r="AG7" s="203"/>
      <c r="AH7" s="203"/>
      <c r="AI7" s="191"/>
      <c r="AJ7" s="193"/>
      <c r="AK7" s="195"/>
      <c r="AL7" s="25"/>
    </row>
    <row r="8" spans="1:38" s="29" customFormat="1" ht="27" customHeight="1" x14ac:dyDescent="0.3">
      <c r="B8" s="30">
        <v>1</v>
      </c>
      <c r="C8" s="31">
        <v>925813685</v>
      </c>
      <c r="D8" s="31" t="s">
        <v>41</v>
      </c>
      <c r="E8" s="32">
        <v>44292</v>
      </c>
      <c r="F8" s="33" t="s">
        <v>42</v>
      </c>
      <c r="G8" s="34" t="s">
        <v>43</v>
      </c>
      <c r="H8" s="34" t="s">
        <v>44</v>
      </c>
      <c r="I8" s="35">
        <v>30</v>
      </c>
      <c r="J8" s="36"/>
      <c r="K8" s="37"/>
      <c r="L8" s="38"/>
      <c r="M8" s="39"/>
      <c r="N8" s="40"/>
      <c r="O8" s="40"/>
      <c r="P8" s="41">
        <f>+VLOOKUP(C8,'[1]COMISIONES-SOCIOS'!$C$8:$L$57,10,0)</f>
        <v>0</v>
      </c>
      <c r="Q8" s="42">
        <f>+VLOOKUP(C8,[1]!Tabla3[[CEDULA ]:[US$,]],8,0)</f>
        <v>0</v>
      </c>
      <c r="R8" s="42">
        <f>+VLOOKUP($C8,[1]!Tabla3[[CEDULA ]:[US$,]],9,0)</f>
        <v>0</v>
      </c>
      <c r="S8" s="43"/>
      <c r="T8" s="44"/>
      <c r="U8" s="45"/>
      <c r="V8" s="46"/>
      <c r="W8" s="47"/>
      <c r="X8" s="47"/>
      <c r="Y8" s="43"/>
      <c r="Z8" s="48"/>
      <c r="AA8" s="48"/>
      <c r="AB8" s="48"/>
      <c r="AC8" s="49"/>
      <c r="AD8" s="49"/>
      <c r="AE8" s="49"/>
      <c r="AF8" s="49"/>
      <c r="AG8" s="49"/>
      <c r="AH8" s="49"/>
      <c r="AI8" s="50"/>
      <c r="AJ8" s="51"/>
      <c r="AK8" s="52">
        <v>600101009364</v>
      </c>
      <c r="AL8" s="53"/>
    </row>
    <row r="9" spans="1:38" ht="30.6" customHeight="1" x14ac:dyDescent="0.3">
      <c r="B9" s="30">
        <f>+B8+1</f>
        <v>2</v>
      </c>
      <c r="C9" s="31">
        <v>944405737</v>
      </c>
      <c r="D9" s="54" t="s">
        <v>45</v>
      </c>
      <c r="E9" s="55">
        <v>45029</v>
      </c>
      <c r="F9" s="56" t="s">
        <v>46</v>
      </c>
      <c r="G9" s="34" t="s">
        <v>47</v>
      </c>
      <c r="H9" s="34" t="s">
        <v>44</v>
      </c>
      <c r="I9" s="35">
        <v>1</v>
      </c>
      <c r="J9" s="36"/>
      <c r="K9" s="37"/>
      <c r="L9" s="38"/>
      <c r="M9" s="39"/>
      <c r="N9" s="40"/>
      <c r="O9" s="40"/>
      <c r="P9" s="41">
        <f>+VLOOKUP(C9,'[1]COMISIONES-SOCIOS'!$C$8:$L$57,10,0)</f>
        <v>0</v>
      </c>
      <c r="Q9" s="42">
        <f>+VLOOKUP(C9,[1]!Tabla3[[CEDULA ]:[US$,]],8,0)</f>
        <v>0</v>
      </c>
      <c r="R9" s="42">
        <f>+VLOOKUP($C9,[1]!Tabla3[[CEDULA ]:[US$,]],9,0)</f>
        <v>0</v>
      </c>
      <c r="S9" s="43"/>
      <c r="T9" s="44"/>
      <c r="U9" s="45"/>
      <c r="V9" s="46"/>
      <c r="W9" s="47"/>
      <c r="X9" s="47"/>
      <c r="Y9" s="43"/>
      <c r="Z9" s="48"/>
      <c r="AA9" s="48"/>
      <c r="AB9" s="48"/>
      <c r="AC9" s="49"/>
      <c r="AD9" s="49"/>
      <c r="AE9" s="49"/>
      <c r="AF9" s="49"/>
      <c r="AG9" s="49"/>
      <c r="AH9" s="49"/>
      <c r="AI9" s="50"/>
      <c r="AJ9" s="51"/>
      <c r="AK9" s="52">
        <v>600301314479</v>
      </c>
      <c r="AL9" s="53"/>
    </row>
    <row r="10" spans="1:38" ht="24.6" customHeight="1" x14ac:dyDescent="0.3">
      <c r="B10" s="30">
        <f t="shared" ref="B10:B57" si="0">+B9+1</f>
        <v>3</v>
      </c>
      <c r="C10" s="31">
        <v>604394502</v>
      </c>
      <c r="D10" s="31" t="s">
        <v>48</v>
      </c>
      <c r="E10" s="32">
        <v>44735</v>
      </c>
      <c r="F10" s="33" t="s">
        <v>49</v>
      </c>
      <c r="G10" s="34" t="s">
        <v>43</v>
      </c>
      <c r="H10" s="34" t="s">
        <v>44</v>
      </c>
      <c r="I10" s="35">
        <v>30</v>
      </c>
      <c r="J10" s="36"/>
      <c r="K10" s="37"/>
      <c r="L10" s="38"/>
      <c r="M10" s="39"/>
      <c r="N10" s="40"/>
      <c r="O10" s="40"/>
      <c r="P10" s="41">
        <f>+VLOOKUP(C10,'[1]COMISIONES-SOCIOS'!$C$8:$L$57,10,0)</f>
        <v>0</v>
      </c>
      <c r="Q10" s="42">
        <f>+VLOOKUP(C10,[1]!Tabla3[[CEDULA ]:[US$,]],8,0)</f>
        <v>0</v>
      </c>
      <c r="R10" s="42">
        <f>+VLOOKUP($C10,[1]!Tabla3[[CEDULA ]:[US$,]],9,0)</f>
        <v>0</v>
      </c>
      <c r="S10" s="43"/>
      <c r="T10" s="44"/>
      <c r="U10" s="45"/>
      <c r="V10" s="46"/>
      <c r="W10" s="47"/>
      <c r="X10" s="47"/>
      <c r="Y10" s="43"/>
      <c r="Z10" s="48"/>
      <c r="AA10" s="48"/>
      <c r="AB10" s="48"/>
      <c r="AC10" s="49"/>
      <c r="AD10" s="49"/>
      <c r="AE10" s="49"/>
      <c r="AF10" s="49"/>
      <c r="AG10" s="49"/>
      <c r="AH10" s="49"/>
      <c r="AI10" s="50"/>
      <c r="AJ10" s="51"/>
      <c r="AK10" s="52">
        <v>600101311713</v>
      </c>
      <c r="AL10" s="53"/>
    </row>
    <row r="11" spans="1:38" ht="24.6" customHeight="1" x14ac:dyDescent="0.3">
      <c r="B11" s="30">
        <f t="shared" si="0"/>
        <v>4</v>
      </c>
      <c r="C11" s="31">
        <v>955741970</v>
      </c>
      <c r="D11" s="31" t="s">
        <v>50</v>
      </c>
      <c r="E11" s="32">
        <v>44986</v>
      </c>
      <c r="F11" s="33" t="s">
        <v>51</v>
      </c>
      <c r="G11" s="34" t="s">
        <v>43</v>
      </c>
      <c r="H11" s="34" t="s">
        <v>44</v>
      </c>
      <c r="I11" s="35">
        <v>30</v>
      </c>
      <c r="J11" s="36"/>
      <c r="K11" s="37"/>
      <c r="L11" s="38"/>
      <c r="M11" s="39"/>
      <c r="N11" s="40"/>
      <c r="O11" s="40"/>
      <c r="P11" s="41">
        <f>+VLOOKUP(C11,'[1]COMISIONES-SOCIOS'!$C$8:$L$57,10,0)</f>
        <v>0</v>
      </c>
      <c r="Q11" s="42">
        <f>+VLOOKUP(C11,[1]!Tabla3[[CEDULA ]:[US$,]],8,0)</f>
        <v>0</v>
      </c>
      <c r="R11" s="42">
        <f>+VLOOKUP($C11,[1]!Tabla3[[CEDULA ]:[US$,]],9,0)</f>
        <v>0</v>
      </c>
      <c r="S11" s="43"/>
      <c r="T11" s="44"/>
      <c r="U11" s="45"/>
      <c r="V11" s="46"/>
      <c r="W11" s="47"/>
      <c r="X11" s="47"/>
      <c r="Y11" s="43"/>
      <c r="Z11" s="48"/>
      <c r="AA11" s="48"/>
      <c r="AB11" s="48"/>
      <c r="AC11" s="49"/>
      <c r="AD11" s="49"/>
      <c r="AE11" s="49"/>
      <c r="AF11" s="49"/>
      <c r="AG11" s="49"/>
      <c r="AH11" s="49"/>
      <c r="AI11" s="50"/>
      <c r="AJ11" s="51"/>
      <c r="AK11" s="52">
        <v>600101313870</v>
      </c>
      <c r="AL11" s="53"/>
    </row>
    <row r="12" spans="1:38" ht="24.6" customHeight="1" x14ac:dyDescent="0.3">
      <c r="B12" s="30">
        <f t="shared" si="0"/>
        <v>5</v>
      </c>
      <c r="C12" s="31" t="s">
        <v>52</v>
      </c>
      <c r="D12" s="31" t="s">
        <v>53</v>
      </c>
      <c r="E12" s="32">
        <v>45945</v>
      </c>
      <c r="F12" s="33" t="s">
        <v>49</v>
      </c>
      <c r="G12" s="34" t="s">
        <v>43</v>
      </c>
      <c r="H12" s="34" t="s">
        <v>44</v>
      </c>
      <c r="I12" s="35">
        <v>16</v>
      </c>
      <c r="J12" s="36"/>
      <c r="K12" s="37"/>
      <c r="L12" s="38"/>
      <c r="M12" s="39"/>
      <c r="N12" s="40"/>
      <c r="O12" s="40"/>
      <c r="P12" s="41">
        <f>+VLOOKUP(C12,'[1]COMISIONES-SOCIOS'!$C$8:$L$57,10,0)</f>
        <v>0</v>
      </c>
      <c r="Q12" s="42">
        <f>+VLOOKUP(C12,[1]!Tabla3[[CEDULA ]:[US$,]],8,0)</f>
        <v>0</v>
      </c>
      <c r="R12" s="42">
        <f>+VLOOKUP($C12,[1]!Tabla3[[CEDULA ]:[US$,]],9,0)</f>
        <v>0</v>
      </c>
      <c r="S12" s="43"/>
      <c r="T12" s="44"/>
      <c r="U12" s="45"/>
      <c r="V12" s="46"/>
      <c r="W12" s="47"/>
      <c r="X12" s="47"/>
      <c r="Y12" s="43"/>
      <c r="Z12" s="48"/>
      <c r="AA12" s="48"/>
      <c r="AB12" s="48"/>
      <c r="AC12" s="49"/>
      <c r="AD12" s="49"/>
      <c r="AE12" s="49"/>
      <c r="AF12" s="49"/>
      <c r="AG12" s="49"/>
      <c r="AH12" s="49"/>
      <c r="AI12" s="50"/>
      <c r="AJ12" s="51"/>
      <c r="AK12" s="52"/>
      <c r="AL12" s="53"/>
    </row>
    <row r="13" spans="1:38" ht="24.6" customHeight="1" x14ac:dyDescent="0.3">
      <c r="B13" s="30">
        <f t="shared" si="0"/>
        <v>6</v>
      </c>
      <c r="C13" s="31">
        <v>944143148</v>
      </c>
      <c r="D13" s="54" t="s">
        <v>54</v>
      </c>
      <c r="E13" s="55">
        <v>45884</v>
      </c>
      <c r="F13" s="56" t="s">
        <v>51</v>
      </c>
      <c r="G13" s="57" t="s">
        <v>43</v>
      </c>
      <c r="H13" s="57" t="s">
        <v>55</v>
      </c>
      <c r="I13" s="58">
        <v>9</v>
      </c>
      <c r="J13" s="59"/>
      <c r="K13" s="37"/>
      <c r="L13" s="38"/>
      <c r="M13" s="39"/>
      <c r="N13" s="40"/>
      <c r="O13" s="40"/>
      <c r="P13" s="41">
        <f>+VLOOKUP(C13,'[1]COMISIONES-SOCIOS'!$C$8:$L$57,10,0)</f>
        <v>0</v>
      </c>
      <c r="Q13" s="42">
        <f>+VLOOKUP(C13,[1]!Tabla3[[CEDULA ]:[US$,]],8,0)</f>
        <v>0</v>
      </c>
      <c r="R13" s="42">
        <f>+VLOOKUP($C13,[1]!Tabla3[[CEDULA ]:[US$,]],9,0)</f>
        <v>0</v>
      </c>
      <c r="S13" s="43"/>
      <c r="T13" s="44"/>
      <c r="U13" s="45"/>
      <c r="V13" s="46"/>
      <c r="W13" s="47"/>
      <c r="X13" s="47"/>
      <c r="Y13" s="43"/>
      <c r="Z13" s="48"/>
      <c r="AA13" s="48"/>
      <c r="AB13" s="48"/>
      <c r="AC13" s="49"/>
      <c r="AD13" s="49"/>
      <c r="AE13" s="49"/>
      <c r="AF13" s="49"/>
      <c r="AG13" s="49"/>
      <c r="AH13" s="49"/>
      <c r="AI13" s="50"/>
      <c r="AJ13" s="51"/>
      <c r="AK13" s="52">
        <v>600301320262</v>
      </c>
      <c r="AL13" s="53"/>
    </row>
    <row r="14" spans="1:38" ht="24.6" customHeight="1" x14ac:dyDescent="0.3">
      <c r="B14" s="30">
        <f t="shared" si="0"/>
        <v>7</v>
      </c>
      <c r="C14" s="31">
        <v>955325238</v>
      </c>
      <c r="D14" s="31" t="s">
        <v>56</v>
      </c>
      <c r="E14" s="32">
        <v>45945</v>
      </c>
      <c r="F14" s="33" t="s">
        <v>57</v>
      </c>
      <c r="G14" s="34" t="s">
        <v>47</v>
      </c>
      <c r="H14" s="34" t="s">
        <v>44</v>
      </c>
      <c r="I14" s="35">
        <v>16</v>
      </c>
      <c r="J14" s="36"/>
      <c r="K14" s="37"/>
      <c r="L14" s="38"/>
      <c r="M14" s="39"/>
      <c r="N14" s="40"/>
      <c r="O14" s="40"/>
      <c r="P14" s="41">
        <f>+VLOOKUP(C14,'[1]COMISIONES-SOCIOS'!$C$8:$L$57,10,0)</f>
        <v>0</v>
      </c>
      <c r="Q14" s="42">
        <f>+VLOOKUP(C14,[1]!Tabla3[[CEDULA ]:[US$,]],8,0)</f>
        <v>0</v>
      </c>
      <c r="R14" s="42">
        <f>+VLOOKUP($C14,[1]!Tabla3[[CEDULA ]:[US$,]],9,0)</f>
        <v>0</v>
      </c>
      <c r="S14" s="43"/>
      <c r="T14" s="44"/>
      <c r="U14" s="45"/>
      <c r="V14" s="46"/>
      <c r="W14" s="47"/>
      <c r="X14" s="47"/>
      <c r="Y14" s="43"/>
      <c r="Z14" s="48"/>
      <c r="AA14" s="48"/>
      <c r="AB14" s="48"/>
      <c r="AC14" s="49"/>
      <c r="AD14" s="49"/>
      <c r="AE14" s="49"/>
      <c r="AF14" s="49"/>
      <c r="AG14" s="49"/>
      <c r="AH14" s="49"/>
      <c r="AI14" s="50"/>
      <c r="AJ14" s="51"/>
      <c r="AK14" s="52"/>
      <c r="AL14" s="53"/>
    </row>
    <row r="15" spans="1:38" ht="26.4" customHeight="1" x14ac:dyDescent="0.3">
      <c r="B15" s="30">
        <f t="shared" si="0"/>
        <v>8</v>
      </c>
      <c r="C15" s="31">
        <v>914163654</v>
      </c>
      <c r="D15" s="31" t="s">
        <v>58</v>
      </c>
      <c r="E15" s="32">
        <v>44470</v>
      </c>
      <c r="F15" s="33" t="s">
        <v>59</v>
      </c>
      <c r="G15" s="34" t="s">
        <v>43</v>
      </c>
      <c r="H15" s="34" t="s">
        <v>44</v>
      </c>
      <c r="I15" s="35">
        <v>15</v>
      </c>
      <c r="J15" s="36"/>
      <c r="K15" s="37"/>
      <c r="L15" s="38"/>
      <c r="M15" s="39"/>
      <c r="N15" s="40"/>
      <c r="O15" s="40"/>
      <c r="P15" s="41">
        <f>+VLOOKUP(C15,'[1]COMISIONES-SOCIOS'!$C$8:$L$57,10,0)</f>
        <v>0</v>
      </c>
      <c r="Q15" s="42">
        <f>+VLOOKUP(C15,[1]!Tabla3[[CEDULA ]:[US$,]],8,0)</f>
        <v>0</v>
      </c>
      <c r="R15" s="42">
        <f>+VLOOKUP($C15,[1]!Tabla3[[CEDULA ]:[US$,]],9,0)</f>
        <v>0</v>
      </c>
      <c r="S15" s="43"/>
      <c r="T15" s="44"/>
      <c r="U15" s="45"/>
      <c r="V15" s="46"/>
      <c r="W15" s="47"/>
      <c r="X15" s="47"/>
      <c r="Y15" s="43"/>
      <c r="Z15" s="48"/>
      <c r="AA15" s="48"/>
      <c r="AB15" s="48"/>
      <c r="AC15" s="49"/>
      <c r="AD15" s="49"/>
      <c r="AE15" s="49"/>
      <c r="AF15" s="49"/>
      <c r="AG15" s="49"/>
      <c r="AH15" s="49"/>
      <c r="AI15" s="50"/>
      <c r="AJ15" s="51"/>
      <c r="AK15" s="52">
        <v>600101010004</v>
      </c>
      <c r="AL15" s="53"/>
    </row>
    <row r="16" spans="1:38" ht="26.4" customHeight="1" x14ac:dyDescent="0.3">
      <c r="B16" s="30">
        <f t="shared" si="0"/>
        <v>9</v>
      </c>
      <c r="C16" s="31">
        <v>956668305</v>
      </c>
      <c r="D16" s="31" t="s">
        <v>60</v>
      </c>
      <c r="E16" s="32">
        <v>45945</v>
      </c>
      <c r="F16" s="33" t="s">
        <v>51</v>
      </c>
      <c r="G16" s="34" t="s">
        <v>47</v>
      </c>
      <c r="H16" s="34" t="s">
        <v>44</v>
      </c>
      <c r="I16" s="35">
        <v>16</v>
      </c>
      <c r="J16" s="36"/>
      <c r="K16" s="37"/>
      <c r="L16" s="38"/>
      <c r="M16" s="39"/>
      <c r="N16" s="40"/>
      <c r="O16" s="40"/>
      <c r="P16" s="41">
        <f>+VLOOKUP(C16,'[1]COMISIONES-SOCIOS'!$C$8:$L$57,10,0)</f>
        <v>0</v>
      </c>
      <c r="Q16" s="42">
        <f>+VLOOKUP(C16,[1]!Tabla3[[CEDULA ]:[US$,]],8,0)</f>
        <v>0</v>
      </c>
      <c r="R16" s="42">
        <f>+VLOOKUP($C16,[1]!Tabla3[[CEDULA ]:[US$,]],9,0)</f>
        <v>0</v>
      </c>
      <c r="S16" s="43"/>
      <c r="T16" s="44"/>
      <c r="U16" s="45"/>
      <c r="V16" s="46"/>
      <c r="W16" s="47"/>
      <c r="X16" s="47"/>
      <c r="Y16" s="43"/>
      <c r="Z16" s="48"/>
      <c r="AA16" s="48"/>
      <c r="AB16" s="48"/>
      <c r="AC16" s="49"/>
      <c r="AD16" s="49"/>
      <c r="AE16" s="49"/>
      <c r="AF16" s="49"/>
      <c r="AG16" s="49"/>
      <c r="AH16" s="49"/>
      <c r="AI16" s="50"/>
      <c r="AJ16" s="51"/>
      <c r="AK16" s="52"/>
      <c r="AL16" s="53"/>
    </row>
    <row r="17" spans="1:38" ht="25.8" customHeight="1" x14ac:dyDescent="0.3">
      <c r="A17" s="29"/>
      <c r="B17" s="30">
        <f t="shared" si="0"/>
        <v>10</v>
      </c>
      <c r="C17" s="31" t="s">
        <v>61</v>
      </c>
      <c r="D17" s="31" t="s">
        <v>62</v>
      </c>
      <c r="E17" s="32">
        <v>45823</v>
      </c>
      <c r="F17" s="33" t="s">
        <v>49</v>
      </c>
      <c r="G17" s="34" t="s">
        <v>43</v>
      </c>
      <c r="H17" s="34" t="s">
        <v>63</v>
      </c>
      <c r="I17" s="35">
        <v>30</v>
      </c>
      <c r="J17" s="36"/>
      <c r="K17" s="37"/>
      <c r="L17" s="38"/>
      <c r="M17" s="39"/>
      <c r="N17" s="40"/>
      <c r="O17" s="40"/>
      <c r="P17" s="41">
        <f>+VLOOKUP(C17,'[1]COMISIONES-SOCIOS'!$C$8:$L$57,10,0)</f>
        <v>0</v>
      </c>
      <c r="Q17" s="42">
        <f>+VLOOKUP(C17,[1]!Tabla3[[CEDULA ]:[US$,]],8,0)</f>
        <v>0</v>
      </c>
      <c r="R17" s="42">
        <f>+VLOOKUP($C17,[1]!Tabla3[[CEDULA ]:[US$,]],9,0)</f>
        <v>0</v>
      </c>
      <c r="S17" s="43"/>
      <c r="T17" s="44"/>
      <c r="U17" s="45"/>
      <c r="V17" s="46"/>
      <c r="W17" s="47"/>
      <c r="X17" s="47"/>
      <c r="Y17" s="43"/>
      <c r="Z17" s="48"/>
      <c r="AA17" s="48"/>
      <c r="AB17" s="48"/>
      <c r="AC17" s="49"/>
      <c r="AD17" s="49"/>
      <c r="AE17" s="49"/>
      <c r="AF17" s="49"/>
      <c r="AG17" s="49"/>
      <c r="AH17" s="49"/>
      <c r="AI17" s="50"/>
      <c r="AJ17" s="51"/>
      <c r="AK17" s="52">
        <v>600201320019</v>
      </c>
      <c r="AL17" s="53"/>
    </row>
    <row r="18" spans="1:38" ht="26.4" customHeight="1" x14ac:dyDescent="0.3">
      <c r="A18" s="29"/>
      <c r="B18" s="30">
        <f t="shared" si="0"/>
        <v>11</v>
      </c>
      <c r="C18" s="31">
        <v>931097620</v>
      </c>
      <c r="D18" s="31" t="s">
        <v>64</v>
      </c>
      <c r="E18" s="32">
        <v>45945</v>
      </c>
      <c r="F18" s="33" t="s">
        <v>57</v>
      </c>
      <c r="G18" s="34" t="s">
        <v>47</v>
      </c>
      <c r="H18" s="34" t="s">
        <v>63</v>
      </c>
      <c r="I18" s="35">
        <v>16</v>
      </c>
      <c r="J18" s="36"/>
      <c r="K18" s="37"/>
      <c r="L18" s="38"/>
      <c r="M18" s="39"/>
      <c r="N18" s="40"/>
      <c r="O18" s="40"/>
      <c r="P18" s="41">
        <f>+VLOOKUP(C18,'[1]COMISIONES-SOCIOS'!$C$8:$L$57,10,0)</f>
        <v>0</v>
      </c>
      <c r="Q18" s="42">
        <f>+VLOOKUP(C18,[1]!Tabla3[[CEDULA ]:[US$,]],8,0)</f>
        <v>0</v>
      </c>
      <c r="R18" s="42">
        <f>+VLOOKUP($C18,[1]!Tabla3[[CEDULA ]:[US$,]],9,0)</f>
        <v>0</v>
      </c>
      <c r="S18" s="43"/>
      <c r="T18" s="44"/>
      <c r="U18" s="45"/>
      <c r="V18" s="46"/>
      <c r="W18" s="47"/>
      <c r="X18" s="47"/>
      <c r="Y18" s="43"/>
      <c r="Z18" s="48"/>
      <c r="AA18" s="48"/>
      <c r="AB18" s="48"/>
      <c r="AC18" s="49"/>
      <c r="AD18" s="49"/>
      <c r="AE18" s="49"/>
      <c r="AF18" s="49"/>
      <c r="AG18" s="49"/>
      <c r="AH18" s="49"/>
      <c r="AI18" s="50"/>
      <c r="AJ18" s="51"/>
      <c r="AK18" s="52"/>
      <c r="AL18" s="53"/>
    </row>
    <row r="19" spans="1:38" ht="24.6" customHeight="1" x14ac:dyDescent="0.3">
      <c r="A19" s="29"/>
      <c r="B19" s="30">
        <f t="shared" si="0"/>
        <v>12</v>
      </c>
      <c r="C19" s="31">
        <v>1105483422</v>
      </c>
      <c r="D19" s="31" t="s">
        <v>65</v>
      </c>
      <c r="E19" s="32">
        <v>45065</v>
      </c>
      <c r="F19" s="33" t="s">
        <v>46</v>
      </c>
      <c r="G19" s="34" t="s">
        <v>47</v>
      </c>
      <c r="H19" s="34" t="s">
        <v>55</v>
      </c>
      <c r="I19" s="35">
        <v>30</v>
      </c>
      <c r="J19" s="36"/>
      <c r="K19" s="37"/>
      <c r="L19" s="38"/>
      <c r="M19" s="39"/>
      <c r="N19" s="40"/>
      <c r="O19" s="40"/>
      <c r="P19" s="41">
        <f>+VLOOKUP(C19,'[1]COMISIONES-SOCIOS'!$C$8:$L$57,10,0)</f>
        <v>0</v>
      </c>
      <c r="Q19" s="42">
        <f>+VLOOKUP(C19,[1]!Tabla3[[CEDULA ]:[US$,]],8,0)</f>
        <v>0</v>
      </c>
      <c r="R19" s="42">
        <f>+VLOOKUP($C19,[1]!Tabla3[[CEDULA ]:[US$,]],9,0)</f>
        <v>0</v>
      </c>
      <c r="S19" s="43"/>
      <c r="T19" s="44"/>
      <c r="U19" s="45"/>
      <c r="V19" s="46"/>
      <c r="W19" s="47"/>
      <c r="X19" s="47"/>
      <c r="Y19" s="43"/>
      <c r="Z19" s="48"/>
      <c r="AA19" s="48"/>
      <c r="AB19" s="48"/>
      <c r="AC19" s="49"/>
      <c r="AD19" s="49"/>
      <c r="AE19" s="49"/>
      <c r="AF19" s="49"/>
      <c r="AG19" s="49"/>
      <c r="AH19" s="49"/>
      <c r="AI19" s="50"/>
      <c r="AJ19" s="51"/>
      <c r="AK19" s="52">
        <v>600301314628</v>
      </c>
      <c r="AL19" s="53"/>
    </row>
    <row r="20" spans="1:38" ht="24.6" customHeight="1" x14ac:dyDescent="0.3">
      <c r="A20" s="29"/>
      <c r="B20" s="30">
        <f t="shared" si="0"/>
        <v>13</v>
      </c>
      <c r="C20" s="31">
        <v>942614645</v>
      </c>
      <c r="D20" s="31" t="s">
        <v>66</v>
      </c>
      <c r="E20" s="32">
        <v>45474</v>
      </c>
      <c r="F20" s="60" t="s">
        <v>67</v>
      </c>
      <c r="G20" s="34" t="s">
        <v>43</v>
      </c>
      <c r="H20" s="34" t="s">
        <v>44</v>
      </c>
      <c r="I20" s="35">
        <v>30</v>
      </c>
      <c r="J20" s="36"/>
      <c r="K20" s="37"/>
      <c r="L20" s="38"/>
      <c r="M20" s="39"/>
      <c r="N20" s="40"/>
      <c r="O20" s="40"/>
      <c r="P20" s="41">
        <f>+VLOOKUP(C20,'[1]COMISIONES-SOCIOS'!$C$8:$L$57,10,0)</f>
        <v>0</v>
      </c>
      <c r="Q20" s="42">
        <f>+VLOOKUP(C20,[1]!Tabla3[[CEDULA ]:[US$,]],8,0)</f>
        <v>0</v>
      </c>
      <c r="R20" s="42">
        <f>+VLOOKUP($C20,[1]!Tabla3[[CEDULA ]:[US$,]],9,0)</f>
        <v>0</v>
      </c>
      <c r="S20" s="43"/>
      <c r="T20" s="44"/>
      <c r="U20" s="45"/>
      <c r="V20" s="46"/>
      <c r="W20" s="47"/>
      <c r="X20" s="47"/>
      <c r="Y20" s="43"/>
      <c r="Z20" s="48"/>
      <c r="AA20" s="48"/>
      <c r="AB20" s="48"/>
      <c r="AC20" s="49"/>
      <c r="AD20" s="49"/>
      <c r="AE20" s="49"/>
      <c r="AF20" s="49"/>
      <c r="AG20" s="49"/>
      <c r="AH20" s="49"/>
      <c r="AI20" s="50"/>
      <c r="AJ20" s="51"/>
      <c r="AK20" s="52">
        <v>600101317776</v>
      </c>
      <c r="AL20" s="53"/>
    </row>
    <row r="21" spans="1:38" ht="24" customHeight="1" x14ac:dyDescent="0.3">
      <c r="B21" s="30">
        <f t="shared" si="0"/>
        <v>14</v>
      </c>
      <c r="C21" s="31">
        <v>951200062</v>
      </c>
      <c r="D21" s="31" t="s">
        <v>68</v>
      </c>
      <c r="E21" s="61">
        <v>45139</v>
      </c>
      <c r="F21" s="60" t="s">
        <v>69</v>
      </c>
      <c r="G21" s="62" t="s">
        <v>47</v>
      </c>
      <c r="H21" s="34" t="s">
        <v>63</v>
      </c>
      <c r="I21" s="63">
        <v>30</v>
      </c>
      <c r="J21" s="36"/>
      <c r="K21" s="37"/>
      <c r="L21" s="38"/>
      <c r="M21" s="39"/>
      <c r="N21" s="40"/>
      <c r="O21" s="40"/>
      <c r="P21" s="41">
        <f>+VLOOKUP(C21,'[1]COMISIONES-SOCIOS'!$C$8:$L$57,10,0)</f>
        <v>0</v>
      </c>
      <c r="Q21" s="42">
        <f>+VLOOKUP(C21,[1]!Tabla3[[CEDULA ]:[US$,]],8,0)</f>
        <v>0</v>
      </c>
      <c r="R21" s="42">
        <f>+VLOOKUP($C21,[1]!Tabla3[[CEDULA ]:[US$,]],9,0)</f>
        <v>0</v>
      </c>
      <c r="S21" s="43"/>
      <c r="T21" s="44"/>
      <c r="U21" s="45"/>
      <c r="V21" s="46"/>
      <c r="W21" s="47"/>
      <c r="X21" s="47"/>
      <c r="Y21" s="43"/>
      <c r="Z21" s="48"/>
      <c r="AA21" s="48"/>
      <c r="AB21" s="48"/>
      <c r="AC21" s="49"/>
      <c r="AD21" s="49"/>
      <c r="AE21" s="49"/>
      <c r="AF21" s="49"/>
      <c r="AG21" s="49"/>
      <c r="AH21" s="49"/>
      <c r="AI21" s="50"/>
      <c r="AJ21" s="51"/>
      <c r="AK21" s="52">
        <v>600301315318</v>
      </c>
      <c r="AL21" s="53"/>
    </row>
    <row r="22" spans="1:38" ht="24" customHeight="1" x14ac:dyDescent="0.3">
      <c r="B22" s="30">
        <f t="shared" si="0"/>
        <v>15</v>
      </c>
      <c r="C22" s="31">
        <v>950929232</v>
      </c>
      <c r="D22" s="31" t="s">
        <v>70</v>
      </c>
      <c r="E22" s="32">
        <v>44726</v>
      </c>
      <c r="F22" s="33" t="s">
        <v>51</v>
      </c>
      <c r="G22" s="34" t="s">
        <v>43</v>
      </c>
      <c r="H22" s="34" t="s">
        <v>63</v>
      </c>
      <c r="I22" s="35">
        <v>30</v>
      </c>
      <c r="J22" s="36"/>
      <c r="K22" s="37"/>
      <c r="L22" s="38"/>
      <c r="M22" s="39"/>
      <c r="N22" s="40"/>
      <c r="O22" s="40"/>
      <c r="P22" s="41">
        <f>+VLOOKUP(C22,'[1]COMISIONES-SOCIOS'!$C$8:$L$57,10,0)</f>
        <v>0</v>
      </c>
      <c r="Q22" s="42">
        <f>+VLOOKUP(C22,[1]!Tabla3[[CEDULA ]:[US$,]],8,0)</f>
        <v>0</v>
      </c>
      <c r="R22" s="42">
        <f>+VLOOKUP($C22,[1]!Tabla3[[CEDULA ]:[US$,]],9,0)</f>
        <v>0</v>
      </c>
      <c r="S22" s="43"/>
      <c r="T22" s="44"/>
      <c r="U22" s="45"/>
      <c r="V22" s="46"/>
      <c r="W22" s="47"/>
      <c r="X22" s="47"/>
      <c r="Y22" s="43"/>
      <c r="Z22" s="48"/>
      <c r="AA22" s="48"/>
      <c r="AB22" s="48"/>
      <c r="AC22" s="49"/>
      <c r="AD22" s="64"/>
      <c r="AE22" s="64"/>
      <c r="AF22" s="64"/>
      <c r="AG22" s="49"/>
      <c r="AH22" s="49"/>
      <c r="AI22" s="50"/>
      <c r="AJ22" s="51"/>
      <c r="AK22" s="52">
        <v>600201311725</v>
      </c>
      <c r="AL22" s="65"/>
    </row>
    <row r="23" spans="1:38" ht="24.6" customHeight="1" x14ac:dyDescent="0.3">
      <c r="B23" s="30">
        <f t="shared" si="0"/>
        <v>16</v>
      </c>
      <c r="C23" s="31">
        <v>953819646</v>
      </c>
      <c r="D23" s="31" t="s">
        <v>71</v>
      </c>
      <c r="E23" s="32">
        <v>44637</v>
      </c>
      <c r="F23" s="33" t="s">
        <v>51</v>
      </c>
      <c r="G23" s="34" t="s">
        <v>43</v>
      </c>
      <c r="H23" s="34" t="s">
        <v>44</v>
      </c>
      <c r="I23" s="35">
        <v>30</v>
      </c>
      <c r="J23" s="36"/>
      <c r="K23" s="37"/>
      <c r="L23" s="38"/>
      <c r="M23" s="39"/>
      <c r="N23" s="40"/>
      <c r="O23" s="40"/>
      <c r="P23" s="41">
        <f>+VLOOKUP(C23,'[1]COMISIONES-SOCIOS'!$C$8:$L$57,10,0)</f>
        <v>0</v>
      </c>
      <c r="Q23" s="42">
        <f>+VLOOKUP(C23,[1]!Tabla3[[CEDULA ]:[US$,]],8,0)</f>
        <v>0</v>
      </c>
      <c r="R23" s="42">
        <f>+VLOOKUP($C23,[1]!Tabla3[[CEDULA ]:[US$,]],9,0)</f>
        <v>0</v>
      </c>
      <c r="S23" s="43"/>
      <c r="T23" s="44"/>
      <c r="U23" s="45"/>
      <c r="V23" s="46"/>
      <c r="W23" s="47"/>
      <c r="X23" s="47"/>
      <c r="Y23" s="43"/>
      <c r="Z23" s="48"/>
      <c r="AA23" s="48"/>
      <c r="AB23" s="48"/>
      <c r="AC23" s="49"/>
      <c r="AD23" s="49"/>
      <c r="AE23" s="49"/>
      <c r="AF23" s="49"/>
      <c r="AG23" s="49"/>
      <c r="AH23" s="49"/>
      <c r="AI23" s="50"/>
      <c r="AJ23" s="51"/>
      <c r="AK23" s="52">
        <v>600101311237</v>
      </c>
      <c r="AL23" s="53"/>
    </row>
    <row r="24" spans="1:38" ht="24.6" customHeight="1" x14ac:dyDescent="0.3">
      <c r="B24" s="30">
        <f t="shared" si="0"/>
        <v>17</v>
      </c>
      <c r="C24" s="31">
        <v>956953392</v>
      </c>
      <c r="D24" s="31" t="s">
        <v>72</v>
      </c>
      <c r="E24" s="32">
        <v>45357</v>
      </c>
      <c r="F24" s="33" t="s">
        <v>51</v>
      </c>
      <c r="G24" s="34" t="s">
        <v>43</v>
      </c>
      <c r="H24" s="34" t="s">
        <v>44</v>
      </c>
      <c r="I24" s="35">
        <v>30</v>
      </c>
      <c r="J24" s="36"/>
      <c r="K24" s="37"/>
      <c r="L24" s="38"/>
      <c r="M24" s="39"/>
      <c r="N24" s="40"/>
      <c r="O24" s="40"/>
      <c r="P24" s="41">
        <f>+VLOOKUP(C24,'[1]COMISIONES-SOCIOS'!$C$8:$L$57,10,0)</f>
        <v>0</v>
      </c>
      <c r="Q24" s="42">
        <f>+VLOOKUP(C24,[1]!Tabla3[[CEDULA ]:[US$,]],8,0)</f>
        <v>0</v>
      </c>
      <c r="R24" s="42">
        <f>+VLOOKUP($C24,[1]!Tabla3[[CEDULA ]:[US$,]],9,0)</f>
        <v>0</v>
      </c>
      <c r="S24" s="43"/>
      <c r="T24" s="44"/>
      <c r="U24" s="45"/>
      <c r="V24" s="46"/>
      <c r="W24" s="47"/>
      <c r="X24" s="47"/>
      <c r="Y24" s="43"/>
      <c r="Z24" s="48"/>
      <c r="AA24" s="48"/>
      <c r="AB24" s="48"/>
      <c r="AC24" s="49"/>
      <c r="AD24" s="49"/>
      <c r="AE24" s="49"/>
      <c r="AF24" s="49"/>
      <c r="AG24" s="49"/>
      <c r="AH24" s="49"/>
      <c r="AI24" s="50"/>
      <c r="AJ24" s="51"/>
      <c r="AK24" s="52">
        <v>600101005932</v>
      </c>
      <c r="AL24" s="53"/>
    </row>
    <row r="25" spans="1:38" ht="24.6" customHeight="1" x14ac:dyDescent="0.3">
      <c r="A25" s="29"/>
      <c r="B25" s="30">
        <f t="shared" si="0"/>
        <v>18</v>
      </c>
      <c r="C25" s="31">
        <v>956796767</v>
      </c>
      <c r="D25" s="31" t="s">
        <v>73</v>
      </c>
      <c r="E25" s="32">
        <v>44763</v>
      </c>
      <c r="F25" s="33" t="s">
        <v>51</v>
      </c>
      <c r="G25" s="34" t="s">
        <v>43</v>
      </c>
      <c r="H25" s="34" t="s">
        <v>63</v>
      </c>
      <c r="I25" s="35">
        <v>30</v>
      </c>
      <c r="J25" s="36"/>
      <c r="K25" s="37"/>
      <c r="L25" s="38"/>
      <c r="M25" s="39"/>
      <c r="N25" s="40"/>
      <c r="O25" s="40"/>
      <c r="P25" s="41">
        <f>+VLOOKUP(C25,'[1]COMISIONES-SOCIOS'!$C$8:$L$57,10,0)</f>
        <v>0</v>
      </c>
      <c r="Q25" s="42">
        <f>+VLOOKUP(C25,[1]!Tabla3[[CEDULA ]:[US$,]],8,0)</f>
        <v>0</v>
      </c>
      <c r="R25" s="42">
        <f>+VLOOKUP($C25,[1]!Tabla3[[CEDULA ]:[US$,]],9,0)</f>
        <v>0</v>
      </c>
      <c r="S25" s="43"/>
      <c r="T25" s="44"/>
      <c r="U25" s="45"/>
      <c r="V25" s="46"/>
      <c r="W25" s="47"/>
      <c r="X25" s="47"/>
      <c r="Y25" s="43"/>
      <c r="Z25" s="48"/>
      <c r="AA25" s="48"/>
      <c r="AB25" s="48"/>
      <c r="AC25" s="49"/>
      <c r="AD25" s="49"/>
      <c r="AE25" s="49"/>
      <c r="AF25" s="49"/>
      <c r="AG25" s="49"/>
      <c r="AH25" s="49"/>
      <c r="AI25" s="50"/>
      <c r="AJ25" s="51"/>
      <c r="AK25" s="52">
        <v>600201312138</v>
      </c>
      <c r="AL25" s="53"/>
    </row>
    <row r="26" spans="1:38" ht="24.6" customHeight="1" x14ac:dyDescent="0.3">
      <c r="A26" s="29"/>
      <c r="B26" s="30">
        <f t="shared" si="0"/>
        <v>19</v>
      </c>
      <c r="C26" s="31" t="s">
        <v>74</v>
      </c>
      <c r="D26" s="31" t="s">
        <v>75</v>
      </c>
      <c r="E26" s="32">
        <v>45839</v>
      </c>
      <c r="F26" s="33" t="s">
        <v>76</v>
      </c>
      <c r="G26" s="34" t="s">
        <v>47</v>
      </c>
      <c r="H26" s="34" t="s">
        <v>44</v>
      </c>
      <c r="I26" s="35">
        <v>30</v>
      </c>
      <c r="J26" s="36"/>
      <c r="K26" s="37"/>
      <c r="L26" s="38"/>
      <c r="M26" s="39"/>
      <c r="N26" s="40"/>
      <c r="O26" s="40"/>
      <c r="P26" s="41">
        <f>+VLOOKUP(C26,'[1]COMISIONES-SOCIOS'!$C$8:$L$57,10,0)</f>
        <v>0</v>
      </c>
      <c r="Q26" s="42">
        <f>+VLOOKUP(C26,[1]!Tabla3[[CEDULA ]:[US$,]],8,0)</f>
        <v>0</v>
      </c>
      <c r="R26" s="42">
        <f>+VLOOKUP($C26,[1]!Tabla3[[CEDULA ]:[US$,]],9,0)</f>
        <v>0</v>
      </c>
      <c r="S26" s="43"/>
      <c r="T26" s="44"/>
      <c r="U26" s="45"/>
      <c r="V26" s="46"/>
      <c r="W26" s="47"/>
      <c r="X26" s="47"/>
      <c r="Y26" s="43"/>
      <c r="Z26" s="48"/>
      <c r="AA26" s="48"/>
      <c r="AB26" s="48"/>
      <c r="AC26" s="49"/>
      <c r="AD26" s="49"/>
      <c r="AE26" s="49"/>
      <c r="AF26" s="49"/>
      <c r="AG26" s="49"/>
      <c r="AH26" s="49"/>
      <c r="AI26" s="50"/>
      <c r="AJ26" s="51"/>
      <c r="AK26" s="52">
        <v>600101320088</v>
      </c>
      <c r="AL26" s="53"/>
    </row>
    <row r="27" spans="1:38" s="1" customFormat="1" ht="24.6" customHeight="1" x14ac:dyDescent="0.3">
      <c r="A27" s="29"/>
      <c r="B27" s="30">
        <f t="shared" si="0"/>
        <v>20</v>
      </c>
      <c r="C27" s="31">
        <v>1724102940</v>
      </c>
      <c r="D27" s="31" t="s">
        <v>77</v>
      </c>
      <c r="E27" s="32">
        <v>45308</v>
      </c>
      <c r="F27" s="33" t="s">
        <v>78</v>
      </c>
      <c r="G27" s="34" t="s">
        <v>43</v>
      </c>
      <c r="H27" s="34" t="s">
        <v>55</v>
      </c>
      <c r="I27" s="35">
        <v>30</v>
      </c>
      <c r="J27" s="36"/>
      <c r="K27" s="37"/>
      <c r="L27" s="38"/>
      <c r="M27" s="39"/>
      <c r="N27" s="40"/>
      <c r="O27" s="40"/>
      <c r="P27" s="41">
        <f>+VLOOKUP(C27,'[1]COMISIONES-SOCIOS'!$C$8:$L$57,10,0)</f>
        <v>0</v>
      </c>
      <c r="Q27" s="42">
        <f>+VLOOKUP(C27,[1]!Tabla3[[CEDULA ]:[US$,]],8,0)</f>
        <v>0</v>
      </c>
      <c r="R27" s="42">
        <f>+VLOOKUP($C27,[1]!Tabla3[[CEDULA ]:[US$,]],9,0)</f>
        <v>0</v>
      </c>
      <c r="S27" s="43"/>
      <c r="T27" s="44"/>
      <c r="U27" s="45"/>
      <c r="V27" s="46"/>
      <c r="W27" s="47"/>
      <c r="X27" s="47"/>
      <c r="Y27" s="43"/>
      <c r="Z27" s="48"/>
      <c r="AA27" s="48"/>
      <c r="AB27" s="48"/>
      <c r="AC27" s="49"/>
      <c r="AD27" s="66"/>
      <c r="AE27" s="66"/>
      <c r="AF27" s="66"/>
      <c r="AG27" s="49"/>
      <c r="AH27" s="49"/>
      <c r="AI27" s="50"/>
      <c r="AJ27" s="51"/>
      <c r="AK27" s="52">
        <v>600101010744</v>
      </c>
      <c r="AL27" s="53"/>
    </row>
    <row r="28" spans="1:38" s="1" customFormat="1" ht="24.6" customHeight="1" x14ac:dyDescent="0.3">
      <c r="A28"/>
      <c r="B28" s="30">
        <f t="shared" si="0"/>
        <v>21</v>
      </c>
      <c r="C28" s="31">
        <v>943322974</v>
      </c>
      <c r="D28" s="31" t="s">
        <v>79</v>
      </c>
      <c r="E28" s="32">
        <v>45114</v>
      </c>
      <c r="F28" s="33" t="s">
        <v>51</v>
      </c>
      <c r="G28" s="34" t="s">
        <v>47</v>
      </c>
      <c r="H28" s="34" t="s">
        <v>63</v>
      </c>
      <c r="I28" s="35">
        <v>30</v>
      </c>
      <c r="J28" s="36"/>
      <c r="K28" s="37"/>
      <c r="L28" s="38"/>
      <c r="M28" s="39"/>
      <c r="N28" s="40"/>
      <c r="O28" s="40"/>
      <c r="P28" s="41">
        <f>+VLOOKUP(C28,'[1]COMISIONES-SOCIOS'!$C$8:$L$57,10,0)</f>
        <v>0</v>
      </c>
      <c r="Q28" s="42">
        <f>+VLOOKUP(C28,[1]!Tabla3[[CEDULA ]:[US$,]],8,0)</f>
        <v>0</v>
      </c>
      <c r="R28" s="42">
        <f>+VLOOKUP($C28,[1]!Tabla3[[CEDULA ]:[US$,]],9,0)</f>
        <v>0</v>
      </c>
      <c r="S28" s="43"/>
      <c r="T28" s="44"/>
      <c r="U28" s="45"/>
      <c r="V28" s="46"/>
      <c r="W28" s="47"/>
      <c r="X28" s="47"/>
      <c r="Y28" s="43"/>
      <c r="Z28" s="48"/>
      <c r="AA28" s="48"/>
      <c r="AB28" s="48"/>
      <c r="AC28" s="49"/>
      <c r="AD28" s="66"/>
      <c r="AE28" s="66"/>
      <c r="AF28" s="66"/>
      <c r="AG28" s="49"/>
      <c r="AH28" s="49"/>
      <c r="AI28" s="50"/>
      <c r="AJ28" s="51"/>
      <c r="AK28" s="52">
        <v>600201315080</v>
      </c>
      <c r="AL28" s="53"/>
    </row>
    <row r="29" spans="1:38" s="1" customFormat="1" ht="28.95" customHeight="1" x14ac:dyDescent="0.3">
      <c r="A29"/>
      <c r="B29" s="30">
        <f t="shared" si="0"/>
        <v>22</v>
      </c>
      <c r="C29" s="31">
        <v>941096851</v>
      </c>
      <c r="D29" s="31" t="s">
        <v>80</v>
      </c>
      <c r="E29" s="67">
        <v>43033</v>
      </c>
      <c r="F29" s="33" t="s">
        <v>81</v>
      </c>
      <c r="G29" s="34" t="s">
        <v>47</v>
      </c>
      <c r="H29" s="34" t="s">
        <v>55</v>
      </c>
      <c r="I29" s="34">
        <v>30</v>
      </c>
      <c r="J29" s="36"/>
      <c r="K29" s="37"/>
      <c r="L29" s="38"/>
      <c r="M29" s="39"/>
      <c r="N29" s="40"/>
      <c r="O29" s="40"/>
      <c r="P29" s="41">
        <f>+VLOOKUP(C29,'[1]COMISIONES-SOCIOS'!$C$8:$L$57,10,0)</f>
        <v>0</v>
      </c>
      <c r="Q29" s="42">
        <f>+VLOOKUP(C29,[1]!Tabla3[[CEDULA ]:[US$,]],8,0)</f>
        <v>0</v>
      </c>
      <c r="R29" s="42">
        <f>+VLOOKUP($C29,[1]!Tabla3[[CEDULA ]:[US$,]],9,0)</f>
        <v>0</v>
      </c>
      <c r="S29" s="43"/>
      <c r="T29" s="44"/>
      <c r="U29" s="45"/>
      <c r="V29" s="46"/>
      <c r="W29" s="47"/>
      <c r="X29" s="47"/>
      <c r="Y29" s="43"/>
      <c r="Z29" s="48"/>
      <c r="AA29" s="48"/>
      <c r="AB29" s="48"/>
      <c r="AC29" s="49"/>
      <c r="AD29" s="66"/>
      <c r="AE29" s="66"/>
      <c r="AF29" s="66"/>
      <c r="AG29" s="49"/>
      <c r="AH29" s="49"/>
      <c r="AI29" s="50"/>
      <c r="AJ29" s="51"/>
      <c r="AK29" s="52">
        <v>600101005442</v>
      </c>
      <c r="AL29" s="53"/>
    </row>
    <row r="30" spans="1:38" s="1" customFormat="1" ht="28.95" customHeight="1" x14ac:dyDescent="0.3">
      <c r="A30"/>
      <c r="B30" s="30">
        <f t="shared" si="0"/>
        <v>23</v>
      </c>
      <c r="C30" s="31">
        <v>957093800</v>
      </c>
      <c r="D30" s="31" t="s">
        <v>82</v>
      </c>
      <c r="E30" s="67">
        <v>45793</v>
      </c>
      <c r="F30" s="33" t="s">
        <v>51</v>
      </c>
      <c r="G30" s="34" t="s">
        <v>43</v>
      </c>
      <c r="H30" s="34" t="s">
        <v>55</v>
      </c>
      <c r="I30" s="34">
        <v>30</v>
      </c>
      <c r="J30" s="36"/>
      <c r="K30" s="37"/>
      <c r="L30" s="38"/>
      <c r="M30" s="39"/>
      <c r="N30" s="40"/>
      <c r="O30" s="40"/>
      <c r="P30" s="41">
        <f>+VLOOKUP(C30,'[1]COMISIONES-SOCIOS'!$C$8:$L$57,10,0)</f>
        <v>0</v>
      </c>
      <c r="Q30" s="42">
        <f>+VLOOKUP(C30,[1]!Tabla3[[CEDULA ]:[US$,]],8,0)</f>
        <v>0</v>
      </c>
      <c r="R30" s="42">
        <f>+VLOOKUP($C30,[1]!Tabla3[[CEDULA ]:[US$,]],9,0)</f>
        <v>0</v>
      </c>
      <c r="S30" s="43"/>
      <c r="T30" s="44"/>
      <c r="U30" s="45"/>
      <c r="V30" s="46"/>
      <c r="W30" s="47"/>
      <c r="X30" s="47"/>
      <c r="Y30" s="43"/>
      <c r="Z30" s="48"/>
      <c r="AA30" s="48"/>
      <c r="AB30" s="48"/>
      <c r="AC30" s="49"/>
      <c r="AD30" s="66"/>
      <c r="AE30" s="66"/>
      <c r="AF30" s="66"/>
      <c r="AG30" s="49"/>
      <c r="AH30" s="49"/>
      <c r="AI30" s="50"/>
      <c r="AJ30" s="51"/>
      <c r="AK30" s="52">
        <v>600301319714</v>
      </c>
      <c r="AL30" s="53"/>
    </row>
    <row r="31" spans="1:38" ht="24.6" customHeight="1" x14ac:dyDescent="0.3">
      <c r="A31" s="29"/>
      <c r="B31" s="30">
        <f t="shared" si="0"/>
        <v>24</v>
      </c>
      <c r="C31" s="31">
        <v>957924350</v>
      </c>
      <c r="D31" s="31" t="s">
        <v>83</v>
      </c>
      <c r="E31" s="32">
        <v>45727</v>
      </c>
      <c r="F31" s="33" t="s">
        <v>49</v>
      </c>
      <c r="G31" s="34" t="s">
        <v>43</v>
      </c>
      <c r="H31" s="34" t="s">
        <v>44</v>
      </c>
      <c r="I31" s="35">
        <v>30</v>
      </c>
      <c r="J31" s="36"/>
      <c r="K31" s="37"/>
      <c r="L31" s="38"/>
      <c r="M31" s="39"/>
      <c r="N31" s="40"/>
      <c r="O31" s="40"/>
      <c r="P31" s="41">
        <f>+VLOOKUP(C31,'[1]COMISIONES-SOCIOS'!$C$8:$L$57,10,0)</f>
        <v>0</v>
      </c>
      <c r="Q31" s="42">
        <f>+VLOOKUP(C31,[1]!Tabla3[[CEDULA ]:[US$,]],8,0)</f>
        <v>0</v>
      </c>
      <c r="R31" s="42">
        <f>+VLOOKUP($C31,[1]!Tabla3[[CEDULA ]:[US$,]],9,0)</f>
        <v>0</v>
      </c>
      <c r="S31" s="43"/>
      <c r="T31" s="44"/>
      <c r="U31" s="45"/>
      <c r="V31" s="46"/>
      <c r="W31" s="47"/>
      <c r="X31" s="47"/>
      <c r="Y31" s="43"/>
      <c r="Z31" s="48"/>
      <c r="AA31" s="48"/>
      <c r="AB31" s="48"/>
      <c r="AC31" s="49"/>
      <c r="AD31" s="49"/>
      <c r="AE31" s="49"/>
      <c r="AF31" s="49"/>
      <c r="AG31" s="49"/>
      <c r="AH31" s="49"/>
      <c r="AI31" s="50"/>
      <c r="AJ31" s="51"/>
      <c r="AK31" s="52">
        <v>600101000665</v>
      </c>
      <c r="AL31" s="53"/>
    </row>
    <row r="32" spans="1:38" ht="24.6" customHeight="1" x14ac:dyDescent="0.3">
      <c r="A32" s="29"/>
      <c r="B32" s="30">
        <f t="shared" si="0"/>
        <v>25</v>
      </c>
      <c r="C32" s="31">
        <v>603838657</v>
      </c>
      <c r="D32" s="31" t="s">
        <v>84</v>
      </c>
      <c r="E32" s="32">
        <v>44835</v>
      </c>
      <c r="F32" s="33" t="s">
        <v>51</v>
      </c>
      <c r="G32" s="34" t="s">
        <v>43</v>
      </c>
      <c r="H32" s="34" t="s">
        <v>55</v>
      </c>
      <c r="I32" s="35">
        <v>30</v>
      </c>
      <c r="J32" s="36"/>
      <c r="K32" s="37"/>
      <c r="L32" s="38"/>
      <c r="M32" s="39"/>
      <c r="N32" s="40"/>
      <c r="O32" s="40"/>
      <c r="P32" s="41"/>
      <c r="Q32" s="42"/>
      <c r="R32" s="42">
        <f>+VLOOKUP($C32,[1]!Tabla3[[CEDULA ]:[US$,]],9,0)</f>
        <v>0</v>
      </c>
      <c r="S32" s="43"/>
      <c r="T32" s="44"/>
      <c r="U32" s="45"/>
      <c r="V32" s="46"/>
      <c r="W32" s="47"/>
      <c r="X32" s="47"/>
      <c r="Y32" s="43"/>
      <c r="Z32" s="48"/>
      <c r="AA32" s="48"/>
      <c r="AB32" s="48"/>
      <c r="AC32" s="49"/>
      <c r="AD32" s="49"/>
      <c r="AE32" s="49"/>
      <c r="AF32" s="49"/>
      <c r="AG32" s="49"/>
      <c r="AH32" s="49"/>
      <c r="AI32" s="50"/>
      <c r="AJ32" s="51"/>
      <c r="AK32" s="52">
        <v>600101000624</v>
      </c>
      <c r="AL32" s="53"/>
    </row>
    <row r="33" spans="1:38" ht="22.8" customHeight="1" x14ac:dyDescent="0.3">
      <c r="A33" s="29"/>
      <c r="B33" s="30">
        <f t="shared" si="0"/>
        <v>26</v>
      </c>
      <c r="C33" s="31">
        <v>925240525</v>
      </c>
      <c r="D33" s="31" t="s">
        <v>85</v>
      </c>
      <c r="E33" s="32">
        <v>38869</v>
      </c>
      <c r="F33" s="33" t="s">
        <v>86</v>
      </c>
      <c r="G33" s="62" t="s">
        <v>43</v>
      </c>
      <c r="H33" s="62" t="s">
        <v>44</v>
      </c>
      <c r="I33" s="35">
        <v>30</v>
      </c>
      <c r="J33" s="36"/>
      <c r="K33" s="37"/>
      <c r="L33" s="38"/>
      <c r="M33" s="39"/>
      <c r="N33" s="40"/>
      <c r="O33" s="40"/>
      <c r="P33" s="41"/>
      <c r="Q33" s="42"/>
      <c r="R33" s="42">
        <f>+VLOOKUP($C33,[1]!Tabla3[[CEDULA ]:[US$,]],9,0)</f>
        <v>0</v>
      </c>
      <c r="S33" s="43"/>
      <c r="T33" s="44"/>
      <c r="U33" s="45"/>
      <c r="V33" s="46"/>
      <c r="W33" s="68"/>
      <c r="X33" s="68"/>
      <c r="Y33" s="43"/>
      <c r="Z33" s="48"/>
      <c r="AA33" s="48"/>
      <c r="AB33" s="48"/>
      <c r="AC33" s="49"/>
      <c r="AD33" s="49"/>
      <c r="AE33" s="49"/>
      <c r="AF33" s="49"/>
      <c r="AG33" s="49"/>
      <c r="AH33" s="49"/>
      <c r="AI33" s="50"/>
      <c r="AJ33" s="51"/>
      <c r="AK33" s="52">
        <v>600101000359</v>
      </c>
      <c r="AL33" s="69"/>
    </row>
    <row r="34" spans="1:38" ht="24" customHeight="1" x14ac:dyDescent="0.3">
      <c r="B34" s="30">
        <f t="shared" si="0"/>
        <v>27</v>
      </c>
      <c r="C34" s="31">
        <v>954520599</v>
      </c>
      <c r="D34" s="31" t="s">
        <v>87</v>
      </c>
      <c r="E34" s="32">
        <v>44743</v>
      </c>
      <c r="F34" s="33" t="s">
        <v>49</v>
      </c>
      <c r="G34" s="62" t="s">
        <v>47</v>
      </c>
      <c r="H34" s="62" t="s">
        <v>55</v>
      </c>
      <c r="I34" s="35">
        <v>30</v>
      </c>
      <c r="J34" s="36"/>
      <c r="K34" s="37"/>
      <c r="L34" s="38"/>
      <c r="M34" s="39"/>
      <c r="N34" s="40"/>
      <c r="O34" s="40"/>
      <c r="P34" s="41"/>
      <c r="Q34" s="42"/>
      <c r="R34" s="42">
        <f>+VLOOKUP($C34,[1]!Tabla3[[CEDULA ]:[US$,]],9,0)</f>
        <v>0</v>
      </c>
      <c r="S34" s="43"/>
      <c r="T34" s="44"/>
      <c r="U34" s="45"/>
      <c r="V34" s="46"/>
      <c r="W34" s="47"/>
      <c r="X34" s="47"/>
      <c r="Y34" s="43"/>
      <c r="Z34" s="48"/>
      <c r="AA34" s="48"/>
      <c r="AB34" s="48"/>
      <c r="AC34" s="49"/>
      <c r="AD34" s="49"/>
      <c r="AE34" s="49"/>
      <c r="AF34" s="49"/>
      <c r="AG34" s="49"/>
      <c r="AH34" s="49"/>
      <c r="AI34" s="50"/>
      <c r="AJ34" s="51"/>
      <c r="AK34" s="52">
        <v>600201312163</v>
      </c>
      <c r="AL34" s="69"/>
    </row>
    <row r="35" spans="1:38" ht="24.6" customHeight="1" x14ac:dyDescent="0.3">
      <c r="B35" s="30">
        <f t="shared" si="0"/>
        <v>28</v>
      </c>
      <c r="C35" s="31" t="s">
        <v>88</v>
      </c>
      <c r="D35" s="31" t="s">
        <v>89</v>
      </c>
      <c r="E35" s="32">
        <v>45524</v>
      </c>
      <c r="F35" s="33" t="s">
        <v>51</v>
      </c>
      <c r="G35" s="62" t="s">
        <v>43</v>
      </c>
      <c r="H35" s="62" t="s">
        <v>63</v>
      </c>
      <c r="I35" s="35">
        <v>30</v>
      </c>
      <c r="J35" s="36"/>
      <c r="K35" s="37"/>
      <c r="L35" s="38"/>
      <c r="M35" s="39"/>
      <c r="N35" s="40"/>
      <c r="O35" s="40"/>
      <c r="P35" s="41"/>
      <c r="Q35" s="42"/>
      <c r="R35" s="42">
        <f>+VLOOKUP($C35,[1]!Tabla3[[CEDULA ]:[US$,]],9,0)</f>
        <v>0</v>
      </c>
      <c r="S35" s="43"/>
      <c r="T35" s="44"/>
      <c r="U35" s="45"/>
      <c r="V35" s="46"/>
      <c r="W35" s="47"/>
      <c r="X35" s="47"/>
      <c r="Y35" s="43"/>
      <c r="Z35" s="48"/>
      <c r="AA35" s="48"/>
      <c r="AB35" s="48"/>
      <c r="AC35" s="49"/>
      <c r="AD35" s="66"/>
      <c r="AE35" s="66"/>
      <c r="AF35" s="66"/>
      <c r="AG35" s="66"/>
      <c r="AH35" s="66"/>
      <c r="AI35" s="50"/>
      <c r="AJ35" s="51"/>
      <c r="AK35" s="52">
        <v>600201318181</v>
      </c>
      <c r="AL35" s="69"/>
    </row>
    <row r="36" spans="1:38" ht="24.6" customHeight="1" x14ac:dyDescent="0.3">
      <c r="B36" s="30">
        <f t="shared" si="0"/>
        <v>29</v>
      </c>
      <c r="C36" s="31" t="s">
        <v>90</v>
      </c>
      <c r="D36" s="31" t="s">
        <v>91</v>
      </c>
      <c r="E36" s="32">
        <v>45376</v>
      </c>
      <c r="F36" s="33" t="s">
        <v>92</v>
      </c>
      <c r="G36" s="62" t="s">
        <v>43</v>
      </c>
      <c r="H36" s="62" t="s">
        <v>44</v>
      </c>
      <c r="I36" s="35">
        <v>30</v>
      </c>
      <c r="J36" s="36"/>
      <c r="K36" s="37"/>
      <c r="L36" s="38"/>
      <c r="M36" s="39"/>
      <c r="N36" s="40"/>
      <c r="O36" s="40"/>
      <c r="P36" s="41"/>
      <c r="Q36" s="42"/>
      <c r="R36" s="42">
        <f>+VLOOKUP($C36,[1]!Tabla3[[CEDULA ]:[US$,]],9,0)</f>
        <v>0</v>
      </c>
      <c r="S36" s="43"/>
      <c r="T36" s="44"/>
      <c r="U36" s="45"/>
      <c r="V36" s="46"/>
      <c r="W36" s="47"/>
      <c r="X36" s="47"/>
      <c r="Y36" s="43"/>
      <c r="Z36" s="48"/>
      <c r="AA36" s="48"/>
      <c r="AB36" s="48"/>
      <c r="AC36" s="49"/>
      <c r="AD36" s="49"/>
      <c r="AE36" s="70"/>
      <c r="AF36" s="49"/>
      <c r="AG36" s="49"/>
      <c r="AH36" s="49"/>
      <c r="AI36" s="50"/>
      <c r="AJ36" s="51"/>
      <c r="AK36" s="52">
        <v>600101317150</v>
      </c>
      <c r="AL36" s="69"/>
    </row>
    <row r="37" spans="1:38" ht="24.6" customHeight="1" x14ac:dyDescent="0.3">
      <c r="A37" s="29"/>
      <c r="B37" s="30">
        <f t="shared" si="0"/>
        <v>30</v>
      </c>
      <c r="C37" s="31" t="s">
        <v>93</v>
      </c>
      <c r="D37" s="31" t="s">
        <v>94</v>
      </c>
      <c r="E37" s="32">
        <v>45551</v>
      </c>
      <c r="F37" s="33" t="s">
        <v>46</v>
      </c>
      <c r="G37" s="62" t="s">
        <v>47</v>
      </c>
      <c r="H37" s="62" t="s">
        <v>55</v>
      </c>
      <c r="I37" s="35">
        <v>30</v>
      </c>
      <c r="J37" s="36"/>
      <c r="K37" s="37"/>
      <c r="L37" s="38"/>
      <c r="M37" s="39"/>
      <c r="N37" s="40"/>
      <c r="O37" s="40"/>
      <c r="P37" s="41"/>
      <c r="Q37" s="42"/>
      <c r="R37" s="42">
        <f>+VLOOKUP($C37,[1]!Tabla3[[CEDULA ]:[US$,]],9,0)</f>
        <v>0</v>
      </c>
      <c r="S37" s="43"/>
      <c r="T37" s="44"/>
      <c r="U37" s="45"/>
      <c r="V37" s="46"/>
      <c r="W37" s="47"/>
      <c r="X37" s="47"/>
      <c r="Y37" s="43"/>
      <c r="Z37" s="48"/>
      <c r="AA37" s="48"/>
      <c r="AB37" s="48"/>
      <c r="AC37" s="49"/>
      <c r="AD37" s="49"/>
      <c r="AE37" s="70"/>
      <c r="AF37" s="49"/>
      <c r="AG37" s="49"/>
      <c r="AH37" s="49"/>
      <c r="AI37" s="50"/>
      <c r="AJ37" s="51"/>
      <c r="AK37" s="52">
        <v>600301318316</v>
      </c>
      <c r="AL37" s="69"/>
    </row>
    <row r="38" spans="1:38" s="72" customFormat="1" ht="24.6" customHeight="1" x14ac:dyDescent="0.3">
      <c r="A38" s="29"/>
      <c r="B38" s="30">
        <f t="shared" si="0"/>
        <v>31</v>
      </c>
      <c r="C38" s="31">
        <v>955395686</v>
      </c>
      <c r="D38" s="31" t="s">
        <v>95</v>
      </c>
      <c r="E38" s="32">
        <v>44211</v>
      </c>
      <c r="F38" s="33" t="s">
        <v>49</v>
      </c>
      <c r="G38" s="34" t="s">
        <v>47</v>
      </c>
      <c r="H38" s="34" t="s">
        <v>63</v>
      </c>
      <c r="I38" s="35">
        <v>30</v>
      </c>
      <c r="J38" s="36"/>
      <c r="K38" s="37"/>
      <c r="L38" s="38"/>
      <c r="M38" s="39"/>
      <c r="N38" s="40"/>
      <c r="O38" s="40"/>
      <c r="P38" s="41"/>
      <c r="Q38" s="42"/>
      <c r="R38" s="42">
        <f>+VLOOKUP($C38,[1]!Tabla3[[CEDULA ]:[US$,]],9,0)</f>
        <v>0</v>
      </c>
      <c r="S38" s="43"/>
      <c r="T38" s="44"/>
      <c r="U38" s="45"/>
      <c r="V38" s="46"/>
      <c r="W38" s="47"/>
      <c r="X38" s="47"/>
      <c r="Y38" s="43"/>
      <c r="Z38" s="48"/>
      <c r="AA38" s="48"/>
      <c r="AB38" s="48"/>
      <c r="AC38" s="49"/>
      <c r="AD38" s="49"/>
      <c r="AE38" s="49"/>
      <c r="AF38" s="49"/>
      <c r="AG38" s="49"/>
      <c r="AH38" s="49"/>
      <c r="AI38" s="50"/>
      <c r="AJ38" s="51"/>
      <c r="AK38" s="52">
        <v>600101012152</v>
      </c>
      <c r="AL38" s="71"/>
    </row>
    <row r="39" spans="1:38" ht="24.6" customHeight="1" x14ac:dyDescent="0.3">
      <c r="A39" s="29"/>
      <c r="B39" s="30">
        <f t="shared" si="0"/>
        <v>32</v>
      </c>
      <c r="C39" s="31">
        <v>940991987</v>
      </c>
      <c r="D39" s="31" t="s">
        <v>96</v>
      </c>
      <c r="E39" s="32">
        <v>43074</v>
      </c>
      <c r="F39" s="33" t="s">
        <v>97</v>
      </c>
      <c r="G39" s="34" t="s">
        <v>47</v>
      </c>
      <c r="H39" s="34" t="s">
        <v>44</v>
      </c>
      <c r="I39" s="35">
        <v>30</v>
      </c>
      <c r="J39" s="36"/>
      <c r="K39" s="37"/>
      <c r="L39" s="38"/>
      <c r="M39" s="39"/>
      <c r="N39" s="40"/>
      <c r="O39" s="40"/>
      <c r="P39" s="41"/>
      <c r="Q39" s="42"/>
      <c r="R39" s="42">
        <f>+VLOOKUP($C39,[1]!Tabla3[[CEDULA ]:[US$,]],9,0)</f>
        <v>0</v>
      </c>
      <c r="S39" s="43"/>
      <c r="T39" s="44"/>
      <c r="U39" s="45"/>
      <c r="V39" s="46"/>
      <c r="W39" s="47"/>
      <c r="X39" s="47"/>
      <c r="Y39" s="43"/>
      <c r="Z39" s="48"/>
      <c r="AA39" s="48"/>
      <c r="AB39" s="48"/>
      <c r="AC39" s="49"/>
      <c r="AD39" s="49"/>
      <c r="AE39" s="49"/>
      <c r="AF39" s="49"/>
      <c r="AG39" s="49"/>
      <c r="AH39" s="49"/>
      <c r="AI39" s="50"/>
      <c r="AJ39" s="51"/>
      <c r="AK39" s="52">
        <v>600101009583</v>
      </c>
      <c r="AL39" s="53"/>
    </row>
    <row r="40" spans="1:38" ht="21" customHeight="1" x14ac:dyDescent="0.3">
      <c r="B40" s="30">
        <f t="shared" si="0"/>
        <v>33</v>
      </c>
      <c r="C40" s="31">
        <v>956929277</v>
      </c>
      <c r="D40" s="31" t="s">
        <v>98</v>
      </c>
      <c r="E40" s="32">
        <v>45721</v>
      </c>
      <c r="F40" s="33" t="s">
        <v>46</v>
      </c>
      <c r="G40" s="34" t="s">
        <v>43</v>
      </c>
      <c r="H40" s="34" t="s">
        <v>44</v>
      </c>
      <c r="I40" s="35">
        <v>30</v>
      </c>
      <c r="J40" s="36"/>
      <c r="K40" s="37"/>
      <c r="L40" s="38"/>
      <c r="M40" s="39"/>
      <c r="N40" s="40"/>
      <c r="O40" s="40"/>
      <c r="P40" s="41"/>
      <c r="Q40" s="42"/>
      <c r="R40" s="42">
        <f>+VLOOKUP($C40,[1]!Tabla3[[CEDULA ]:[US$,]],9,0)</f>
        <v>0</v>
      </c>
      <c r="S40" s="43"/>
      <c r="T40" s="44"/>
      <c r="U40" s="45"/>
      <c r="V40" s="46"/>
      <c r="W40" s="46"/>
      <c r="X40" s="46"/>
      <c r="Y40" s="43"/>
      <c r="Z40" s="48"/>
      <c r="AA40" s="48"/>
      <c r="AB40" s="48"/>
      <c r="AC40" s="49"/>
      <c r="AD40" s="49"/>
      <c r="AE40" s="49"/>
      <c r="AF40" s="49"/>
      <c r="AG40" s="49"/>
      <c r="AH40" s="49"/>
      <c r="AI40" s="50"/>
      <c r="AJ40" s="51"/>
      <c r="AK40" s="52">
        <v>600201319284</v>
      </c>
      <c r="AL40" s="53"/>
    </row>
    <row r="41" spans="1:38" ht="24.6" customHeight="1" x14ac:dyDescent="0.3">
      <c r="B41" s="30">
        <f t="shared" si="0"/>
        <v>34</v>
      </c>
      <c r="C41" s="31">
        <v>951763994</v>
      </c>
      <c r="D41" s="31" t="s">
        <v>99</v>
      </c>
      <c r="E41" s="32">
        <v>45240</v>
      </c>
      <c r="F41" s="33" t="s">
        <v>81</v>
      </c>
      <c r="G41" s="34" t="s">
        <v>47</v>
      </c>
      <c r="H41" s="34" t="s">
        <v>63</v>
      </c>
      <c r="I41" s="35">
        <v>30</v>
      </c>
      <c r="J41" s="36"/>
      <c r="K41" s="37"/>
      <c r="L41" s="38"/>
      <c r="M41" s="39"/>
      <c r="N41" s="40"/>
      <c r="O41" s="40"/>
      <c r="P41" s="41"/>
      <c r="Q41" s="42"/>
      <c r="R41" s="42">
        <f>+VLOOKUP($C41,[1]!Tabla3[[CEDULA ]:[US$,]],9,0)</f>
        <v>0</v>
      </c>
      <c r="S41" s="43"/>
      <c r="T41" s="44"/>
      <c r="U41" s="45"/>
      <c r="V41" s="46"/>
      <c r="W41" s="47"/>
      <c r="X41" s="47"/>
      <c r="Y41" s="43"/>
      <c r="Z41" s="48"/>
      <c r="AA41" s="48"/>
      <c r="AB41" s="48"/>
      <c r="AC41" s="49"/>
      <c r="AD41" s="49"/>
      <c r="AE41" s="49"/>
      <c r="AF41" s="49"/>
      <c r="AG41" s="49"/>
      <c r="AH41" s="49"/>
      <c r="AI41" s="50"/>
      <c r="AJ41" s="51"/>
      <c r="AK41" s="52">
        <v>600101315986</v>
      </c>
      <c r="AL41" s="53"/>
    </row>
    <row r="42" spans="1:38" ht="24.6" customHeight="1" x14ac:dyDescent="0.3">
      <c r="B42" s="30">
        <f t="shared" si="0"/>
        <v>35</v>
      </c>
      <c r="C42" s="31">
        <v>950703199</v>
      </c>
      <c r="D42" s="31" t="s">
        <v>100</v>
      </c>
      <c r="E42" s="32">
        <v>44847</v>
      </c>
      <c r="F42" s="33" t="s">
        <v>51</v>
      </c>
      <c r="G42" s="34" t="s">
        <v>43</v>
      </c>
      <c r="H42" s="34" t="s">
        <v>44</v>
      </c>
      <c r="I42" s="35">
        <v>30</v>
      </c>
      <c r="J42" s="36"/>
      <c r="K42" s="37"/>
      <c r="L42" s="38"/>
      <c r="M42" s="39"/>
      <c r="N42" s="40"/>
      <c r="O42" s="40"/>
      <c r="P42" s="41"/>
      <c r="Q42" s="42"/>
      <c r="R42" s="42">
        <f>+VLOOKUP($C42,[1]!Tabla3[[CEDULA ]:[US$,]],9,0)</f>
        <v>0</v>
      </c>
      <c r="S42" s="43"/>
      <c r="T42" s="44"/>
      <c r="U42" s="45"/>
      <c r="V42" s="46"/>
      <c r="W42" s="47"/>
      <c r="X42" s="47"/>
      <c r="Y42" s="43"/>
      <c r="Z42" s="48"/>
      <c r="AA42" s="48"/>
      <c r="AB42" s="48"/>
      <c r="AC42" s="49"/>
      <c r="AD42" s="49"/>
      <c r="AE42" s="49"/>
      <c r="AF42" s="49"/>
      <c r="AG42" s="49"/>
      <c r="AH42" s="49"/>
      <c r="AI42" s="50"/>
      <c r="AJ42" s="51"/>
      <c r="AK42" s="52">
        <v>600101312755</v>
      </c>
      <c r="AL42" s="53"/>
    </row>
    <row r="43" spans="1:38" ht="24.6" customHeight="1" x14ac:dyDescent="0.3">
      <c r="B43" s="30">
        <f t="shared" si="0"/>
        <v>36</v>
      </c>
      <c r="C43" s="31" t="s">
        <v>101</v>
      </c>
      <c r="D43" s="31" t="s">
        <v>102</v>
      </c>
      <c r="E43" s="32">
        <v>45870</v>
      </c>
      <c r="F43" s="33" t="s">
        <v>103</v>
      </c>
      <c r="G43" s="34" t="s">
        <v>47</v>
      </c>
      <c r="H43" s="34" t="s">
        <v>44</v>
      </c>
      <c r="I43" s="35">
        <v>30</v>
      </c>
      <c r="J43" s="36"/>
      <c r="K43" s="37"/>
      <c r="L43" s="38"/>
      <c r="M43" s="39"/>
      <c r="N43" s="40"/>
      <c r="O43" s="40"/>
      <c r="P43" s="41"/>
      <c r="Q43" s="42"/>
      <c r="R43" s="42">
        <f>+VLOOKUP($C43,[1]!Tabla3[[CEDULA ]:[US$,]],9,0)</f>
        <v>0</v>
      </c>
      <c r="S43" s="43"/>
      <c r="T43" s="44"/>
      <c r="U43" s="45"/>
      <c r="V43" s="46"/>
      <c r="W43" s="47"/>
      <c r="X43" s="47"/>
      <c r="Y43" s="43"/>
      <c r="Z43" s="48"/>
      <c r="AA43" s="48"/>
      <c r="AB43" s="48"/>
      <c r="AC43" s="49"/>
      <c r="AD43" s="49"/>
      <c r="AE43" s="49"/>
      <c r="AF43" s="49"/>
      <c r="AG43" s="49"/>
      <c r="AH43" s="49"/>
      <c r="AI43" s="50"/>
      <c r="AJ43" s="51"/>
      <c r="AK43" s="52">
        <v>600101320247</v>
      </c>
      <c r="AL43" s="53"/>
    </row>
    <row r="44" spans="1:38" ht="24.6" customHeight="1" x14ac:dyDescent="0.3">
      <c r="A44" s="29"/>
      <c r="B44" s="30">
        <f t="shared" si="0"/>
        <v>37</v>
      </c>
      <c r="C44" s="31">
        <v>925830689</v>
      </c>
      <c r="D44" s="31" t="s">
        <v>104</v>
      </c>
      <c r="E44" s="32">
        <v>43678</v>
      </c>
      <c r="F44" s="33" t="s">
        <v>105</v>
      </c>
      <c r="G44" s="34" t="s">
        <v>47</v>
      </c>
      <c r="H44" s="34" t="s">
        <v>44</v>
      </c>
      <c r="I44" s="35">
        <v>30</v>
      </c>
      <c r="J44" s="36"/>
      <c r="K44" s="73"/>
      <c r="L44" s="38"/>
      <c r="M44" s="39"/>
      <c r="N44" s="40"/>
      <c r="O44" s="40"/>
      <c r="P44" s="41"/>
      <c r="Q44" s="42"/>
      <c r="R44" s="42">
        <f>+VLOOKUP($C44,[1]!Tabla3[[CEDULA ]:[US$,]],9,0)</f>
        <v>0</v>
      </c>
      <c r="S44" s="43"/>
      <c r="T44" s="44"/>
      <c r="U44" s="45"/>
      <c r="V44" s="46"/>
      <c r="W44" s="47"/>
      <c r="X44" s="47"/>
      <c r="Y44" s="43"/>
      <c r="Z44" s="48"/>
      <c r="AA44" s="48"/>
      <c r="AB44" s="48"/>
      <c r="AC44" s="49"/>
      <c r="AD44" s="49"/>
      <c r="AE44" s="49"/>
      <c r="AF44" s="49"/>
      <c r="AG44" s="49"/>
      <c r="AH44" s="49"/>
      <c r="AI44" s="50"/>
      <c r="AJ44" s="51"/>
      <c r="AK44" s="52">
        <v>600101005135</v>
      </c>
      <c r="AL44" s="53"/>
    </row>
    <row r="45" spans="1:38" ht="24.6" customHeight="1" x14ac:dyDescent="0.3">
      <c r="A45" s="29"/>
      <c r="B45" s="30">
        <f t="shared" si="0"/>
        <v>38</v>
      </c>
      <c r="C45" s="31">
        <v>944034842</v>
      </c>
      <c r="D45" s="31" t="s">
        <v>106</v>
      </c>
      <c r="E45" s="32">
        <v>45945</v>
      </c>
      <c r="F45" s="33" t="s">
        <v>46</v>
      </c>
      <c r="G45" s="34" t="s">
        <v>47</v>
      </c>
      <c r="H45" s="34" t="s">
        <v>44</v>
      </c>
      <c r="I45" s="35">
        <v>16</v>
      </c>
      <c r="J45" s="36"/>
      <c r="K45" s="73"/>
      <c r="L45" s="38"/>
      <c r="M45" s="39"/>
      <c r="N45" s="40"/>
      <c r="O45" s="40"/>
      <c r="P45" s="41"/>
      <c r="Q45" s="42"/>
      <c r="R45" s="42">
        <f>+VLOOKUP($C45,[1]!Tabla3[[CEDULA ]:[US$,]],9,0)</f>
        <v>0</v>
      </c>
      <c r="S45" s="43"/>
      <c r="T45" s="44"/>
      <c r="U45" s="45"/>
      <c r="V45" s="46"/>
      <c r="W45" s="47"/>
      <c r="X45" s="47"/>
      <c r="Y45" s="43"/>
      <c r="Z45" s="48"/>
      <c r="AA45" s="48"/>
      <c r="AB45" s="48"/>
      <c r="AC45" s="49"/>
      <c r="AD45" s="49"/>
      <c r="AE45" s="49"/>
      <c r="AF45" s="49"/>
      <c r="AG45" s="49"/>
      <c r="AH45" s="49"/>
      <c r="AI45" s="50"/>
      <c r="AJ45" s="51"/>
      <c r="AK45" s="52"/>
      <c r="AL45" s="53"/>
    </row>
    <row r="46" spans="1:38" ht="24.6" customHeight="1" x14ac:dyDescent="0.3">
      <c r="A46" s="29"/>
      <c r="B46" s="30">
        <f t="shared" si="0"/>
        <v>39</v>
      </c>
      <c r="C46" s="31">
        <v>951340702</v>
      </c>
      <c r="D46" s="31" t="s">
        <v>107</v>
      </c>
      <c r="E46" s="32">
        <v>44579</v>
      </c>
      <c r="F46" s="33" t="s">
        <v>108</v>
      </c>
      <c r="G46" s="34" t="s">
        <v>43</v>
      </c>
      <c r="H46" s="34" t="s">
        <v>44</v>
      </c>
      <c r="I46" s="35">
        <v>30</v>
      </c>
      <c r="J46" s="36"/>
      <c r="K46" s="37"/>
      <c r="L46" s="38"/>
      <c r="M46" s="39"/>
      <c r="N46" s="40"/>
      <c r="O46" s="40"/>
      <c r="P46" s="41"/>
      <c r="Q46" s="42"/>
      <c r="R46" s="42">
        <f>+VLOOKUP($C46,[1]!Tabla3[[CEDULA ]:[US$,]],9,0)</f>
        <v>0</v>
      </c>
      <c r="S46" s="43"/>
      <c r="T46" s="44"/>
      <c r="U46" s="45"/>
      <c r="V46" s="46"/>
      <c r="W46" s="47"/>
      <c r="X46" s="47"/>
      <c r="Y46" s="43"/>
      <c r="Z46" s="48"/>
      <c r="AA46" s="48"/>
      <c r="AB46" s="48"/>
      <c r="AC46" s="49"/>
      <c r="AD46" s="49"/>
      <c r="AE46" s="49"/>
      <c r="AF46" s="49"/>
      <c r="AG46" s="49"/>
      <c r="AH46" s="49"/>
      <c r="AI46" s="50"/>
      <c r="AJ46" s="51"/>
      <c r="AK46" s="52">
        <v>600101310821</v>
      </c>
      <c r="AL46" s="53"/>
    </row>
    <row r="47" spans="1:38" ht="24.6" customHeight="1" x14ac:dyDescent="0.3">
      <c r="A47" s="29"/>
      <c r="B47" s="30">
        <f t="shared" si="0"/>
        <v>40</v>
      </c>
      <c r="C47" s="31">
        <v>650112949</v>
      </c>
      <c r="D47" s="31" t="s">
        <v>109</v>
      </c>
      <c r="E47" s="32">
        <v>44929</v>
      </c>
      <c r="F47" s="33" t="s">
        <v>51</v>
      </c>
      <c r="G47" s="34" t="s">
        <v>47</v>
      </c>
      <c r="H47" s="34" t="s">
        <v>63</v>
      </c>
      <c r="I47" s="35">
        <v>30</v>
      </c>
      <c r="J47" s="36"/>
      <c r="K47" s="37"/>
      <c r="L47" s="38"/>
      <c r="M47" s="39"/>
      <c r="N47" s="40"/>
      <c r="O47" s="40"/>
      <c r="P47" s="41"/>
      <c r="Q47" s="42"/>
      <c r="R47" s="42">
        <f>+VLOOKUP($C47,[1]!Tabla3[[CEDULA ]:[US$,]],9,0)</f>
        <v>0</v>
      </c>
      <c r="S47" s="43"/>
      <c r="T47" s="44"/>
      <c r="U47" s="45"/>
      <c r="V47" s="46"/>
      <c r="W47" s="47"/>
      <c r="X47" s="47"/>
      <c r="Y47" s="43"/>
      <c r="Z47" s="48"/>
      <c r="AA47" s="48"/>
      <c r="AB47" s="48"/>
      <c r="AC47" s="49"/>
      <c r="AD47" s="49"/>
      <c r="AE47" s="49"/>
      <c r="AF47" s="49"/>
      <c r="AG47" s="49"/>
      <c r="AH47" s="49"/>
      <c r="AI47" s="50"/>
      <c r="AJ47" s="51"/>
      <c r="AK47" s="52">
        <v>600201313418</v>
      </c>
      <c r="AL47" s="53"/>
    </row>
    <row r="48" spans="1:38" ht="24.6" customHeight="1" x14ac:dyDescent="0.3">
      <c r="B48" s="30">
        <f t="shared" si="0"/>
        <v>41</v>
      </c>
      <c r="C48" s="31">
        <v>924232804</v>
      </c>
      <c r="D48" s="31" t="s">
        <v>110</v>
      </c>
      <c r="E48" s="32">
        <v>44532</v>
      </c>
      <c r="F48" s="33" t="s">
        <v>111</v>
      </c>
      <c r="G48" s="34" t="s">
        <v>43</v>
      </c>
      <c r="H48" s="34" t="s">
        <v>44</v>
      </c>
      <c r="I48" s="35">
        <v>30</v>
      </c>
      <c r="J48" s="36"/>
      <c r="K48" s="37"/>
      <c r="L48" s="38"/>
      <c r="M48" s="39"/>
      <c r="N48" s="40"/>
      <c r="O48" s="40"/>
      <c r="P48" s="41"/>
      <c r="Q48" s="42"/>
      <c r="R48" s="42">
        <f>+VLOOKUP($C48,[1]!Tabla3[[CEDULA ]:[US$,]],9,0)</f>
        <v>0</v>
      </c>
      <c r="S48" s="43"/>
      <c r="T48" s="44"/>
      <c r="U48" s="45"/>
      <c r="V48" s="46"/>
      <c r="W48" s="47"/>
      <c r="X48" s="47"/>
      <c r="Y48" s="43"/>
      <c r="Z48" s="48"/>
      <c r="AA48" s="48"/>
      <c r="AB48" s="48"/>
      <c r="AC48" s="49"/>
      <c r="AD48" s="49"/>
      <c r="AE48" s="49"/>
      <c r="AF48" s="49"/>
      <c r="AG48" s="49"/>
      <c r="AH48" s="49"/>
      <c r="AI48" s="50"/>
      <c r="AJ48" s="51"/>
      <c r="AK48" s="52">
        <v>600101310624</v>
      </c>
      <c r="AL48" s="53"/>
    </row>
    <row r="49" spans="1:38" ht="24.6" customHeight="1" x14ac:dyDescent="0.3">
      <c r="B49" s="30">
        <f t="shared" si="0"/>
        <v>42</v>
      </c>
      <c r="C49" s="31">
        <v>605031145</v>
      </c>
      <c r="D49" s="31" t="s">
        <v>112</v>
      </c>
      <c r="E49" s="32">
        <v>45066</v>
      </c>
      <c r="F49" s="33" t="s">
        <v>49</v>
      </c>
      <c r="G49" s="34" t="s">
        <v>43</v>
      </c>
      <c r="H49" s="34" t="s">
        <v>55</v>
      </c>
      <c r="I49" s="35">
        <v>30</v>
      </c>
      <c r="J49" s="36"/>
      <c r="K49" s="37"/>
      <c r="L49" s="38"/>
      <c r="M49" s="39"/>
      <c r="N49" s="40"/>
      <c r="O49" s="40"/>
      <c r="P49" s="41"/>
      <c r="Q49" s="42"/>
      <c r="R49" s="42">
        <f>+VLOOKUP($C49,[1]!Tabla3[[CEDULA ]:[US$,]],9,0)</f>
        <v>0</v>
      </c>
      <c r="S49" s="43"/>
      <c r="T49" s="44"/>
      <c r="U49" s="45"/>
      <c r="V49" s="46"/>
      <c r="W49" s="47"/>
      <c r="X49" s="47"/>
      <c r="Y49" s="43"/>
      <c r="Z49" s="48"/>
      <c r="AA49" s="48"/>
      <c r="AB49" s="48"/>
      <c r="AC49" s="49"/>
      <c r="AD49" s="49"/>
      <c r="AE49" s="49"/>
      <c r="AF49" s="49"/>
      <c r="AG49" s="49"/>
      <c r="AH49" s="49"/>
      <c r="AI49" s="50"/>
      <c r="AJ49" s="51"/>
      <c r="AK49" s="52">
        <v>600301314632</v>
      </c>
      <c r="AL49" s="53"/>
    </row>
    <row r="50" spans="1:38" ht="24.6" customHeight="1" x14ac:dyDescent="0.3">
      <c r="B50" s="30">
        <f t="shared" si="0"/>
        <v>43</v>
      </c>
      <c r="C50" s="31">
        <v>927257576</v>
      </c>
      <c r="D50" s="31" t="s">
        <v>113</v>
      </c>
      <c r="E50" s="32">
        <v>44139</v>
      </c>
      <c r="F50" s="33" t="s">
        <v>105</v>
      </c>
      <c r="G50" s="34" t="s">
        <v>43</v>
      </c>
      <c r="H50" s="34" t="s">
        <v>63</v>
      </c>
      <c r="I50" s="35">
        <v>30</v>
      </c>
      <c r="J50" s="36"/>
      <c r="K50" s="73"/>
      <c r="L50" s="38"/>
      <c r="M50" s="39"/>
      <c r="N50" s="40"/>
      <c r="O50" s="40"/>
      <c r="P50" s="41"/>
      <c r="Q50" s="42"/>
      <c r="R50" s="42">
        <f>+VLOOKUP($C50,[1]!Tabla3[[CEDULA ]:[US$,]],9,0)</f>
        <v>0</v>
      </c>
      <c r="S50" s="43"/>
      <c r="T50" s="44"/>
      <c r="U50" s="45"/>
      <c r="V50" s="46"/>
      <c r="W50" s="47"/>
      <c r="X50" s="47"/>
      <c r="Y50" s="43"/>
      <c r="Z50" s="48"/>
      <c r="AA50" s="48"/>
      <c r="AB50" s="48"/>
      <c r="AC50" s="49"/>
      <c r="AD50" s="49"/>
      <c r="AE50" s="70"/>
      <c r="AF50" s="49"/>
      <c r="AG50" s="49"/>
      <c r="AH50" s="49"/>
      <c r="AI50" s="50"/>
      <c r="AJ50" s="51"/>
      <c r="AK50" s="52">
        <v>600101012010</v>
      </c>
      <c r="AL50" s="53"/>
    </row>
    <row r="51" spans="1:38" ht="24.6" customHeight="1" x14ac:dyDescent="0.3">
      <c r="A51" s="29"/>
      <c r="B51" s="30">
        <f t="shared" si="0"/>
        <v>44</v>
      </c>
      <c r="C51" s="31">
        <v>928901800</v>
      </c>
      <c r="D51" s="31" t="s">
        <v>114</v>
      </c>
      <c r="E51" s="32">
        <v>42856</v>
      </c>
      <c r="F51" s="33" t="s">
        <v>115</v>
      </c>
      <c r="G51" s="34" t="s">
        <v>43</v>
      </c>
      <c r="H51" s="34" t="s">
        <v>44</v>
      </c>
      <c r="I51" s="35">
        <v>30</v>
      </c>
      <c r="J51" s="36"/>
      <c r="K51" s="37"/>
      <c r="L51" s="38"/>
      <c r="M51" s="39"/>
      <c r="N51" s="40"/>
      <c r="O51" s="40"/>
      <c r="P51" s="41"/>
      <c r="Q51" s="42"/>
      <c r="R51" s="42">
        <f>+VLOOKUP($C51,[1]!Tabla3[[CEDULA ]:[US$,]],9,0)</f>
        <v>0</v>
      </c>
      <c r="S51" s="43"/>
      <c r="T51" s="44"/>
      <c r="U51" s="45"/>
      <c r="V51" s="46"/>
      <c r="W51" s="47"/>
      <c r="X51" s="47"/>
      <c r="Y51" s="43"/>
      <c r="Z51" s="48"/>
      <c r="AA51" s="48"/>
      <c r="AB51" s="48"/>
      <c r="AC51" s="49"/>
      <c r="AD51" s="49"/>
      <c r="AE51" s="49"/>
      <c r="AF51" s="64"/>
      <c r="AG51" s="49"/>
      <c r="AH51" s="49"/>
      <c r="AI51" s="50"/>
      <c r="AJ51" s="51"/>
      <c r="AK51" s="52">
        <v>600101008569</v>
      </c>
      <c r="AL51" s="53"/>
    </row>
    <row r="52" spans="1:38" ht="24.6" customHeight="1" x14ac:dyDescent="0.3">
      <c r="A52" s="29"/>
      <c r="B52" s="30">
        <f t="shared" si="0"/>
        <v>45</v>
      </c>
      <c r="C52" s="31">
        <v>951315746</v>
      </c>
      <c r="D52" s="31" t="s">
        <v>116</v>
      </c>
      <c r="E52" s="74">
        <v>44837</v>
      </c>
      <c r="F52" s="33" t="s">
        <v>49</v>
      </c>
      <c r="G52" s="62" t="s">
        <v>47</v>
      </c>
      <c r="H52" s="62" t="s">
        <v>44</v>
      </c>
      <c r="I52" s="75">
        <v>30</v>
      </c>
      <c r="J52" s="76"/>
      <c r="K52" s="37"/>
      <c r="L52" s="38"/>
      <c r="M52" s="39"/>
      <c r="N52" s="40"/>
      <c r="O52" s="40"/>
      <c r="P52" s="41"/>
      <c r="Q52" s="42"/>
      <c r="R52" s="42">
        <f>+VLOOKUP($C52,[1]!Tabla3[[CEDULA ]:[US$,]],9,0)</f>
        <v>0</v>
      </c>
      <c r="S52" s="43"/>
      <c r="T52" s="44"/>
      <c r="U52" s="45"/>
      <c r="V52" s="46"/>
      <c r="W52" s="47"/>
      <c r="X52" s="47"/>
      <c r="Y52" s="43"/>
      <c r="Z52" s="48"/>
      <c r="AA52" s="48"/>
      <c r="AB52" s="48"/>
      <c r="AC52" s="49"/>
      <c r="AD52" s="49"/>
      <c r="AE52" s="49"/>
      <c r="AF52" s="49"/>
      <c r="AG52" s="49"/>
      <c r="AH52" s="49"/>
      <c r="AI52" s="50"/>
      <c r="AJ52" s="51"/>
      <c r="AK52" s="52">
        <v>600201312646</v>
      </c>
      <c r="AL52" s="53"/>
    </row>
    <row r="53" spans="1:38" ht="24.6" customHeight="1" x14ac:dyDescent="0.3">
      <c r="A53" s="29"/>
      <c r="B53" s="30">
        <f t="shared" si="0"/>
        <v>46</v>
      </c>
      <c r="C53" s="31">
        <v>954184321</v>
      </c>
      <c r="D53" s="31" t="s">
        <v>117</v>
      </c>
      <c r="E53" s="32">
        <v>44378</v>
      </c>
      <c r="F53" s="33" t="s">
        <v>51</v>
      </c>
      <c r="G53" s="34" t="s">
        <v>43</v>
      </c>
      <c r="H53" s="34" t="s">
        <v>44</v>
      </c>
      <c r="I53" s="35">
        <v>30</v>
      </c>
      <c r="J53" s="36"/>
      <c r="K53" s="37"/>
      <c r="L53" s="38"/>
      <c r="M53" s="39"/>
      <c r="N53" s="40"/>
      <c r="O53" s="40"/>
      <c r="P53" s="41"/>
      <c r="Q53" s="42"/>
      <c r="R53" s="42">
        <f>+VLOOKUP($C53,[1]!Tabla3[[CEDULA ]:[US$,]],9,0)</f>
        <v>0</v>
      </c>
      <c r="S53" s="43"/>
      <c r="T53" s="44"/>
      <c r="U53" s="45"/>
      <c r="V53" s="46"/>
      <c r="W53" s="47"/>
      <c r="X53" s="47"/>
      <c r="Y53" s="43"/>
      <c r="Z53" s="48"/>
      <c r="AA53" s="48"/>
      <c r="AB53" s="48"/>
      <c r="AC53" s="49"/>
      <c r="AD53" s="49"/>
      <c r="AE53" s="49"/>
      <c r="AF53" s="49"/>
      <c r="AG53" s="49"/>
      <c r="AH53" s="49"/>
      <c r="AI53" s="50"/>
      <c r="AJ53" s="51"/>
      <c r="AK53" s="52">
        <v>600101008248</v>
      </c>
      <c r="AL53" s="53"/>
    </row>
    <row r="54" spans="1:38" ht="24.6" customHeight="1" x14ac:dyDescent="0.3">
      <c r="B54" s="30">
        <f t="shared" si="0"/>
        <v>47</v>
      </c>
      <c r="C54" s="31">
        <v>922034772</v>
      </c>
      <c r="D54" s="31" t="s">
        <v>118</v>
      </c>
      <c r="E54" s="32">
        <v>44110</v>
      </c>
      <c r="F54" s="33" t="s">
        <v>81</v>
      </c>
      <c r="G54" s="34" t="s">
        <v>47</v>
      </c>
      <c r="H54" s="34" t="s">
        <v>44</v>
      </c>
      <c r="I54" s="35">
        <v>30</v>
      </c>
      <c r="J54" s="36"/>
      <c r="K54" s="37"/>
      <c r="L54" s="38"/>
      <c r="M54" s="39"/>
      <c r="N54" s="40"/>
      <c r="O54" s="40"/>
      <c r="P54" s="41"/>
      <c r="Q54" s="42"/>
      <c r="R54" s="42">
        <f>+VLOOKUP($C54,[1]!Tabla3[[CEDULA ]:[US$,]],9,0)</f>
        <v>0</v>
      </c>
      <c r="S54" s="43"/>
      <c r="T54" s="44"/>
      <c r="U54" s="45"/>
      <c r="V54" s="46"/>
      <c r="W54" s="47"/>
      <c r="X54" s="47"/>
      <c r="Y54" s="43"/>
      <c r="Z54" s="48"/>
      <c r="AA54" s="48"/>
      <c r="AB54" s="48"/>
      <c r="AC54" s="49"/>
      <c r="AD54" s="49"/>
      <c r="AE54" s="49"/>
      <c r="AF54" s="49"/>
      <c r="AG54" s="49"/>
      <c r="AH54" s="49"/>
      <c r="AI54" s="50"/>
      <c r="AJ54" s="51"/>
      <c r="AK54" s="52">
        <v>600101011966</v>
      </c>
      <c r="AL54" s="53"/>
    </row>
    <row r="55" spans="1:38" ht="24.6" customHeight="1" x14ac:dyDescent="0.3">
      <c r="B55" s="30">
        <f t="shared" si="0"/>
        <v>48</v>
      </c>
      <c r="C55" s="31">
        <v>923837991</v>
      </c>
      <c r="D55" s="31" t="s">
        <v>119</v>
      </c>
      <c r="E55" s="32">
        <v>41426</v>
      </c>
      <c r="F55" s="33" t="s">
        <v>120</v>
      </c>
      <c r="G55" s="34" t="s">
        <v>47</v>
      </c>
      <c r="H55" s="34" t="s">
        <v>44</v>
      </c>
      <c r="I55" s="35">
        <v>30</v>
      </c>
      <c r="J55" s="36"/>
      <c r="K55" s="37"/>
      <c r="L55" s="38"/>
      <c r="M55" s="39"/>
      <c r="N55" s="40"/>
      <c r="O55" s="40"/>
      <c r="P55" s="41"/>
      <c r="Q55" s="42"/>
      <c r="R55" s="42">
        <f>+VLOOKUP($C55,[1]!Tabla3[[CEDULA ]:[US$,]],9,0)</f>
        <v>0</v>
      </c>
      <c r="S55" s="43"/>
      <c r="T55" s="44"/>
      <c r="U55" s="45"/>
      <c r="V55" s="46"/>
      <c r="W55" s="47"/>
      <c r="X55" s="47"/>
      <c r="Y55" s="43"/>
      <c r="Z55" s="48"/>
      <c r="AA55" s="48"/>
      <c r="AB55" s="48"/>
      <c r="AC55" s="49"/>
      <c r="AD55" s="49"/>
      <c r="AE55" s="49"/>
      <c r="AF55" s="49"/>
      <c r="AG55" s="49"/>
      <c r="AH55" s="49"/>
      <c r="AI55" s="50"/>
      <c r="AJ55" s="51"/>
      <c r="AK55" s="52">
        <v>600101004961</v>
      </c>
      <c r="AL55" s="53"/>
    </row>
    <row r="56" spans="1:38" ht="24.6" customHeight="1" x14ac:dyDescent="0.3">
      <c r="B56" s="30">
        <f t="shared" si="0"/>
        <v>49</v>
      </c>
      <c r="C56" s="31">
        <v>941508905</v>
      </c>
      <c r="D56" s="31" t="s">
        <v>121</v>
      </c>
      <c r="E56" s="32">
        <v>43567</v>
      </c>
      <c r="F56" s="33" t="s">
        <v>51</v>
      </c>
      <c r="G56" s="34" t="s">
        <v>43</v>
      </c>
      <c r="H56" s="34" t="s">
        <v>44</v>
      </c>
      <c r="I56" s="35">
        <v>30</v>
      </c>
      <c r="J56" s="36"/>
      <c r="K56" s="37"/>
      <c r="L56" s="38"/>
      <c r="M56" s="39"/>
      <c r="N56" s="40"/>
      <c r="O56" s="40"/>
      <c r="P56" s="41"/>
      <c r="Q56" s="42"/>
      <c r="R56" s="42">
        <f>+VLOOKUP($C56,[1]!Tabla3[[CEDULA ]:[US$,]],9,0)</f>
        <v>0</v>
      </c>
      <c r="S56" s="43"/>
      <c r="T56" s="44"/>
      <c r="U56" s="45"/>
      <c r="V56" s="46"/>
      <c r="W56" s="47"/>
      <c r="X56" s="47"/>
      <c r="Y56" s="43"/>
      <c r="Z56" s="48"/>
      <c r="AA56" s="48"/>
      <c r="AB56" s="48"/>
      <c r="AC56" s="49"/>
      <c r="AD56" s="49"/>
      <c r="AE56" s="49"/>
      <c r="AF56" s="49"/>
      <c r="AG56" s="49"/>
      <c r="AH56" s="49"/>
      <c r="AI56" s="50"/>
      <c r="AJ56" s="51"/>
      <c r="AK56" s="52">
        <v>600101008981</v>
      </c>
      <c r="AL56" s="53"/>
    </row>
    <row r="57" spans="1:38" ht="24.6" customHeight="1" x14ac:dyDescent="0.3">
      <c r="A57" s="29"/>
      <c r="B57" s="30">
        <f t="shared" si="0"/>
        <v>50</v>
      </c>
      <c r="C57" s="31">
        <v>604154575</v>
      </c>
      <c r="D57" s="31" t="s">
        <v>122</v>
      </c>
      <c r="E57" s="32">
        <v>43379</v>
      </c>
      <c r="F57" s="33" t="s">
        <v>105</v>
      </c>
      <c r="G57" s="34" t="s">
        <v>43</v>
      </c>
      <c r="H57" s="34" t="s">
        <v>55</v>
      </c>
      <c r="I57" s="35">
        <v>30</v>
      </c>
      <c r="J57" s="36"/>
      <c r="K57" s="37"/>
      <c r="L57" s="38"/>
      <c r="M57" s="39"/>
      <c r="N57" s="40"/>
      <c r="O57" s="40"/>
      <c r="P57" s="41"/>
      <c r="Q57" s="42"/>
      <c r="R57" s="42">
        <f>+VLOOKUP($C57,[1]!Tabla3[[CEDULA ]:[US$,]],9,0)</f>
        <v>0</v>
      </c>
      <c r="S57" s="43"/>
      <c r="T57" s="44"/>
      <c r="U57" s="45"/>
      <c r="V57" s="46"/>
      <c r="W57" s="47"/>
      <c r="X57" s="47"/>
      <c r="Y57" s="43"/>
      <c r="Z57" s="48"/>
      <c r="AA57" s="48"/>
      <c r="AB57" s="48"/>
      <c r="AC57" s="49"/>
      <c r="AD57" s="49"/>
      <c r="AE57" s="49"/>
      <c r="AF57" s="49"/>
      <c r="AG57" s="49"/>
      <c r="AH57" s="49"/>
      <c r="AI57" s="50"/>
      <c r="AJ57" s="51"/>
      <c r="AK57" s="77">
        <v>600101003932</v>
      </c>
      <c r="AL57" s="53"/>
    </row>
    <row r="58" spans="1:38" ht="22.2" customHeight="1" x14ac:dyDescent="0.3">
      <c r="B58" s="78"/>
      <c r="C58" s="79"/>
      <c r="D58" s="80" t="s">
        <v>123</v>
      </c>
      <c r="E58" s="81"/>
      <c r="F58" s="82"/>
      <c r="G58" s="83"/>
      <c r="H58" s="83"/>
      <c r="I58" s="84"/>
      <c r="J58" s="85">
        <f t="shared" ref="J58:X58" si="1">SUBTOTAL(9,J8:J57)</f>
        <v>0</v>
      </c>
      <c r="K58" s="85">
        <f t="shared" si="1"/>
        <v>0</v>
      </c>
      <c r="L58" s="85">
        <f t="shared" si="1"/>
        <v>0</v>
      </c>
      <c r="M58" s="85">
        <f t="shared" si="1"/>
        <v>0</v>
      </c>
      <c r="N58" s="85">
        <f t="shared" si="1"/>
        <v>0</v>
      </c>
      <c r="O58" s="85">
        <f t="shared" si="1"/>
        <v>0</v>
      </c>
      <c r="P58" s="85">
        <f t="shared" si="1"/>
        <v>0</v>
      </c>
      <c r="Q58" s="85">
        <f t="shared" si="1"/>
        <v>0</v>
      </c>
      <c r="R58" s="85">
        <f t="shared" si="1"/>
        <v>0</v>
      </c>
      <c r="S58" s="86">
        <f t="shared" si="1"/>
        <v>0</v>
      </c>
      <c r="T58" s="86">
        <f t="shared" si="1"/>
        <v>0</v>
      </c>
      <c r="U58" s="87">
        <f t="shared" si="1"/>
        <v>0</v>
      </c>
      <c r="V58" s="87">
        <f t="shared" si="1"/>
        <v>0</v>
      </c>
      <c r="W58" s="86">
        <f t="shared" si="1"/>
        <v>0</v>
      </c>
      <c r="X58" s="86">
        <f t="shared" si="1"/>
        <v>0</v>
      </c>
      <c r="Y58" s="86">
        <f>SUBTOTAL(9,Y8:Y57)</f>
        <v>0</v>
      </c>
      <c r="Z58" s="86">
        <f>T58*9.45%</f>
        <v>0</v>
      </c>
      <c r="AA58" s="86">
        <f>+SUBTOTAL(9,AA8:AA57)</f>
        <v>0</v>
      </c>
      <c r="AB58" s="86">
        <f t="shared" ref="AB58:AJ58" si="2">SUBTOTAL(9,AB8:AB57)</f>
        <v>0</v>
      </c>
      <c r="AC58" s="86">
        <f t="shared" si="2"/>
        <v>0</v>
      </c>
      <c r="AD58" s="87">
        <f t="shared" si="2"/>
        <v>0</v>
      </c>
      <c r="AE58" s="86">
        <f>SUBTOTAL(9,AE8:AE57)</f>
        <v>0</v>
      </c>
      <c r="AF58" s="86">
        <f t="shared" si="2"/>
        <v>0</v>
      </c>
      <c r="AG58" s="86">
        <f t="shared" si="2"/>
        <v>0</v>
      </c>
      <c r="AH58" s="86">
        <f t="shared" si="2"/>
        <v>0</v>
      </c>
      <c r="AI58" s="86">
        <f t="shared" si="2"/>
        <v>0</v>
      </c>
      <c r="AJ58" s="88">
        <f t="shared" si="2"/>
        <v>0</v>
      </c>
      <c r="AK58" s="65"/>
      <c r="AL58" s="53"/>
    </row>
    <row r="59" spans="1:38" x14ac:dyDescent="0.3">
      <c r="D59" s="89"/>
      <c r="E59" s="90"/>
      <c r="F59" s="91"/>
      <c r="G59" s="92"/>
      <c r="H59" s="93"/>
      <c r="I59" s="92"/>
      <c r="J59" s="94"/>
      <c r="K59" s="94"/>
      <c r="L59" s="94"/>
      <c r="M59" s="95"/>
      <c r="N59" s="94"/>
      <c r="O59" s="94"/>
      <c r="P59" s="94"/>
      <c r="Q59" s="94"/>
      <c r="R59" s="94"/>
      <c r="S59" s="94"/>
      <c r="T59" s="94"/>
      <c r="U59" s="96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7"/>
      <c r="AK59" s="97"/>
      <c r="AL59" s="97"/>
    </row>
    <row r="60" spans="1:38" x14ac:dyDescent="0.3">
      <c r="J60" s="98">
        <v>45010505</v>
      </c>
      <c r="K60" s="189">
        <v>45019005</v>
      </c>
      <c r="L60" s="189"/>
      <c r="M60" s="189"/>
      <c r="N60" s="189"/>
      <c r="O60" s="189"/>
      <c r="P60" s="189"/>
      <c r="Q60" s="189">
        <v>45019015</v>
      </c>
      <c r="R60" s="189"/>
      <c r="S60" s="98"/>
      <c r="T60" s="98"/>
      <c r="U60" s="98">
        <v>450135</v>
      </c>
      <c r="V60" s="98"/>
      <c r="W60" s="98">
        <v>45011005</v>
      </c>
      <c r="X60" s="98">
        <v>45011010</v>
      </c>
      <c r="Y60" s="98"/>
      <c r="Z60" s="98">
        <v>25031505</v>
      </c>
      <c r="AA60" s="98">
        <v>25040505</v>
      </c>
      <c r="AB60" s="98"/>
      <c r="AC60" s="99">
        <v>25039001</v>
      </c>
      <c r="AD60" s="98">
        <v>45010505</v>
      </c>
      <c r="AE60" s="98">
        <v>25039002</v>
      </c>
      <c r="AF60" s="98">
        <v>25039003</v>
      </c>
      <c r="AG60" s="100">
        <v>16909005</v>
      </c>
      <c r="AH60" s="98">
        <v>169005</v>
      </c>
      <c r="AI60" s="98"/>
      <c r="AJ60" s="101">
        <v>250305</v>
      </c>
    </row>
    <row r="61" spans="1:38" x14ac:dyDescent="0.3">
      <c r="M61" s="103"/>
      <c r="R61" s="104"/>
    </row>
    <row r="62" spans="1:38" x14ac:dyDescent="0.3">
      <c r="R62" s="104"/>
      <c r="Y62" s="104"/>
      <c r="AG62" s="104"/>
      <c r="AK62" s="105"/>
    </row>
    <row r="63" spans="1:38" x14ac:dyDescent="0.3">
      <c r="I63" s="104"/>
      <c r="J63" s="104"/>
      <c r="K63" s="106"/>
      <c r="L63" s="106"/>
      <c r="M63" s="107"/>
      <c r="N63" s="106"/>
      <c r="O63" s="106"/>
      <c r="P63" s="106"/>
      <c r="Q63" s="106"/>
      <c r="R63" s="106"/>
      <c r="S63" s="106"/>
      <c r="T63" s="106"/>
      <c r="U63" s="108"/>
      <c r="V63" s="106"/>
      <c r="AF63" s="104"/>
    </row>
    <row r="64" spans="1:38" ht="10.95" customHeight="1" x14ac:dyDescent="0.3">
      <c r="J64" s="104"/>
      <c r="N64" s="104"/>
      <c r="R64" s="104"/>
    </row>
    <row r="65" spans="2:38" ht="10.95" customHeight="1" x14ac:dyDescent="0.3">
      <c r="K65" s="104"/>
      <c r="L65" s="104"/>
      <c r="R65" s="104"/>
    </row>
    <row r="66" spans="2:38" s="113" customFormat="1" x14ac:dyDescent="0.3">
      <c r="C66" s="109"/>
      <c r="D66" s="110"/>
      <c r="E66" s="111"/>
      <c r="F66" s="112"/>
      <c r="H66" s="114"/>
      <c r="J66" s="115"/>
      <c r="K66" s="116"/>
      <c r="L66" s="116"/>
      <c r="M66" s="117"/>
      <c r="U66" s="118"/>
      <c r="AJ66" s="119"/>
      <c r="AL66" s="119"/>
    </row>
    <row r="67" spans="2:38" ht="71.400000000000006" customHeight="1" x14ac:dyDescent="0.3">
      <c r="B67" s="121"/>
      <c r="C67" s="121"/>
      <c r="D67" s="122"/>
      <c r="E67" s="123"/>
      <c r="F67" s="124"/>
      <c r="G67" s="121"/>
      <c r="H67" s="125"/>
      <c r="I67" s="121"/>
      <c r="J67" s="121"/>
      <c r="K67" s="121"/>
      <c r="L67" s="121"/>
      <c r="M67" s="126"/>
      <c r="N67" s="121"/>
      <c r="O67" s="121"/>
      <c r="P67" s="121"/>
      <c r="Q67" s="121"/>
      <c r="R67" s="121"/>
      <c r="S67" s="121"/>
      <c r="T67" s="121"/>
      <c r="U67" s="127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8"/>
      <c r="AK67" s="121"/>
      <c r="AL67" s="128"/>
    </row>
    <row r="68" spans="2:38" x14ac:dyDescent="0.3">
      <c r="B68" s="121"/>
      <c r="C68" s="121"/>
      <c r="D68" s="129"/>
      <c r="E68" s="130"/>
      <c r="F68" s="131"/>
      <c r="G68" s="132"/>
      <c r="H68" s="133"/>
      <c r="I68" s="134"/>
      <c r="J68" s="134"/>
      <c r="K68" s="134"/>
      <c r="L68" s="134"/>
      <c r="M68" s="135"/>
      <c r="N68" s="134"/>
      <c r="O68" s="134"/>
      <c r="P68" s="134"/>
      <c r="Q68" s="134"/>
      <c r="R68" s="134"/>
      <c r="S68" s="136"/>
      <c r="T68" s="134"/>
      <c r="U68" s="137"/>
      <c r="V68" s="137"/>
      <c r="W68" s="137"/>
      <c r="X68" s="136"/>
      <c r="Y68" s="136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8"/>
      <c r="AK68" s="121"/>
      <c r="AL68" s="128"/>
    </row>
    <row r="69" spans="2:38" s="120" customFormat="1" ht="15.6" x14ac:dyDescent="0.3">
      <c r="B69" s="138"/>
      <c r="C69" s="138"/>
      <c r="D69" s="139"/>
      <c r="E69" s="140"/>
      <c r="F69" s="141"/>
      <c r="G69" s="142"/>
      <c r="H69" s="143"/>
      <c r="I69" s="186"/>
      <c r="J69" s="186"/>
      <c r="K69" s="186"/>
      <c r="L69" s="186"/>
      <c r="M69" s="186"/>
      <c r="N69" s="186"/>
      <c r="O69" s="186"/>
      <c r="P69" s="186"/>
      <c r="Q69" s="144"/>
      <c r="R69" s="144"/>
      <c r="S69" s="144"/>
      <c r="T69" s="186"/>
      <c r="U69" s="186"/>
      <c r="V69" s="186"/>
      <c r="W69" s="186"/>
      <c r="X69" s="186"/>
      <c r="Y69" s="186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45"/>
      <c r="AK69" s="138"/>
      <c r="AL69" s="145"/>
    </row>
    <row r="70" spans="2:38" s="120" customFormat="1" ht="15.6" x14ac:dyDescent="0.3">
      <c r="B70" s="138"/>
      <c r="C70" s="138"/>
      <c r="D70" s="139"/>
      <c r="E70" s="140"/>
      <c r="F70" s="141"/>
      <c r="G70" s="146"/>
      <c r="H70" s="143"/>
      <c r="I70" s="186"/>
      <c r="J70" s="186"/>
      <c r="K70" s="186"/>
      <c r="L70" s="186"/>
      <c r="M70" s="186"/>
      <c r="N70" s="186"/>
      <c r="O70" s="186"/>
      <c r="P70" s="186"/>
      <c r="Q70" s="144"/>
      <c r="R70" s="144"/>
      <c r="S70" s="144"/>
      <c r="T70" s="187"/>
      <c r="U70" s="187"/>
      <c r="V70" s="187"/>
      <c r="W70" s="187"/>
      <c r="X70" s="187"/>
      <c r="Y70" s="187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45"/>
      <c r="AK70" s="138"/>
      <c r="AL70" s="145"/>
    </row>
    <row r="71" spans="2:38" x14ac:dyDescent="0.3">
      <c r="B71" s="121"/>
      <c r="C71" s="121"/>
      <c r="D71" s="122"/>
      <c r="E71" s="123"/>
      <c r="F71" s="124"/>
      <c r="G71" s="121"/>
      <c r="H71" s="125"/>
      <c r="I71" s="121"/>
      <c r="J71" s="121"/>
      <c r="K71" s="121"/>
      <c r="L71" s="121"/>
      <c r="M71" s="126"/>
      <c r="N71" s="121"/>
      <c r="O71" s="121"/>
      <c r="P71" s="121"/>
      <c r="Q71" s="121"/>
      <c r="R71" s="121"/>
      <c r="S71" s="121"/>
      <c r="T71" s="121"/>
      <c r="U71" s="127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8"/>
      <c r="AK71" s="121"/>
      <c r="AL71" s="128"/>
    </row>
    <row r="72" spans="2:38" x14ac:dyDescent="0.3">
      <c r="B72" s="121"/>
      <c r="C72" s="121"/>
      <c r="D72" s="122"/>
      <c r="E72" s="123"/>
      <c r="F72" s="124"/>
      <c r="G72" s="121"/>
      <c r="H72" s="125"/>
      <c r="I72" s="121"/>
      <c r="J72" s="121"/>
      <c r="K72" s="121"/>
      <c r="L72" s="121"/>
      <c r="M72" s="126"/>
      <c r="N72" s="121"/>
      <c r="O72" s="121"/>
      <c r="P72" s="121"/>
      <c r="Q72" s="121"/>
      <c r="R72" s="121"/>
      <c r="S72" s="121"/>
      <c r="T72" s="121"/>
      <c r="U72" s="127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8"/>
      <c r="AK72" s="121"/>
      <c r="AL72" s="128"/>
    </row>
    <row r="73" spans="2:38" x14ac:dyDescent="0.3">
      <c r="B73" s="121"/>
      <c r="C73" s="121"/>
      <c r="D73" s="122"/>
      <c r="E73" s="123"/>
      <c r="F73" s="124"/>
      <c r="G73" s="121"/>
      <c r="H73" s="125"/>
      <c r="I73" s="121"/>
      <c r="J73" s="121"/>
      <c r="K73" s="121"/>
      <c r="L73" s="121"/>
      <c r="M73" s="126"/>
      <c r="N73" s="121"/>
      <c r="O73" s="121"/>
      <c r="P73" s="121"/>
      <c r="Q73" s="121"/>
      <c r="R73" s="121"/>
      <c r="S73" s="121"/>
      <c r="T73" s="121"/>
      <c r="U73" s="127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8"/>
      <c r="AK73" s="121"/>
      <c r="AL73" s="128"/>
    </row>
    <row r="74" spans="2:38" x14ac:dyDescent="0.3">
      <c r="B74" s="121"/>
      <c r="C74" s="121"/>
      <c r="D74" s="122"/>
      <c r="E74" s="123"/>
      <c r="F74" s="124"/>
      <c r="G74" s="121"/>
      <c r="H74" s="125"/>
      <c r="I74" s="147"/>
      <c r="J74" s="148"/>
      <c r="K74" s="149"/>
      <c r="L74" s="149"/>
      <c r="M74" s="149"/>
      <c r="N74" s="149"/>
      <c r="O74" s="150"/>
      <c r="P74" s="148"/>
      <c r="Q74" s="151"/>
      <c r="R74" s="151"/>
      <c r="S74" s="152"/>
      <c r="T74" s="152"/>
      <c r="U74" s="153"/>
      <c r="V74" s="152"/>
      <c r="W74" s="152"/>
      <c r="X74" s="152"/>
      <c r="Y74" s="152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54"/>
      <c r="AK74" s="126"/>
      <c r="AL74" s="154"/>
    </row>
    <row r="75" spans="2:38" x14ac:dyDescent="0.3">
      <c r="B75" s="121"/>
      <c r="C75" s="121"/>
      <c r="D75" s="122"/>
      <c r="E75" s="123"/>
      <c r="F75" s="124"/>
      <c r="G75" s="121"/>
      <c r="H75" s="125"/>
      <c r="I75" s="155"/>
      <c r="J75" s="156"/>
      <c r="K75" s="149"/>
      <c r="L75" s="149"/>
      <c r="M75" s="149"/>
      <c r="N75" s="149"/>
      <c r="O75" s="157"/>
      <c r="P75" s="156"/>
      <c r="Q75" s="158"/>
      <c r="R75" s="158"/>
      <c r="S75" s="149"/>
      <c r="T75" s="149"/>
      <c r="U75" s="159"/>
      <c r="V75" s="149"/>
      <c r="W75" s="149"/>
      <c r="X75" s="149"/>
      <c r="Y75" s="149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54"/>
      <c r="AK75" s="126"/>
      <c r="AL75" s="154"/>
    </row>
    <row r="76" spans="2:38" x14ac:dyDescent="0.3">
      <c r="B76" s="121"/>
      <c r="C76" s="121"/>
      <c r="D76" s="122"/>
      <c r="E76" s="123"/>
      <c r="F76" s="124"/>
      <c r="G76" s="121"/>
      <c r="H76" s="125"/>
      <c r="I76" s="155"/>
      <c r="J76" s="156"/>
      <c r="K76" s="149"/>
      <c r="L76" s="149"/>
      <c r="M76" s="149"/>
      <c r="N76" s="149"/>
      <c r="O76" s="157"/>
      <c r="P76" s="156"/>
      <c r="Q76" s="149"/>
      <c r="R76" s="149"/>
      <c r="S76" s="149"/>
      <c r="T76" s="149"/>
      <c r="U76" s="159"/>
      <c r="V76" s="149"/>
      <c r="W76" s="149"/>
      <c r="X76" s="149"/>
      <c r="Y76" s="149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54"/>
      <c r="AK76" s="126"/>
      <c r="AL76" s="154"/>
    </row>
    <row r="77" spans="2:38" x14ac:dyDescent="0.3">
      <c r="B77" s="121"/>
      <c r="C77" s="121"/>
      <c r="D77" s="122"/>
      <c r="E77" s="123"/>
      <c r="F77" s="124"/>
      <c r="G77" s="121"/>
      <c r="H77" s="125"/>
      <c r="I77" s="162"/>
      <c r="J77" s="163"/>
      <c r="K77" s="149"/>
      <c r="L77" s="149"/>
      <c r="M77" s="149"/>
      <c r="N77" s="149"/>
      <c r="O77" s="150"/>
      <c r="P77" s="163"/>
      <c r="Q77" s="149"/>
      <c r="R77" s="149"/>
      <c r="S77" s="149"/>
      <c r="T77" s="149"/>
      <c r="U77" s="159"/>
      <c r="V77" s="149"/>
      <c r="W77" s="149"/>
      <c r="X77" s="149"/>
      <c r="Y77" s="149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54"/>
      <c r="AK77" s="126"/>
      <c r="AL77" s="154"/>
    </row>
    <row r="78" spans="2:38" x14ac:dyDescent="0.3">
      <c r="B78" s="121"/>
      <c r="C78" s="121"/>
      <c r="D78" s="122"/>
      <c r="E78" s="123"/>
      <c r="F78" s="124"/>
      <c r="G78" s="121"/>
      <c r="H78" s="125"/>
      <c r="I78" s="166"/>
      <c r="J78" s="166"/>
      <c r="K78" s="166"/>
      <c r="L78" s="166"/>
      <c r="M78" s="151"/>
      <c r="N78" s="167"/>
      <c r="O78" s="149"/>
      <c r="P78" s="149"/>
      <c r="Q78" s="149"/>
      <c r="R78" s="149"/>
      <c r="S78" s="149"/>
      <c r="T78" s="149"/>
      <c r="U78" s="159"/>
      <c r="V78" s="149"/>
      <c r="W78" s="149"/>
      <c r="X78" s="149"/>
      <c r="Y78" s="149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54"/>
      <c r="AK78" s="126"/>
      <c r="AL78" s="154"/>
    </row>
    <row r="79" spans="2:38" x14ac:dyDescent="0.3">
      <c r="B79" s="121"/>
      <c r="C79" s="121"/>
      <c r="D79" s="122"/>
      <c r="E79" s="123"/>
      <c r="F79" s="124"/>
      <c r="G79" s="121"/>
      <c r="H79" s="125"/>
      <c r="I79" s="167"/>
      <c r="J79" s="151"/>
      <c r="K79" s="151"/>
      <c r="L79" s="151"/>
      <c r="M79" s="151"/>
      <c r="N79" s="167"/>
      <c r="O79" s="149"/>
      <c r="P79" s="149"/>
      <c r="Q79" s="149"/>
      <c r="R79" s="149"/>
      <c r="S79" s="149"/>
      <c r="T79" s="149"/>
      <c r="U79" s="159"/>
      <c r="V79" s="149"/>
      <c r="W79" s="121"/>
      <c r="X79" s="121"/>
      <c r="Y79" s="121"/>
      <c r="Z79" s="121"/>
      <c r="AA79" s="126"/>
      <c r="AB79" s="126"/>
      <c r="AC79" s="126"/>
      <c r="AD79" s="126"/>
      <c r="AE79" s="126"/>
      <c r="AF79" s="126"/>
      <c r="AG79" s="126"/>
      <c r="AH79" s="126"/>
      <c r="AI79" s="126"/>
      <c r="AJ79" s="154"/>
      <c r="AK79" s="126"/>
      <c r="AL79" s="154"/>
    </row>
    <row r="80" spans="2:38" x14ac:dyDescent="0.3">
      <c r="B80" s="121"/>
      <c r="C80" s="121"/>
      <c r="D80" s="122"/>
      <c r="E80" s="123"/>
      <c r="F80" s="124"/>
      <c r="G80" s="121"/>
      <c r="H80" s="125"/>
      <c r="I80" s="167"/>
      <c r="J80" s="151"/>
      <c r="K80" s="151"/>
      <c r="L80" s="151"/>
      <c r="M80" s="151"/>
      <c r="N80" s="167"/>
      <c r="O80" s="149"/>
      <c r="P80" s="149"/>
      <c r="Q80" s="149"/>
      <c r="R80" s="149"/>
      <c r="S80" s="149"/>
      <c r="T80" s="149"/>
      <c r="U80" s="153"/>
      <c r="V80" s="152"/>
      <c r="W80" s="121"/>
      <c r="X80" s="121"/>
      <c r="Y80" s="121"/>
      <c r="Z80" s="121"/>
      <c r="AA80" s="126"/>
      <c r="AB80" s="126"/>
      <c r="AC80" s="126"/>
      <c r="AD80" s="126"/>
      <c r="AE80" s="126"/>
      <c r="AF80" s="126"/>
      <c r="AG80" s="126"/>
      <c r="AH80" s="126"/>
      <c r="AI80" s="126"/>
      <c r="AJ80" s="154"/>
      <c r="AK80" s="126"/>
      <c r="AL80" s="154"/>
    </row>
    <row r="81" spans="2:38" x14ac:dyDescent="0.3">
      <c r="B81" s="121"/>
      <c r="C81" s="121"/>
      <c r="D81" s="122"/>
      <c r="E81" s="123"/>
      <c r="F81" s="124"/>
      <c r="G81" s="121"/>
      <c r="H81" s="125"/>
      <c r="I81" s="168"/>
      <c r="J81" s="151"/>
      <c r="K81" s="151"/>
      <c r="L81" s="151"/>
      <c r="M81" s="151"/>
      <c r="N81" s="167"/>
      <c r="O81" s="168"/>
      <c r="P81" s="151"/>
      <c r="Q81" s="151"/>
      <c r="R81" s="152"/>
      <c r="S81" s="169"/>
      <c r="T81" s="126"/>
      <c r="U81" s="164"/>
      <c r="V81" s="126"/>
      <c r="W81" s="170"/>
      <c r="X81" s="171"/>
      <c r="Y81" s="171"/>
      <c r="Z81" s="171"/>
      <c r="AA81" s="126"/>
      <c r="AB81" s="126"/>
      <c r="AC81" s="126"/>
      <c r="AD81" s="126"/>
      <c r="AE81" s="126"/>
      <c r="AF81" s="126"/>
      <c r="AG81" s="126"/>
      <c r="AH81" s="126"/>
      <c r="AI81" s="126"/>
      <c r="AJ81" s="154"/>
      <c r="AK81" s="126"/>
      <c r="AL81" s="154"/>
    </row>
    <row r="82" spans="2:38" x14ac:dyDescent="0.3">
      <c r="B82" s="121"/>
      <c r="C82" s="121"/>
      <c r="D82" s="122"/>
      <c r="E82" s="123"/>
      <c r="F82" s="124"/>
      <c r="G82" s="121"/>
      <c r="H82" s="125"/>
      <c r="I82" s="168"/>
      <c r="J82" s="151"/>
      <c r="K82" s="151"/>
      <c r="L82" s="151"/>
      <c r="M82" s="151"/>
      <c r="N82" s="172"/>
      <c r="O82" s="168"/>
      <c r="P82" s="151"/>
      <c r="Q82" s="151"/>
      <c r="R82" s="152"/>
      <c r="S82" s="169"/>
      <c r="T82" s="126"/>
      <c r="U82" s="164"/>
      <c r="V82" s="126"/>
      <c r="W82" s="170"/>
      <c r="X82" s="173"/>
      <c r="Y82" s="173"/>
      <c r="Z82" s="173"/>
      <c r="AA82" s="126"/>
      <c r="AB82" s="126"/>
      <c r="AC82" s="126"/>
      <c r="AD82" s="126"/>
      <c r="AE82" s="126"/>
      <c r="AF82" s="126"/>
      <c r="AG82" s="126"/>
      <c r="AH82" s="126"/>
      <c r="AI82" s="126"/>
      <c r="AJ82" s="154"/>
      <c r="AK82" s="126"/>
      <c r="AL82" s="154"/>
    </row>
    <row r="83" spans="2:38" x14ac:dyDescent="0.3">
      <c r="B83" s="121"/>
      <c r="C83" s="121"/>
      <c r="D83" s="122"/>
      <c r="E83" s="123"/>
      <c r="F83" s="124"/>
      <c r="G83" s="121"/>
      <c r="H83" s="125"/>
      <c r="I83" s="168"/>
      <c r="J83" s="151"/>
      <c r="K83" s="151"/>
      <c r="L83" s="151"/>
      <c r="M83" s="174"/>
      <c r="N83" s="172"/>
      <c r="O83" s="168"/>
      <c r="P83" s="151"/>
      <c r="Q83" s="151"/>
      <c r="R83" s="152"/>
      <c r="S83" s="126"/>
      <c r="T83" s="126"/>
      <c r="U83" s="172"/>
      <c r="V83" s="172"/>
      <c r="W83" s="175"/>
      <c r="X83" s="176"/>
      <c r="Y83" s="176"/>
      <c r="Z83" s="176"/>
      <c r="AA83" s="126"/>
      <c r="AB83" s="126"/>
      <c r="AC83" s="126"/>
      <c r="AD83" s="126"/>
      <c r="AE83" s="126"/>
      <c r="AF83" s="126"/>
      <c r="AG83" s="126"/>
      <c r="AH83" s="126"/>
      <c r="AI83" s="126"/>
      <c r="AJ83" s="154"/>
      <c r="AK83" s="126"/>
      <c r="AL83" s="154"/>
    </row>
    <row r="84" spans="2:38" x14ac:dyDescent="0.3">
      <c r="B84" s="121"/>
      <c r="C84" s="121"/>
      <c r="D84" s="122"/>
      <c r="E84" s="123"/>
      <c r="F84" s="124"/>
      <c r="G84" s="121"/>
      <c r="H84" s="125"/>
      <c r="I84" s="168"/>
      <c r="J84" s="151"/>
      <c r="K84" s="151"/>
      <c r="L84" s="151"/>
      <c r="M84" s="174"/>
      <c r="N84" s="172"/>
      <c r="O84" s="168"/>
      <c r="P84" s="151"/>
      <c r="Q84" s="151"/>
      <c r="R84" s="152"/>
      <c r="S84" s="126"/>
      <c r="T84" s="126"/>
      <c r="U84" s="172"/>
      <c r="V84" s="172"/>
      <c r="W84" s="132"/>
      <c r="X84" s="177"/>
      <c r="Y84" s="177"/>
      <c r="Z84" s="177"/>
      <c r="AA84" s="126"/>
      <c r="AB84" s="126"/>
      <c r="AC84" s="126"/>
      <c r="AD84" s="126"/>
      <c r="AE84" s="126"/>
      <c r="AF84" s="126"/>
      <c r="AG84" s="126"/>
      <c r="AH84" s="126"/>
      <c r="AI84" s="126"/>
      <c r="AJ84" s="154"/>
      <c r="AK84" s="126"/>
      <c r="AL84" s="154"/>
    </row>
    <row r="85" spans="2:38" x14ac:dyDescent="0.3">
      <c r="B85" s="121"/>
      <c r="C85" s="121"/>
      <c r="D85" s="122"/>
      <c r="E85" s="123"/>
      <c r="F85" s="124"/>
      <c r="G85" s="121"/>
      <c r="H85" s="125"/>
      <c r="I85" s="168"/>
      <c r="J85" s="151"/>
      <c r="K85" s="151"/>
      <c r="L85" s="151"/>
      <c r="M85" s="151"/>
      <c r="N85" s="172"/>
      <c r="O85" s="149"/>
      <c r="P85" s="149"/>
      <c r="Q85" s="151"/>
      <c r="R85" s="151"/>
      <c r="S85" s="126"/>
      <c r="T85" s="126"/>
      <c r="U85" s="172"/>
      <c r="V85" s="172"/>
      <c r="W85" s="132"/>
      <c r="X85" s="177"/>
      <c r="Y85" s="177"/>
      <c r="Z85" s="177"/>
      <c r="AA85" s="126"/>
      <c r="AB85" s="126"/>
      <c r="AC85" s="126"/>
      <c r="AD85" s="126"/>
      <c r="AE85" s="126"/>
      <c r="AF85" s="126"/>
      <c r="AG85" s="126"/>
      <c r="AH85" s="126"/>
      <c r="AI85" s="126"/>
      <c r="AJ85" s="154"/>
      <c r="AK85" s="126"/>
      <c r="AL85" s="154"/>
    </row>
    <row r="86" spans="2:38" x14ac:dyDescent="0.3">
      <c r="B86" s="121"/>
      <c r="C86" s="121"/>
      <c r="D86" s="122"/>
      <c r="E86" s="123"/>
      <c r="F86" s="124"/>
      <c r="G86" s="121"/>
      <c r="H86" s="125"/>
      <c r="I86" s="168"/>
      <c r="J86" s="151"/>
      <c r="K86" s="151"/>
      <c r="L86" s="151"/>
      <c r="M86" s="151"/>
      <c r="N86" s="172"/>
      <c r="O86" s="149"/>
      <c r="P86" s="149"/>
      <c r="Q86" s="149"/>
      <c r="R86" s="169"/>
      <c r="S86" s="126"/>
      <c r="T86" s="126"/>
      <c r="U86" s="159"/>
      <c r="V86" s="149"/>
      <c r="W86" s="132"/>
      <c r="X86" s="177"/>
      <c r="Y86" s="177"/>
      <c r="Z86" s="177"/>
      <c r="AA86" s="126"/>
      <c r="AB86" s="126"/>
      <c r="AC86" s="126"/>
      <c r="AD86" s="126"/>
      <c r="AE86" s="126"/>
      <c r="AF86" s="126"/>
      <c r="AG86" s="126"/>
      <c r="AH86" s="126"/>
      <c r="AI86" s="126"/>
      <c r="AJ86" s="154"/>
      <c r="AK86" s="126"/>
      <c r="AL86" s="154"/>
    </row>
    <row r="87" spans="2:38" x14ac:dyDescent="0.3">
      <c r="B87" s="121"/>
      <c r="C87" s="121"/>
      <c r="D87" s="122"/>
      <c r="E87" s="123"/>
      <c r="F87" s="124"/>
      <c r="G87" s="121"/>
      <c r="H87" s="125"/>
      <c r="I87" s="167"/>
      <c r="J87" s="178"/>
      <c r="K87" s="151"/>
      <c r="L87" s="151"/>
      <c r="M87" s="151"/>
      <c r="N87" s="179"/>
      <c r="O87" s="179"/>
      <c r="P87" s="179"/>
      <c r="Q87" s="172"/>
      <c r="R87" s="172"/>
      <c r="S87" s="172"/>
      <c r="T87" s="172"/>
      <c r="U87" s="172"/>
      <c r="V87" s="172"/>
      <c r="W87" s="180"/>
      <c r="X87" s="176"/>
      <c r="Y87" s="176"/>
      <c r="Z87" s="176"/>
      <c r="AA87" s="126"/>
      <c r="AB87" s="126"/>
      <c r="AC87" s="126"/>
      <c r="AD87" s="126"/>
      <c r="AE87" s="126"/>
      <c r="AF87" s="126"/>
      <c r="AG87" s="126"/>
      <c r="AH87" s="126"/>
      <c r="AI87" s="126"/>
      <c r="AJ87" s="154"/>
      <c r="AK87" s="126"/>
      <c r="AL87" s="154"/>
    </row>
    <row r="88" spans="2:38" x14ac:dyDescent="0.3">
      <c r="B88" s="121"/>
      <c r="C88" s="121"/>
      <c r="D88" s="122"/>
      <c r="E88" s="123"/>
      <c r="F88" s="124"/>
      <c r="G88" s="121"/>
      <c r="H88" s="125"/>
      <c r="I88" s="132"/>
      <c r="J88" s="132"/>
      <c r="K88" s="132"/>
      <c r="L88" s="132"/>
      <c r="M88" s="181"/>
      <c r="N88" s="179"/>
      <c r="O88" s="179"/>
      <c r="P88" s="179"/>
      <c r="Q88" s="172"/>
      <c r="R88" s="172"/>
      <c r="S88" s="172"/>
      <c r="T88" s="172"/>
      <c r="U88" s="172"/>
      <c r="V88" s="172"/>
      <c r="W88" s="172"/>
      <c r="X88" s="172"/>
      <c r="Y88" s="179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54"/>
      <c r="AK88" s="126"/>
      <c r="AL88" s="154"/>
    </row>
    <row r="89" spans="2:38" x14ac:dyDescent="0.3">
      <c r="B89" s="121"/>
      <c r="C89" s="121"/>
      <c r="D89" s="122"/>
      <c r="E89" s="123"/>
      <c r="F89" s="124"/>
      <c r="G89" s="121"/>
      <c r="H89" s="125"/>
      <c r="I89" s="126"/>
      <c r="J89" s="126"/>
      <c r="K89" s="126"/>
      <c r="L89" s="126"/>
      <c r="M89" s="126"/>
      <c r="N89" s="179"/>
      <c r="O89" s="179"/>
      <c r="P89" s="179"/>
      <c r="Q89" s="172"/>
      <c r="R89" s="172"/>
      <c r="S89" s="172"/>
      <c r="T89" s="172"/>
      <c r="U89" s="172"/>
      <c r="V89" s="172"/>
      <c r="W89" s="172"/>
      <c r="X89" s="172"/>
      <c r="Y89" s="179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54"/>
      <c r="AK89" s="126"/>
      <c r="AL89" s="154"/>
    </row>
    <row r="90" spans="2:38" x14ac:dyDescent="0.3">
      <c r="B90" s="121"/>
      <c r="C90" s="121"/>
      <c r="D90" s="122"/>
      <c r="E90" s="123"/>
      <c r="F90" s="124"/>
      <c r="G90" s="121"/>
      <c r="H90" s="125"/>
      <c r="I90" s="132"/>
      <c r="J90" s="132"/>
      <c r="K90" s="132"/>
      <c r="L90" s="132"/>
      <c r="M90" s="132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54"/>
      <c r="AK90" s="126"/>
      <c r="AL90" s="154"/>
    </row>
    <row r="91" spans="2:38" x14ac:dyDescent="0.3">
      <c r="B91" s="121"/>
      <c r="C91" s="121"/>
      <c r="D91" s="122"/>
      <c r="E91" s="123"/>
      <c r="F91" s="124"/>
      <c r="G91" s="121"/>
      <c r="H91" s="125"/>
      <c r="I91" s="188"/>
      <c r="J91" s="188"/>
      <c r="K91" s="188"/>
      <c r="L91" s="188"/>
      <c r="M91" s="188"/>
      <c r="N91" s="179"/>
      <c r="O91" s="121"/>
      <c r="P91" s="121"/>
      <c r="Q91" s="121"/>
      <c r="R91" s="121"/>
      <c r="S91" s="182"/>
      <c r="T91" s="179"/>
      <c r="U91" s="179"/>
      <c r="V91" s="179"/>
      <c r="W91" s="179"/>
      <c r="X91" s="179"/>
      <c r="Y91" s="179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54"/>
      <c r="AK91" s="126"/>
      <c r="AL91" s="154"/>
    </row>
    <row r="92" spans="2:38" x14ac:dyDescent="0.3">
      <c r="B92" s="121"/>
      <c r="C92" s="121"/>
      <c r="D92" s="122"/>
      <c r="E92" s="123"/>
      <c r="F92" s="124"/>
      <c r="G92" s="121"/>
      <c r="H92" s="125"/>
      <c r="I92" s="183"/>
      <c r="J92" s="183"/>
      <c r="K92" s="183"/>
      <c r="L92" s="183"/>
      <c r="M92" s="183"/>
      <c r="N92" s="179"/>
      <c r="O92" s="121"/>
      <c r="P92" s="121"/>
      <c r="Q92" s="121"/>
      <c r="R92" s="121"/>
      <c r="S92" s="182"/>
      <c r="T92" s="179"/>
      <c r="U92" s="179"/>
      <c r="V92" s="179"/>
      <c r="W92" s="179"/>
      <c r="X92" s="179"/>
      <c r="Y92" s="179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54"/>
      <c r="AK92" s="126"/>
      <c r="AL92" s="154"/>
    </row>
    <row r="93" spans="2:38" x14ac:dyDescent="0.3">
      <c r="B93" s="121"/>
      <c r="C93" s="121"/>
      <c r="D93" s="122"/>
      <c r="E93" s="123"/>
      <c r="F93" s="124"/>
      <c r="G93" s="121"/>
      <c r="H93" s="125"/>
      <c r="I93" s="183"/>
      <c r="J93" s="184"/>
      <c r="K93" s="185"/>
      <c r="L93" s="185"/>
      <c r="M93" s="185"/>
      <c r="N93" s="132"/>
      <c r="O93" s="121"/>
      <c r="P93" s="121"/>
      <c r="Q93" s="121"/>
      <c r="R93" s="121"/>
      <c r="S93" s="132"/>
      <c r="T93" s="132"/>
      <c r="U93" s="182"/>
      <c r="V93" s="132"/>
      <c r="W93" s="132"/>
      <c r="X93" s="132"/>
      <c r="Y93" s="132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54"/>
      <c r="AK93" s="126"/>
      <c r="AL93" s="154"/>
    </row>
    <row r="94" spans="2:38" x14ac:dyDescent="0.3">
      <c r="B94" s="121"/>
      <c r="C94" s="121"/>
      <c r="D94" s="122"/>
      <c r="E94" s="123"/>
      <c r="F94" s="124"/>
      <c r="G94" s="121"/>
      <c r="H94" s="125"/>
      <c r="I94" s="127"/>
      <c r="J94" s="177"/>
      <c r="K94" s="177"/>
      <c r="L94" s="177"/>
      <c r="M94" s="177"/>
      <c r="N94" s="132"/>
      <c r="O94" s="121"/>
      <c r="P94" s="121"/>
      <c r="Q94" s="121"/>
      <c r="R94" s="121"/>
      <c r="S94" s="132"/>
      <c r="T94" s="132"/>
      <c r="U94" s="182"/>
      <c r="V94" s="132"/>
      <c r="W94" s="132"/>
      <c r="X94" s="132"/>
      <c r="Y94" s="132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8"/>
      <c r="AK94" s="121"/>
      <c r="AL94" s="128"/>
    </row>
    <row r="95" spans="2:38" x14ac:dyDescent="0.3">
      <c r="B95" s="121"/>
      <c r="C95" s="121"/>
      <c r="D95" s="122"/>
      <c r="E95" s="123"/>
      <c r="F95" s="124"/>
      <c r="G95" s="121"/>
      <c r="H95" s="125"/>
      <c r="I95" s="132"/>
      <c r="J95" s="132"/>
      <c r="K95" s="132"/>
      <c r="L95" s="132"/>
      <c r="M95" s="132"/>
      <c r="N95" s="132"/>
      <c r="O95" s="121"/>
      <c r="P95" s="121"/>
      <c r="Q95" s="121"/>
      <c r="R95" s="121"/>
      <c r="S95" s="132"/>
      <c r="T95" s="132"/>
      <c r="U95" s="182"/>
      <c r="V95" s="132"/>
      <c r="W95" s="132"/>
      <c r="X95" s="132"/>
      <c r="Y95" s="132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8"/>
      <c r="AK95" s="121"/>
      <c r="AL95" s="128"/>
    </row>
    <row r="96" spans="2:38" x14ac:dyDescent="0.3">
      <c r="B96" s="121"/>
      <c r="C96" s="121"/>
      <c r="D96" s="122"/>
      <c r="E96" s="123"/>
      <c r="F96" s="124"/>
      <c r="G96" s="121"/>
      <c r="H96" s="125"/>
      <c r="I96" s="132"/>
      <c r="J96" s="132"/>
      <c r="K96" s="132"/>
      <c r="L96" s="132"/>
      <c r="M96" s="132"/>
      <c r="N96" s="132"/>
      <c r="O96" s="121"/>
      <c r="P96" s="121"/>
      <c r="Q96" s="121"/>
      <c r="R96" s="121"/>
      <c r="S96" s="132"/>
      <c r="T96" s="132"/>
      <c r="U96" s="182"/>
      <c r="V96" s="132"/>
      <c r="W96" s="132"/>
      <c r="X96" s="132"/>
      <c r="Y96" s="132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8"/>
      <c r="AK96" s="121"/>
      <c r="AL96" s="128"/>
    </row>
    <row r="97" spans="2:38" x14ac:dyDescent="0.3">
      <c r="B97" s="121"/>
      <c r="C97" s="121"/>
      <c r="D97" s="122"/>
      <c r="E97" s="123"/>
      <c r="F97" s="124"/>
      <c r="G97" s="121"/>
      <c r="H97" s="125"/>
      <c r="I97" s="121"/>
      <c r="J97" s="121"/>
      <c r="K97" s="121"/>
      <c r="L97" s="121"/>
      <c r="M97" s="126"/>
      <c r="N97" s="121"/>
      <c r="O97" s="121"/>
      <c r="P97" s="121"/>
      <c r="Q97" s="121"/>
      <c r="R97" s="121"/>
      <c r="S97" s="121"/>
      <c r="T97" s="121"/>
      <c r="U97" s="127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8"/>
      <c r="AK97" s="121"/>
      <c r="AL97" s="128"/>
    </row>
    <row r="98" spans="2:38" x14ac:dyDescent="0.3">
      <c r="B98" s="121"/>
      <c r="C98" s="121"/>
      <c r="D98" s="122"/>
      <c r="E98" s="123"/>
      <c r="F98" s="124"/>
      <c r="G98" s="121"/>
      <c r="H98" s="125"/>
      <c r="I98" s="127"/>
      <c r="J98" s="121"/>
      <c r="K98" s="161"/>
      <c r="L98" s="161"/>
      <c r="M98" s="165"/>
      <c r="N98" s="121"/>
      <c r="O98" s="121"/>
      <c r="P98" s="121"/>
      <c r="Q98" s="121"/>
      <c r="R98" s="121"/>
      <c r="S98" s="121"/>
      <c r="T98" s="121"/>
      <c r="U98" s="127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8"/>
      <c r="AK98" s="121"/>
      <c r="AL98" s="128"/>
    </row>
    <row r="99" spans="2:38" x14ac:dyDescent="0.3">
      <c r="B99" s="121"/>
      <c r="C99" s="121"/>
      <c r="D99" s="122"/>
      <c r="E99" s="123"/>
      <c r="F99" s="124"/>
      <c r="G99" s="121"/>
      <c r="H99" s="125"/>
      <c r="I99" s="127"/>
      <c r="J99" s="121"/>
      <c r="K99" s="161"/>
      <c r="L99" s="161"/>
      <c r="M99" s="165"/>
      <c r="N99" s="121"/>
      <c r="O99" s="121"/>
      <c r="P99" s="121"/>
      <c r="Q99" s="121"/>
      <c r="R99" s="121"/>
      <c r="S99" s="121"/>
      <c r="T99" s="121"/>
      <c r="U99" s="127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8"/>
      <c r="AK99" s="121"/>
      <c r="AL99" s="128"/>
    </row>
    <row r="100" spans="2:38" x14ac:dyDescent="0.3">
      <c r="B100" s="121"/>
      <c r="C100" s="121"/>
      <c r="D100" s="122"/>
      <c r="E100" s="123"/>
      <c r="F100" s="124"/>
      <c r="G100" s="121"/>
      <c r="H100" s="125"/>
      <c r="I100" s="127"/>
      <c r="J100" s="121"/>
      <c r="K100" s="161"/>
      <c r="L100" s="161"/>
      <c r="M100" s="165"/>
      <c r="N100" s="121"/>
      <c r="O100" s="121"/>
      <c r="P100" s="121"/>
      <c r="Q100" s="121"/>
      <c r="R100" s="121"/>
      <c r="S100" s="121"/>
      <c r="T100" s="121"/>
      <c r="U100" s="127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8"/>
      <c r="AK100" s="121"/>
      <c r="AL100" s="128"/>
    </row>
    <row r="101" spans="2:38" x14ac:dyDescent="0.3">
      <c r="B101" s="121"/>
      <c r="C101" s="121"/>
      <c r="D101" s="122"/>
      <c r="E101" s="123"/>
      <c r="F101" s="124"/>
      <c r="G101" s="121"/>
      <c r="H101" s="125"/>
      <c r="I101" s="127"/>
      <c r="J101" s="121"/>
      <c r="K101" s="161"/>
      <c r="L101" s="161"/>
      <c r="M101" s="165"/>
      <c r="N101" s="121"/>
      <c r="O101" s="121"/>
      <c r="P101" s="121"/>
      <c r="Q101" s="121"/>
      <c r="R101" s="121"/>
      <c r="S101" s="121"/>
      <c r="T101" s="121"/>
      <c r="U101" s="127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8"/>
      <c r="AK101" s="121"/>
      <c r="AL101" s="128"/>
    </row>
    <row r="102" spans="2:38" x14ac:dyDescent="0.3">
      <c r="B102" s="121"/>
      <c r="C102" s="121"/>
      <c r="D102" s="122"/>
      <c r="E102" s="123"/>
      <c r="F102" s="124"/>
      <c r="G102" s="121"/>
      <c r="H102" s="125"/>
      <c r="I102" s="127"/>
      <c r="J102" s="121"/>
      <c r="K102" s="161"/>
      <c r="L102" s="161"/>
      <c r="M102" s="165"/>
      <c r="N102" s="121"/>
      <c r="O102" s="121"/>
      <c r="P102" s="121"/>
      <c r="Q102" s="121"/>
      <c r="R102" s="121"/>
      <c r="S102" s="121"/>
      <c r="T102" s="121"/>
      <c r="U102" s="127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8"/>
      <c r="AK102" s="121"/>
      <c r="AL102" s="128"/>
    </row>
    <row r="103" spans="2:38" x14ac:dyDescent="0.3">
      <c r="B103" s="121"/>
      <c r="C103" s="121"/>
      <c r="D103" s="122"/>
      <c r="E103" s="123"/>
      <c r="F103" s="124"/>
      <c r="G103" s="121"/>
      <c r="H103" s="125"/>
      <c r="I103" s="127"/>
      <c r="J103" s="121"/>
      <c r="K103" s="161"/>
      <c r="L103" s="161"/>
      <c r="M103" s="165"/>
      <c r="N103" s="121"/>
      <c r="O103" s="121"/>
      <c r="P103" s="121"/>
      <c r="Q103" s="121"/>
      <c r="R103" s="121"/>
      <c r="S103" s="121"/>
      <c r="T103" s="121"/>
      <c r="U103" s="127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8"/>
      <c r="AK103" s="121"/>
      <c r="AL103" s="128"/>
    </row>
    <row r="104" spans="2:38" x14ac:dyDescent="0.3">
      <c r="B104" s="121"/>
      <c r="C104" s="121"/>
      <c r="D104" s="122"/>
      <c r="E104" s="123"/>
      <c r="F104" s="124"/>
      <c r="G104" s="121"/>
      <c r="H104" s="125"/>
      <c r="I104" s="127"/>
      <c r="J104" s="121"/>
      <c r="K104" s="161"/>
      <c r="L104" s="161"/>
      <c r="M104" s="165"/>
      <c r="N104" s="121"/>
      <c r="O104" s="121"/>
      <c r="P104" s="121"/>
      <c r="Q104" s="121"/>
      <c r="R104" s="121"/>
      <c r="S104" s="121"/>
      <c r="T104" s="121"/>
      <c r="U104" s="127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8"/>
      <c r="AK104" s="121"/>
      <c r="AL104" s="128"/>
    </row>
    <row r="105" spans="2:38" x14ac:dyDescent="0.3">
      <c r="B105" s="121"/>
      <c r="C105" s="121"/>
      <c r="D105" s="122"/>
      <c r="E105" s="123"/>
      <c r="F105" s="124"/>
      <c r="G105" s="121"/>
      <c r="H105" s="125"/>
      <c r="I105" s="127"/>
      <c r="J105" s="121"/>
      <c r="K105" s="161"/>
      <c r="L105" s="161"/>
      <c r="M105" s="165"/>
      <c r="N105" s="121"/>
      <c r="O105" s="121"/>
      <c r="P105" s="121"/>
      <c r="Q105" s="121"/>
      <c r="R105" s="121"/>
      <c r="S105" s="121"/>
      <c r="T105" s="121"/>
      <c r="U105" s="127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8"/>
      <c r="AK105" s="121"/>
      <c r="AL105" s="128"/>
    </row>
    <row r="106" spans="2:38" x14ac:dyDescent="0.3">
      <c r="B106" s="121"/>
      <c r="C106" s="121"/>
      <c r="D106" s="122"/>
      <c r="E106" s="123"/>
      <c r="F106" s="124"/>
      <c r="G106" s="121"/>
      <c r="H106" s="125"/>
      <c r="I106" s="127"/>
      <c r="J106" s="121"/>
      <c r="K106" s="161"/>
      <c r="L106" s="161"/>
      <c r="M106" s="165"/>
      <c r="N106" s="121"/>
      <c r="O106" s="121"/>
      <c r="P106" s="121"/>
      <c r="Q106" s="121"/>
      <c r="R106" s="121"/>
      <c r="S106" s="121"/>
      <c r="T106" s="121"/>
      <c r="U106" s="127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8"/>
      <c r="AK106" s="121"/>
      <c r="AL106" s="128"/>
    </row>
    <row r="107" spans="2:38" x14ac:dyDescent="0.3">
      <c r="B107" s="121"/>
      <c r="C107" s="121"/>
      <c r="D107" s="122"/>
      <c r="E107" s="123"/>
      <c r="F107" s="124"/>
      <c r="G107" s="121"/>
      <c r="H107" s="125"/>
      <c r="I107" s="127"/>
      <c r="J107" s="121"/>
      <c r="K107" s="161"/>
      <c r="L107" s="161"/>
      <c r="M107" s="165"/>
      <c r="N107" s="121"/>
      <c r="O107" s="121"/>
      <c r="P107" s="121"/>
      <c r="Q107" s="121"/>
      <c r="R107" s="121"/>
      <c r="S107" s="121"/>
      <c r="T107" s="121"/>
      <c r="U107" s="127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8"/>
      <c r="AK107" s="121"/>
      <c r="AL107" s="128"/>
    </row>
    <row r="108" spans="2:38" x14ac:dyDescent="0.3">
      <c r="B108" s="121"/>
      <c r="C108" s="121"/>
      <c r="D108" s="122"/>
      <c r="E108" s="123"/>
      <c r="F108" s="124"/>
      <c r="G108" s="121"/>
      <c r="H108" s="125"/>
      <c r="I108" s="127"/>
      <c r="J108" s="121"/>
      <c r="K108" s="161"/>
      <c r="L108" s="161"/>
      <c r="M108" s="165"/>
      <c r="N108" s="121"/>
      <c r="O108" s="121"/>
      <c r="P108" s="121"/>
      <c r="Q108" s="121"/>
      <c r="R108" s="121"/>
      <c r="S108" s="121"/>
      <c r="T108" s="121"/>
      <c r="U108" s="127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8"/>
      <c r="AK108" s="121"/>
      <c r="AL108" s="128"/>
    </row>
    <row r="109" spans="2:38" x14ac:dyDescent="0.3">
      <c r="B109" s="121"/>
      <c r="C109" s="121"/>
      <c r="D109" s="122"/>
      <c r="E109" s="123"/>
      <c r="F109" s="124"/>
      <c r="G109" s="121"/>
      <c r="H109" s="125"/>
      <c r="I109" s="127"/>
      <c r="J109" s="121"/>
      <c r="K109" s="161"/>
      <c r="L109" s="161"/>
      <c r="M109" s="165"/>
      <c r="N109" s="121"/>
      <c r="O109" s="121"/>
      <c r="P109" s="121"/>
      <c r="Q109" s="121"/>
      <c r="R109" s="121"/>
      <c r="S109" s="121"/>
      <c r="T109" s="121"/>
      <c r="U109" s="127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8"/>
      <c r="AK109" s="121"/>
      <c r="AL109" s="128"/>
    </row>
    <row r="110" spans="2:38" x14ac:dyDescent="0.3">
      <c r="B110" s="121"/>
      <c r="C110" s="121"/>
      <c r="D110" s="122"/>
      <c r="E110" s="123"/>
      <c r="F110" s="124"/>
      <c r="G110" s="121"/>
      <c r="H110" s="125"/>
      <c r="I110" s="127"/>
      <c r="J110" s="121"/>
      <c r="K110" s="161"/>
      <c r="L110" s="161"/>
      <c r="M110" s="165"/>
      <c r="N110" s="121"/>
      <c r="O110" s="121"/>
      <c r="P110" s="121"/>
      <c r="Q110" s="121"/>
      <c r="R110" s="121"/>
      <c r="S110" s="121"/>
      <c r="T110" s="121"/>
      <c r="U110" s="127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8"/>
      <c r="AK110" s="121"/>
      <c r="AL110" s="128"/>
    </row>
    <row r="111" spans="2:38" x14ac:dyDescent="0.3">
      <c r="B111" s="121"/>
      <c r="C111" s="121"/>
      <c r="D111" s="122"/>
      <c r="E111" s="123"/>
      <c r="F111" s="124"/>
      <c r="G111" s="121"/>
      <c r="H111" s="125"/>
      <c r="I111" s="127"/>
      <c r="J111" s="121"/>
      <c r="K111" s="161"/>
      <c r="L111" s="161"/>
      <c r="M111" s="165"/>
      <c r="N111" s="121"/>
      <c r="O111" s="121"/>
      <c r="P111" s="121"/>
      <c r="Q111" s="121"/>
      <c r="R111" s="121"/>
      <c r="S111" s="121"/>
      <c r="T111" s="121"/>
      <c r="U111" s="127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8"/>
      <c r="AK111" s="121"/>
      <c r="AL111" s="128"/>
    </row>
    <row r="112" spans="2:38" x14ac:dyDescent="0.3">
      <c r="B112" s="121"/>
      <c r="C112" s="121"/>
      <c r="D112" s="122"/>
      <c r="E112" s="123"/>
      <c r="F112" s="124"/>
      <c r="G112" s="121"/>
      <c r="H112" s="125"/>
      <c r="I112" s="127"/>
      <c r="J112" s="121"/>
      <c r="K112" s="161"/>
      <c r="L112" s="161"/>
      <c r="M112" s="165"/>
      <c r="N112" s="121"/>
      <c r="O112" s="121"/>
      <c r="P112" s="121"/>
      <c r="Q112" s="121"/>
      <c r="R112" s="121"/>
      <c r="S112" s="121"/>
      <c r="T112" s="121"/>
      <c r="U112" s="127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8"/>
      <c r="AK112" s="121"/>
      <c r="AL112" s="128"/>
    </row>
    <row r="113" spans="2:38" x14ac:dyDescent="0.3">
      <c r="B113" s="121"/>
      <c r="C113" s="121"/>
      <c r="D113" s="122"/>
      <c r="E113" s="123"/>
      <c r="F113" s="124"/>
      <c r="G113" s="121"/>
      <c r="H113" s="125"/>
      <c r="I113" s="121"/>
      <c r="J113" s="121"/>
      <c r="K113" s="161"/>
      <c r="L113" s="161"/>
      <c r="M113" s="165"/>
      <c r="N113" s="160"/>
      <c r="O113" s="121"/>
      <c r="P113" s="121"/>
      <c r="Q113" s="121"/>
      <c r="R113" s="121"/>
      <c r="S113" s="121"/>
      <c r="T113" s="121"/>
      <c r="U113" s="127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8"/>
      <c r="AK113" s="121"/>
      <c r="AL113" s="128"/>
    </row>
  </sheetData>
  <autoFilter ref="A6:AL57" xr:uid="{61407FA4-F656-4013-B4B7-BE63AC53DBFD}">
    <filterColumn colId="16" showButton="0"/>
  </autoFilter>
  <mergeCells count="44">
    <mergeCell ref="B2:AK2"/>
    <mergeCell ref="B3:Q3"/>
    <mergeCell ref="J5:Y5"/>
    <mergeCell ref="Z5:AI5"/>
    <mergeCell ref="M6:M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AA6:AA7"/>
    <mergeCell ref="N6:N7"/>
    <mergeCell ref="O6:O7"/>
    <mergeCell ref="P6:P7"/>
    <mergeCell ref="Q6:R6"/>
    <mergeCell ref="S6:S7"/>
    <mergeCell ref="T6:T7"/>
    <mergeCell ref="K60:P60"/>
    <mergeCell ref="Q60:R60"/>
    <mergeCell ref="AI6:AI7"/>
    <mergeCell ref="AJ6:AJ7"/>
    <mergeCell ref="AK6:AK7"/>
    <mergeCell ref="AC6:AC7"/>
    <mergeCell ref="AD6:AD7"/>
    <mergeCell ref="AE6:AE7"/>
    <mergeCell ref="AF6:AF7"/>
    <mergeCell ref="AG6:AG7"/>
    <mergeCell ref="AH6:AH7"/>
    <mergeCell ref="U6:U7"/>
    <mergeCell ref="V6:V7"/>
    <mergeCell ref="W6:W7"/>
    <mergeCell ref="X6:X7"/>
    <mergeCell ref="Y6:Y7"/>
    <mergeCell ref="I69:P69"/>
    <mergeCell ref="T69:Y69"/>
    <mergeCell ref="I70:P70"/>
    <mergeCell ref="T70:Y70"/>
    <mergeCell ref="I91:M91"/>
  </mergeCells>
  <conditionalFormatting sqref="K8:K57">
    <cfRule type="cellIs" dxfId="1" priority="1" operator="between">
      <formula>100</formula>
      <formula>300</formula>
    </cfRule>
  </conditionalFormatting>
  <conditionalFormatting sqref="U8:V57">
    <cfRule type="cellIs" dxfId="0" priority="2" operator="between">
      <formula>0</formula>
      <formula>0</formula>
    </cfRule>
  </conditionalFormatting>
  <dataValidations count="2">
    <dataValidation allowBlank="1" showInputMessage="1" showErrorMessage="1" promptTitle="IESS GRAVABLE" prompt="LA SUMA DE SUELDO + H.E + COMISIONES +BONIFICACIONES_x000a_" sqref="T6:T7" xr:uid="{AE6DAE83-F938-445D-8F06-6EE921AC5E95}"/>
    <dataValidation allowBlank="1" showInputMessage="1" showErrorMessage="1" promptTitle="COMISION META" prompt="APLICA PARA RECAUDACION" sqref="N6:N7" xr:uid="{76364004-EFF9-46A3-BB43-D58A8747AFFD}"/>
  </dataValidations>
  <pageMargins left="0.12" right="0.12" top="0.48" bottom="0.12" header="0.12" footer="0.3"/>
  <pageSetup scale="1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558E-EA7A-4663-8971-1104EFA7498B}">
  <dimension ref="A1"/>
  <sheetViews>
    <sheetView workbookViewId="0">
      <selection activeCell="F21" sqref="F21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ROL GENERAL</vt:lpstr>
      <vt:lpstr>Hoja2</vt:lpstr>
      <vt:lpstr>'ROL GENERAL'!Títulos_a_imprimir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Genova Acosta Acosta</dc:creator>
  <cp:lastModifiedBy>Danny Joeh Veliz Calero</cp:lastModifiedBy>
  <dcterms:created xsi:type="dcterms:W3CDTF">2025-11-17T00:30:32Z</dcterms:created>
  <dcterms:modified xsi:type="dcterms:W3CDTF">2025-11-30T01:47:04Z</dcterms:modified>
</cp:coreProperties>
</file>