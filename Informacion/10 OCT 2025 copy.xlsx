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2.xml" ContentType="application/vnd.openxmlformats-officedocument.drawing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2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ny\Documents\Trabajo\TrabajoLiz\"/>
    </mc:Choice>
  </mc:AlternateContent>
  <xr:revisionPtr revIDLastSave="0" documentId="13_ncr:1_{39DCACE2-126E-4F18-840C-703AEB206FCC}" xr6:coauthVersionLast="47" xr6:coauthVersionMax="47" xr10:uidLastSave="{00000000-0000-0000-0000-000000000000}"/>
  <bookViews>
    <workbookView xWindow="-108" yWindow="-108" windowWidth="23256" windowHeight="12456" activeTab="3" xr2:uid="{1B96BFF3-D2CE-493B-B5E6-FAE7BCD6A21C}"/>
  </bookViews>
  <sheets>
    <sheet name="OCTUBRE 2025" sheetId="72" r:id="rId1"/>
    <sheet name="BONO vehicular" sheetId="61" state="hidden" r:id="rId2"/>
    <sheet name="COMISIONES" sheetId="67" state="hidden" r:id="rId3"/>
    <sheet name="ROL INDIVIDUAL" sheetId="56" r:id="rId4"/>
    <sheet name="ROL INDIVIDUAL (2)" sheetId="99" state="hidden" r:id="rId5"/>
    <sheet name="CHIMBOLEMA" sheetId="77" r:id="rId6"/>
    <sheet name="coca" sheetId="93" state="hidden" r:id="rId7"/>
    <sheet name="coca (2)" sheetId="96" state="hidden" r:id="rId8"/>
    <sheet name="Enfermedad-Meza)" sheetId="98" state="hidden" r:id="rId9"/>
    <sheet name="Cálculo Morocho" sheetId="100" state="hidden" r:id="rId10"/>
    <sheet name="DEL ROSARIO" sheetId="102" r:id="rId11"/>
    <sheet name="CHIMBOLEMA KEVIN" sheetId="103" r:id="rId12"/>
    <sheet name="OTRAS COMISIONES" sheetId="81" r:id="rId13"/>
    <sheet name="COMISIONES-SOCIOS" sheetId="79" r:id="rId14"/>
    <sheet name="CTAS POR COBRAR-GUAPI" sheetId="82" state="hidden" r:id="rId15"/>
    <sheet name="H.EXTRAS" sheetId="62" r:id="rId16"/>
    <sheet name="Conversión-HE" sheetId="91" r:id="rId17"/>
    <sheet name="PQ" sheetId="64" r:id="rId18"/>
    <sheet name="FR" sheetId="63" r:id="rId19"/>
    <sheet name="Enfermedad" sheetId="68" state="hidden" r:id="rId20"/>
    <sheet name="CxC García Henry" sheetId="85" state="hidden" r:id="rId21"/>
    <sheet name="CxC Guayanlema" sheetId="95" state="hidden" r:id="rId22"/>
    <sheet name="ANTICIPOS" sheetId="84" r:id="rId23"/>
    <sheet name="Hoja1" sheetId="78" state="hidden" r:id="rId24"/>
    <sheet name="comprobación" sheetId="86" state="hidden" r:id="rId25"/>
    <sheet name="DESCUENTO" sheetId="89" state="hidden" r:id="rId26"/>
    <sheet name="anticipos-pago yuquilema" sheetId="90" state="hidden" r:id="rId27"/>
  </sheets>
  <definedNames>
    <definedName name="_xlnm._FilterDatabase" localSheetId="22" hidden="1">ANTICIPOS!$A$1:$BB$54</definedName>
    <definedName name="_xlnm._FilterDatabase" localSheetId="16" hidden="1">'Conversión-HE'!$B$19:$I$70</definedName>
    <definedName name="_xlnm._FilterDatabase" localSheetId="18" hidden="1">FR!$B$5:$M$56</definedName>
    <definedName name="_xlnm._FilterDatabase" localSheetId="0" hidden="1">'OCTUBRE 2025'!$A$6:$BF$10</definedName>
    <definedName name="_xlnm._FilterDatabase" localSheetId="17" hidden="1">PQ!$B$7:$F$29</definedName>
    <definedName name="_xlnm.Print_Area" localSheetId="16">'Conversión-HE'!$D$1:$H$19</definedName>
    <definedName name="CANTIDAD_POR_DEPARTAMENTO">#REF!</definedName>
    <definedName name="SUELDOS_POR_DEPARTAMENTO">#REF!</definedName>
    <definedName name="_xlnm.Print_Titles" localSheetId="22">ANTICIPOS!#REF!</definedName>
    <definedName name="_xlnm.Print_Titles" localSheetId="0">'OCTUBRE 2025'!$2:$4</definedName>
  </definedNames>
  <calcPr calcId="191029"/>
  <pivotCaches>
    <pivotCache cacheId="0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64" l="1"/>
  <c r="I20" i="91"/>
  <c r="AN8" i="72"/>
  <c r="AN9" i="72" s="1"/>
  <c r="AN10" i="72" s="1"/>
  <c r="D43" i="63"/>
  <c r="I43" i="63"/>
  <c r="J43" i="63"/>
  <c r="D16" i="63"/>
  <c r="I16" i="63"/>
  <c r="J16" i="63"/>
  <c r="D15" i="63"/>
  <c r="I15" i="63"/>
  <c r="J15" i="63"/>
  <c r="D10" i="63"/>
  <c r="I10" i="63"/>
  <c r="J10" i="63"/>
  <c r="I9" i="63"/>
  <c r="J9" i="63"/>
  <c r="B7" i="63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18" i="63" s="1"/>
  <c r="B19" i="63" s="1"/>
  <c r="B20" i="63" s="1"/>
  <c r="B21" i="63" s="1"/>
  <c r="B22" i="63" s="1"/>
  <c r="B23" i="63" s="1"/>
  <c r="B24" i="63" s="1"/>
  <c r="B25" i="63" s="1"/>
  <c r="B26" i="63" s="1"/>
  <c r="B27" i="63" s="1"/>
  <c r="B28" i="63" s="1"/>
  <c r="B29" i="63" s="1"/>
  <c r="B30" i="63" s="1"/>
  <c r="B31" i="63" s="1"/>
  <c r="B32" i="63" s="1"/>
  <c r="B33" i="63" s="1"/>
  <c r="B34" i="63" s="1"/>
  <c r="B35" i="63" s="1"/>
  <c r="B36" i="63" s="1"/>
  <c r="B37" i="63" s="1"/>
  <c r="B38" i="63" s="1"/>
  <c r="B39" i="63" s="1"/>
  <c r="B40" i="63" s="1"/>
  <c r="B41" i="63" s="1"/>
  <c r="B42" i="63" s="1"/>
  <c r="B43" i="63" s="1"/>
  <c r="B44" i="63" s="1"/>
  <c r="B45" i="63" s="1"/>
  <c r="B46" i="63" s="1"/>
  <c r="B47" i="63" s="1"/>
  <c r="B48" i="63" s="1"/>
  <c r="B49" i="63" s="1"/>
  <c r="B50" i="63" s="1"/>
  <c r="B51" i="63" s="1"/>
  <c r="B52" i="63" s="1"/>
  <c r="B53" i="63" s="1"/>
  <c r="B54" i="63" s="1"/>
  <c r="B55" i="63" s="1"/>
  <c r="D14" i="63"/>
  <c r="I14" i="63"/>
  <c r="J14" i="63"/>
  <c r="D17" i="63"/>
  <c r="I17" i="63"/>
  <c r="J17" i="63"/>
  <c r="I13" i="63"/>
  <c r="J13" i="63"/>
  <c r="D12" i="63"/>
  <c r="I12" i="63"/>
  <c r="J12" i="63"/>
  <c r="P8" i="72"/>
  <c r="P9" i="72"/>
  <c r="P10" i="72"/>
  <c r="M8" i="72"/>
  <c r="M9" i="72"/>
  <c r="M10" i="72"/>
  <c r="H33" i="103"/>
  <c r="H34" i="103" s="1"/>
  <c r="E32" i="103"/>
  <c r="E43" i="103" s="1"/>
  <c r="F21" i="103"/>
  <c r="F20" i="103"/>
  <c r="G20" i="103" s="1"/>
  <c r="F19" i="103"/>
  <c r="F14" i="103"/>
  <c r="G19" i="103" s="1"/>
  <c r="D14" i="103"/>
  <c r="D15" i="103" s="1"/>
  <c r="G10" i="103"/>
  <c r="D26" i="91"/>
  <c r="D14" i="79"/>
  <c r="E14" i="79"/>
  <c r="F14" i="79"/>
  <c r="G14" i="79"/>
  <c r="J14" i="79"/>
  <c r="K14" i="79"/>
  <c r="L14" i="79"/>
  <c r="F27" i="103" l="1"/>
  <c r="C32" i="103"/>
  <c r="C43" i="103" s="1"/>
  <c r="E44" i="103" s="1"/>
  <c r="G44" i="103" s="1"/>
  <c r="G21" i="103"/>
  <c r="G27" i="103" s="1"/>
  <c r="I18" i="103" s="1"/>
  <c r="F15" i="103"/>
  <c r="G15" i="103"/>
  <c r="I16" i="103" s="1"/>
  <c r="B5" i="84"/>
  <c r="B6" i="84" s="1"/>
  <c r="B7" i="84" s="1"/>
  <c r="B8" i="84" s="1"/>
  <c r="B9" i="84" s="1"/>
  <c r="B10" i="84" s="1"/>
  <c r="B11" i="84" s="1"/>
  <c r="B12" i="84" s="1"/>
  <c r="B13" i="84" s="1"/>
  <c r="B14" i="84" s="1"/>
  <c r="B15" i="84" s="1"/>
  <c r="B16" i="84" s="1"/>
  <c r="B17" i="84" s="1"/>
  <c r="B18" i="84" s="1"/>
  <c r="B19" i="84" s="1"/>
  <c r="B20" i="84" s="1"/>
  <c r="B21" i="84" s="1"/>
  <c r="B22" i="84" s="1"/>
  <c r="B23" i="84" s="1"/>
  <c r="B24" i="84" s="1"/>
  <c r="B25" i="84" s="1"/>
  <c r="B26" i="84" s="1"/>
  <c r="B27" i="84" s="1"/>
  <c r="B28" i="84" s="1"/>
  <c r="B29" i="84" s="1"/>
  <c r="B30" i="84" s="1"/>
  <c r="B31" i="84" s="1"/>
  <c r="B32" i="84" s="1"/>
  <c r="B33" i="84" s="1"/>
  <c r="B34" i="84" s="1"/>
  <c r="B35" i="84" s="1"/>
  <c r="B36" i="84" s="1"/>
  <c r="B37" i="84" s="1"/>
  <c r="B38" i="84" s="1"/>
  <c r="B39" i="84" s="1"/>
  <c r="B40" i="84" s="1"/>
  <c r="B41" i="84" s="1"/>
  <c r="B42" i="84" s="1"/>
  <c r="B43" i="84" s="1"/>
  <c r="B44" i="84" s="1"/>
  <c r="B45" i="84" s="1"/>
  <c r="B46" i="84" s="1"/>
  <c r="B47" i="84" s="1"/>
  <c r="B48" i="84" s="1"/>
  <c r="B49" i="84" s="1"/>
  <c r="B50" i="84" s="1"/>
  <c r="B51" i="84" s="1"/>
  <c r="B52" i="84" s="1"/>
  <c r="B8" i="72"/>
  <c r="B9" i="72" s="1"/>
  <c r="B10" i="72" s="1"/>
  <c r="B4" i="84"/>
  <c r="E11" i="84"/>
  <c r="B35" i="91"/>
  <c r="B36" i="91"/>
  <c r="B37" i="91"/>
  <c r="B38" i="91"/>
  <c r="B39" i="91" s="1"/>
  <c r="B40" i="91" s="1"/>
  <c r="B41" i="91" s="1"/>
  <c r="B42" i="91" s="1"/>
  <c r="B43" i="91" s="1"/>
  <c r="B44" i="91" s="1"/>
  <c r="B45" i="91" s="1"/>
  <c r="B46" i="91" s="1"/>
  <c r="B47" i="91" s="1"/>
  <c r="B48" i="91" s="1"/>
  <c r="B49" i="91" s="1"/>
  <c r="B50" i="91" s="1"/>
  <c r="B51" i="91" s="1"/>
  <c r="B52" i="91" s="1"/>
  <c r="B53" i="91" s="1"/>
  <c r="B54" i="91" s="1"/>
  <c r="B55" i="91" s="1"/>
  <c r="B56" i="91" s="1"/>
  <c r="B57" i="91" s="1"/>
  <c r="B58" i="91" s="1"/>
  <c r="B59" i="91" s="1"/>
  <c r="B60" i="91" s="1"/>
  <c r="B61" i="91" s="1"/>
  <c r="B62" i="91" s="1"/>
  <c r="B63" i="91" s="1"/>
  <c r="B64" i="91" s="1"/>
  <c r="B65" i="91" s="1"/>
  <c r="B66" i="91" s="1"/>
  <c r="B67" i="91" s="1"/>
  <c r="B68" i="91" s="1"/>
  <c r="B69" i="91" s="1"/>
  <c r="B22" i="91"/>
  <c r="B23" i="91"/>
  <c r="B24" i="91"/>
  <c r="B25" i="91"/>
  <c r="B26" i="91" s="1"/>
  <c r="B27" i="91" s="1"/>
  <c r="B28" i="91" s="1"/>
  <c r="B29" i="91" s="1"/>
  <c r="B30" i="91" s="1"/>
  <c r="B31" i="91" s="1"/>
  <c r="B32" i="91" s="1"/>
  <c r="B33" i="91" s="1"/>
  <c r="B34" i="91" s="1"/>
  <c r="D57" i="91"/>
  <c r="E57" i="91"/>
  <c r="H57" i="91"/>
  <c r="I57" i="91"/>
  <c r="D30" i="91"/>
  <c r="E30" i="91"/>
  <c r="H30" i="91"/>
  <c r="I30" i="91"/>
  <c r="D18" i="62"/>
  <c r="E18" i="62"/>
  <c r="F18" i="62"/>
  <c r="G18" i="62"/>
  <c r="H18" i="62"/>
  <c r="I18" i="62"/>
  <c r="K18" i="62" s="1"/>
  <c r="D29" i="91"/>
  <c r="E29" i="91"/>
  <c r="H29" i="91"/>
  <c r="H17" i="62" s="1"/>
  <c r="I29" i="91"/>
  <c r="I17" i="62" s="1"/>
  <c r="B21" i="91"/>
  <c r="D28" i="91"/>
  <c r="E28" i="91"/>
  <c r="H28" i="91"/>
  <c r="H16" i="62" s="1"/>
  <c r="I28" i="91"/>
  <c r="I16" i="62" s="1"/>
  <c r="E15" i="62"/>
  <c r="F15" i="62"/>
  <c r="G15" i="62"/>
  <c r="D15" i="62"/>
  <c r="D16" i="62"/>
  <c r="E26" i="91"/>
  <c r="H26" i="91"/>
  <c r="H14" i="62" s="1"/>
  <c r="I26" i="91"/>
  <c r="I14" i="62" s="1"/>
  <c r="D24" i="91"/>
  <c r="E24" i="91"/>
  <c r="H24" i="91"/>
  <c r="H12" i="62" s="1"/>
  <c r="I24" i="91"/>
  <c r="I12" i="62" s="1"/>
  <c r="D45" i="62"/>
  <c r="E45" i="62"/>
  <c r="F45" i="62"/>
  <c r="G45" i="62"/>
  <c r="H45" i="62"/>
  <c r="I45" i="62"/>
  <c r="D14" i="62"/>
  <c r="E14" i="62"/>
  <c r="F14" i="62"/>
  <c r="G14" i="62"/>
  <c r="E16" i="62"/>
  <c r="F16" i="62"/>
  <c r="G16" i="62"/>
  <c r="D17" i="62"/>
  <c r="E17" i="62"/>
  <c r="F17" i="62"/>
  <c r="G17" i="62"/>
  <c r="D12" i="62"/>
  <c r="E12" i="62"/>
  <c r="F12" i="62"/>
  <c r="G12" i="62"/>
  <c r="D16" i="79"/>
  <c r="E16" i="79"/>
  <c r="F16" i="79"/>
  <c r="G16" i="79"/>
  <c r="J16" i="79"/>
  <c r="K16" i="79"/>
  <c r="L16" i="79"/>
  <c r="D45" i="79"/>
  <c r="E45" i="79"/>
  <c r="F45" i="79"/>
  <c r="G45" i="79"/>
  <c r="J45" i="79"/>
  <c r="K45" i="79"/>
  <c r="L45" i="79"/>
  <c r="D17" i="79"/>
  <c r="E17" i="79"/>
  <c r="F17" i="79"/>
  <c r="G17" i="79"/>
  <c r="J17" i="79"/>
  <c r="K17" i="79"/>
  <c r="L17" i="79"/>
  <c r="D18" i="79"/>
  <c r="E18" i="79"/>
  <c r="F18" i="79"/>
  <c r="G18" i="79"/>
  <c r="J18" i="79"/>
  <c r="K18" i="79"/>
  <c r="L18" i="79"/>
  <c r="D12" i="79"/>
  <c r="E12" i="79"/>
  <c r="F12" i="79"/>
  <c r="G12" i="79"/>
  <c r="J12" i="79"/>
  <c r="K12" i="79"/>
  <c r="D45" i="81"/>
  <c r="E45" i="81"/>
  <c r="F45" i="81"/>
  <c r="G45" i="81"/>
  <c r="K45" i="81"/>
  <c r="D18" i="81"/>
  <c r="E18" i="81"/>
  <c r="F18" i="81"/>
  <c r="G18" i="81"/>
  <c r="K18" i="81"/>
  <c r="D14" i="81"/>
  <c r="E14" i="81"/>
  <c r="F14" i="81"/>
  <c r="G14" i="81"/>
  <c r="K14" i="81"/>
  <c r="K12" i="81"/>
  <c r="K13" i="81"/>
  <c r="K15" i="81"/>
  <c r="K16" i="81"/>
  <c r="K17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1" i="81"/>
  <c r="K42" i="81"/>
  <c r="K43" i="81"/>
  <c r="K44" i="81"/>
  <c r="K46" i="81"/>
  <c r="K47" i="81"/>
  <c r="K48" i="81"/>
  <c r="K49" i="81"/>
  <c r="K50" i="81"/>
  <c r="K51" i="81"/>
  <c r="K52" i="81"/>
  <c r="K53" i="81"/>
  <c r="K54" i="81"/>
  <c r="K55" i="81"/>
  <c r="K56" i="81"/>
  <c r="K57" i="81"/>
  <c r="K58" i="81"/>
  <c r="D12" i="81"/>
  <c r="E12" i="81"/>
  <c r="F12" i="81"/>
  <c r="G12" i="81"/>
  <c r="D17" i="81"/>
  <c r="E17" i="81"/>
  <c r="F17" i="81"/>
  <c r="G17" i="81"/>
  <c r="E16" i="81"/>
  <c r="AH11" i="72"/>
  <c r="E40" i="84"/>
  <c r="E9" i="84"/>
  <c r="E13" i="84"/>
  <c r="J18" i="62" l="1"/>
  <c r="J45" i="62"/>
  <c r="K43" i="63" s="1"/>
  <c r="K45" i="62"/>
  <c r="J14" i="62"/>
  <c r="K14" i="62"/>
  <c r="K17" i="62"/>
  <c r="J16" i="62"/>
  <c r="J17" i="62"/>
  <c r="K16" i="62"/>
  <c r="K12" i="62"/>
  <c r="J12" i="62"/>
  <c r="L12" i="79"/>
  <c r="K15" i="63" l="1"/>
  <c r="K17" i="63"/>
  <c r="M17" i="63" s="1"/>
  <c r="K10" i="63"/>
  <c r="K16" i="63"/>
  <c r="L18" i="62"/>
  <c r="L14" i="62"/>
  <c r="L45" i="62"/>
  <c r="L16" i="62"/>
  <c r="L17" i="62"/>
  <c r="L12" i="62"/>
  <c r="F14" i="102"/>
  <c r="G19" i="102"/>
  <c r="F14" i="77"/>
  <c r="G19" i="77"/>
  <c r="E32" i="77"/>
  <c r="C32" i="77"/>
  <c r="C33" i="77"/>
  <c r="F19" i="77"/>
  <c r="K12" i="63" l="1"/>
  <c r="K14" i="63"/>
  <c r="H7" i="61"/>
  <c r="J20" i="61"/>
  <c r="I16" i="102"/>
  <c r="G15" i="102"/>
  <c r="F20" i="102"/>
  <c r="G20" i="102" s="1"/>
  <c r="J23" i="61"/>
  <c r="J21" i="61"/>
  <c r="J16" i="61"/>
  <c r="J15" i="61"/>
  <c r="J14" i="61"/>
  <c r="J11" i="61"/>
  <c r="J10" i="61"/>
  <c r="J7" i="61"/>
  <c r="F15" i="102"/>
  <c r="F19" i="102"/>
  <c r="H34" i="102" s="1"/>
  <c r="E32" i="102" s="1"/>
  <c r="E15" i="84"/>
  <c r="E3" i="84"/>
  <c r="E4" i="84"/>
  <c r="E5" i="84"/>
  <c r="E6" i="84"/>
  <c r="E8" i="84"/>
  <c r="E10" i="84"/>
  <c r="E12" i="84"/>
  <c r="E14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35" i="64"/>
  <c r="C32" i="102" l="1"/>
  <c r="AG11" i="72"/>
  <c r="H33" i="102" l="1"/>
  <c r="F21" i="102"/>
  <c r="D14" i="102"/>
  <c r="D15" i="102" s="1"/>
  <c r="G10" i="102"/>
  <c r="E63" i="84"/>
  <c r="D11" i="63"/>
  <c r="I11" i="63"/>
  <c r="J11" i="63"/>
  <c r="K8" i="72"/>
  <c r="K10" i="72"/>
  <c r="F7" i="61"/>
  <c r="D8" i="61"/>
  <c r="D9" i="61"/>
  <c r="D10" i="61"/>
  <c r="D11" i="61"/>
  <c r="D12" i="61"/>
  <c r="D13" i="61"/>
  <c r="D14" i="61"/>
  <c r="D15" i="61"/>
  <c r="D16" i="61"/>
  <c r="D17" i="61"/>
  <c r="D18" i="61"/>
  <c r="D19" i="61"/>
  <c r="D20" i="61"/>
  <c r="D21" i="61"/>
  <c r="D22" i="61"/>
  <c r="D23" i="61"/>
  <c r="D7" i="61"/>
  <c r="H8" i="61"/>
  <c r="J8" i="61" s="1"/>
  <c r="H9" i="61"/>
  <c r="H10" i="61"/>
  <c r="H11" i="61"/>
  <c r="H12" i="61"/>
  <c r="J12" i="61" s="1"/>
  <c r="H13" i="61"/>
  <c r="H14" i="61"/>
  <c r="H16" i="61"/>
  <c r="H17" i="61"/>
  <c r="H18" i="61"/>
  <c r="H19" i="61"/>
  <c r="H20" i="61"/>
  <c r="H21" i="61"/>
  <c r="H22" i="61"/>
  <c r="H23" i="61"/>
  <c r="I8" i="61"/>
  <c r="I9" i="61"/>
  <c r="I10" i="61"/>
  <c r="I11" i="61"/>
  <c r="I12" i="61"/>
  <c r="I13" i="61"/>
  <c r="I14" i="61"/>
  <c r="I16" i="61"/>
  <c r="I17" i="61"/>
  <c r="I18" i="61"/>
  <c r="I19" i="61"/>
  <c r="I20" i="61"/>
  <c r="I21" i="61"/>
  <c r="I22" i="61"/>
  <c r="I23" i="61"/>
  <c r="I7" i="61"/>
  <c r="J19" i="61"/>
  <c r="D41" i="63"/>
  <c r="I41" i="63"/>
  <c r="J41" i="63"/>
  <c r="D55" i="91"/>
  <c r="E55" i="91"/>
  <c r="H55" i="91"/>
  <c r="H43" i="62" s="1"/>
  <c r="I55" i="91"/>
  <c r="I43" i="62" s="1"/>
  <c r="D43" i="62"/>
  <c r="E43" i="62"/>
  <c r="F43" i="62"/>
  <c r="G43" i="62"/>
  <c r="D43" i="79"/>
  <c r="E43" i="79"/>
  <c r="F43" i="79"/>
  <c r="G43" i="79"/>
  <c r="J43" i="79"/>
  <c r="K43" i="79"/>
  <c r="D43" i="81"/>
  <c r="E43" i="81"/>
  <c r="F43" i="81"/>
  <c r="G43" i="81"/>
  <c r="D13" i="81"/>
  <c r="E13" i="81"/>
  <c r="F13" i="81"/>
  <c r="G13" i="81"/>
  <c r="D13" i="79"/>
  <c r="E13" i="79"/>
  <c r="F13" i="79"/>
  <c r="G13" i="79"/>
  <c r="J13" i="79"/>
  <c r="K13" i="79"/>
  <c r="G13" i="62"/>
  <c r="D13" i="62"/>
  <c r="E13" i="62"/>
  <c r="F13" i="62"/>
  <c r="D25" i="91"/>
  <c r="E25" i="91"/>
  <c r="H25" i="91"/>
  <c r="H13" i="62" s="1"/>
  <c r="I25" i="91"/>
  <c r="I13" i="62" s="1"/>
  <c r="J22" i="61" l="1"/>
  <c r="L43" i="79"/>
  <c r="L13" i="79"/>
  <c r="F27" i="102"/>
  <c r="G21" i="102"/>
  <c r="K43" i="62"/>
  <c r="J43" i="62"/>
  <c r="K13" i="62"/>
  <c r="J13" i="62"/>
  <c r="K9" i="72" l="1"/>
  <c r="J25" i="61"/>
  <c r="L43" i="62"/>
  <c r="G27" i="102"/>
  <c r="I18" i="102" s="1"/>
  <c r="L13" i="62"/>
  <c r="J11" i="72"/>
  <c r="H18" i="56"/>
  <c r="E32" i="100"/>
  <c r="E43" i="100" s="1"/>
  <c r="G19" i="100"/>
  <c r="J45" i="100"/>
  <c r="J46" i="100" s="1"/>
  <c r="Q27" i="100"/>
  <c r="F27" i="100"/>
  <c r="R22" i="100"/>
  <c r="R21" i="100"/>
  <c r="R20" i="100"/>
  <c r="R19" i="100"/>
  <c r="R27" i="100" s="1"/>
  <c r="F14" i="100"/>
  <c r="F15" i="100" s="1"/>
  <c r="G21" i="100" s="1"/>
  <c r="D14" i="100"/>
  <c r="D15" i="100" s="1"/>
  <c r="G10" i="100"/>
  <c r="E14" i="56"/>
  <c r="C32" i="98"/>
  <c r="E32" i="98"/>
  <c r="G20" i="98"/>
  <c r="C43" i="102" l="1"/>
  <c r="E43" i="102"/>
  <c r="G20" i="100"/>
  <c r="G27" i="100" s="1"/>
  <c r="G15" i="100"/>
  <c r="C32" i="100"/>
  <c r="C43" i="100" s="1"/>
  <c r="E44" i="100" s="1"/>
  <c r="G44" i="100" s="1"/>
  <c r="E24" i="99"/>
  <c r="E23" i="99"/>
  <c r="H20" i="99"/>
  <c r="H17" i="99"/>
  <c r="E17" i="99"/>
  <c r="H16" i="99"/>
  <c r="H15" i="99"/>
  <c r="E14" i="99"/>
  <c r="E13" i="99"/>
  <c r="E12" i="99"/>
  <c r="D9" i="99"/>
  <c r="G8" i="99"/>
  <c r="D8" i="99"/>
  <c r="G31" i="99" s="1"/>
  <c r="G7" i="99"/>
  <c r="J45" i="98"/>
  <c r="J46" i="98" s="1"/>
  <c r="Q27" i="98"/>
  <c r="F27" i="98"/>
  <c r="R22" i="98"/>
  <c r="R21" i="98"/>
  <c r="R20" i="98"/>
  <c r="R19" i="98"/>
  <c r="R27" i="98" s="1"/>
  <c r="F15" i="98"/>
  <c r="G21" i="98" s="1"/>
  <c r="F14" i="98"/>
  <c r="G15" i="98" s="1"/>
  <c r="D14" i="98"/>
  <c r="D15" i="98" s="1"/>
  <c r="G10" i="98"/>
  <c r="H52" i="91"/>
  <c r="I52" i="91"/>
  <c r="D26" i="81"/>
  <c r="E26" i="81"/>
  <c r="F26" i="81"/>
  <c r="G26" i="81"/>
  <c r="K41" i="63" l="1"/>
  <c r="K11" i="63"/>
  <c r="E44" i="102"/>
  <c r="G44" i="102" s="1"/>
  <c r="E43" i="98"/>
  <c r="G19" i="98"/>
  <c r="G27" i="98" s="1"/>
  <c r="AC8" i="72"/>
  <c r="AC9" i="72"/>
  <c r="AC10" i="72"/>
  <c r="AD11" i="72"/>
  <c r="E38" i="64"/>
  <c r="E36" i="64"/>
  <c r="E43" i="64"/>
  <c r="E39" i="64"/>
  <c r="E44" i="64"/>
  <c r="E37" i="64"/>
  <c r="E45" i="64"/>
  <c r="E40" i="64"/>
  <c r="E41" i="64"/>
  <c r="H13" i="99" l="1"/>
  <c r="H14" i="99"/>
  <c r="C43" i="98"/>
  <c r="E47" i="64"/>
  <c r="D24" i="63"/>
  <c r="I24" i="63"/>
  <c r="J24" i="63"/>
  <c r="D23" i="63"/>
  <c r="D38" i="91"/>
  <c r="E38" i="91"/>
  <c r="H38" i="91"/>
  <c r="H26" i="62" s="1"/>
  <c r="I38" i="91"/>
  <c r="I26" i="62" s="1"/>
  <c r="D26" i="62"/>
  <c r="E26" i="62"/>
  <c r="F26" i="62"/>
  <c r="G26" i="62"/>
  <c r="E44" i="98" l="1"/>
  <c r="G44" i="98" s="1"/>
  <c r="AC11" i="72"/>
  <c r="J26" i="62"/>
  <c r="K26" i="62"/>
  <c r="D26" i="79"/>
  <c r="E26" i="79"/>
  <c r="F26" i="79"/>
  <c r="G26" i="79"/>
  <c r="J26" i="79"/>
  <c r="K26" i="79"/>
  <c r="D25" i="79"/>
  <c r="J59" i="81"/>
  <c r="N11" i="72"/>
  <c r="L26" i="79" l="1"/>
  <c r="L26" i="62"/>
  <c r="D10" i="79" l="1"/>
  <c r="E10" i="79"/>
  <c r="F10" i="79"/>
  <c r="G10" i="79"/>
  <c r="D11" i="79"/>
  <c r="E11" i="79"/>
  <c r="F11" i="79"/>
  <c r="G11" i="79"/>
  <c r="D15" i="79"/>
  <c r="E15" i="79"/>
  <c r="F15" i="79"/>
  <c r="G15" i="79"/>
  <c r="D19" i="79"/>
  <c r="E19" i="79"/>
  <c r="F19" i="79"/>
  <c r="G19" i="79"/>
  <c r="D16" i="81"/>
  <c r="F16" i="81"/>
  <c r="G16" i="81"/>
  <c r="E44" i="95"/>
  <c r="E44" i="85"/>
  <c r="E30" i="81" l="1"/>
  <c r="I28" i="63" l="1"/>
  <c r="J28" i="63"/>
  <c r="D28" i="63"/>
  <c r="D42" i="91"/>
  <c r="E42" i="91"/>
  <c r="H42" i="91"/>
  <c r="H30" i="62" s="1"/>
  <c r="I42" i="91"/>
  <c r="I30" i="62" s="1"/>
  <c r="D30" i="62"/>
  <c r="E30" i="62"/>
  <c r="F30" i="62"/>
  <c r="G30" i="62"/>
  <c r="D30" i="79"/>
  <c r="E30" i="79"/>
  <c r="F30" i="79"/>
  <c r="G30" i="79"/>
  <c r="J30" i="79"/>
  <c r="K30" i="79"/>
  <c r="D30" i="81"/>
  <c r="F30" i="81"/>
  <c r="G30" i="81"/>
  <c r="L30" i="79" l="1"/>
  <c r="K30" i="62"/>
  <c r="J30" i="62"/>
  <c r="L30" i="62" l="1"/>
  <c r="C40" i="96" l="1"/>
  <c r="C43" i="96"/>
  <c r="J34" i="96"/>
  <c r="J33" i="96"/>
  <c r="E32" i="96"/>
  <c r="E43" i="96" s="1"/>
  <c r="C59" i="96"/>
  <c r="C62" i="96" s="1"/>
  <c r="E63" i="96" s="1"/>
  <c r="E51" i="96"/>
  <c r="E62" i="96" s="1"/>
  <c r="H33" i="96"/>
  <c r="H34" i="96" s="1"/>
  <c r="Q27" i="96"/>
  <c r="F27" i="96"/>
  <c r="R22" i="96"/>
  <c r="R21" i="96"/>
  <c r="R20" i="96"/>
  <c r="R19" i="96"/>
  <c r="R27" i="96" s="1"/>
  <c r="G19" i="96"/>
  <c r="F15" i="96"/>
  <c r="G20" i="96" s="1"/>
  <c r="F14" i="96"/>
  <c r="G22" i="96" s="1"/>
  <c r="D14" i="96"/>
  <c r="D15" i="96" s="1"/>
  <c r="H13" i="96"/>
  <c r="G10" i="96"/>
  <c r="H35" i="96" l="1"/>
  <c r="H38" i="96" s="1"/>
  <c r="H36" i="96"/>
  <c r="E44" i="96"/>
  <c r="G44" i="96" s="1"/>
  <c r="G21" i="96"/>
  <c r="G27" i="96" s="1"/>
  <c r="L11" i="72"/>
  <c r="I63" i="96" l="1"/>
  <c r="H17" i="95"/>
  <c r="L15" i="95"/>
  <c r="L16" i="95" s="1"/>
  <c r="L14" i="95"/>
  <c r="H9" i="95"/>
  <c r="E9" i="95"/>
  <c r="H8" i="95"/>
  <c r="E8" i="95"/>
  <c r="H7" i="95"/>
  <c r="L16" i="85"/>
  <c r="L15" i="85"/>
  <c r="L14" i="85"/>
  <c r="H9" i="85"/>
  <c r="H8" i="85"/>
  <c r="E9" i="85"/>
  <c r="H7" i="85"/>
  <c r="E8" i="85"/>
  <c r="L24" i="95" l="1"/>
  <c r="Q56" i="63" l="1"/>
  <c r="J7" i="63" l="1"/>
  <c r="J8" i="63"/>
  <c r="J18" i="63"/>
  <c r="J19" i="63"/>
  <c r="J20" i="63"/>
  <c r="J21" i="63"/>
  <c r="J22" i="63"/>
  <c r="J23" i="63"/>
  <c r="J25" i="63"/>
  <c r="J26" i="63"/>
  <c r="J27" i="63"/>
  <c r="J29" i="63"/>
  <c r="J30" i="63"/>
  <c r="J31" i="63"/>
  <c r="J32" i="63"/>
  <c r="J33" i="63"/>
  <c r="J34" i="63"/>
  <c r="J35" i="63"/>
  <c r="J36" i="63"/>
  <c r="J37" i="63"/>
  <c r="J39" i="63"/>
  <c r="J38" i="63"/>
  <c r="J40" i="63"/>
  <c r="J42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I7" i="63"/>
  <c r="I8" i="63"/>
  <c r="I18" i="63"/>
  <c r="I19" i="63"/>
  <c r="I20" i="63"/>
  <c r="I21" i="63"/>
  <c r="I22" i="63"/>
  <c r="I23" i="63"/>
  <c r="I25" i="63"/>
  <c r="I26" i="63"/>
  <c r="I27" i="63"/>
  <c r="I29" i="63"/>
  <c r="I30" i="63"/>
  <c r="I31" i="63"/>
  <c r="I32" i="63"/>
  <c r="I33" i="63"/>
  <c r="I34" i="63"/>
  <c r="I35" i="63"/>
  <c r="I36" i="63"/>
  <c r="I37" i="63"/>
  <c r="I39" i="63"/>
  <c r="I38" i="63"/>
  <c r="I40" i="63"/>
  <c r="I42" i="63"/>
  <c r="I44" i="63"/>
  <c r="I45" i="63"/>
  <c r="I46" i="63"/>
  <c r="I47" i="63"/>
  <c r="I48" i="63"/>
  <c r="I49" i="63"/>
  <c r="I50" i="63"/>
  <c r="I51" i="63"/>
  <c r="I52" i="63"/>
  <c r="I53" i="63"/>
  <c r="I54" i="63"/>
  <c r="I55" i="63"/>
  <c r="D38" i="63"/>
  <c r="D29" i="63"/>
  <c r="D55" i="63"/>
  <c r="J6" i="63"/>
  <c r="E21" i="91"/>
  <c r="E22" i="91"/>
  <c r="E23" i="91"/>
  <c r="E27" i="91"/>
  <c r="E31" i="91"/>
  <c r="E32" i="91"/>
  <c r="E33" i="91"/>
  <c r="E34" i="91"/>
  <c r="E35" i="91"/>
  <c r="E36" i="91"/>
  <c r="E37" i="91"/>
  <c r="E39" i="91"/>
  <c r="E40" i="91"/>
  <c r="E41" i="91"/>
  <c r="E43" i="91"/>
  <c r="E44" i="91"/>
  <c r="E45" i="91"/>
  <c r="E46" i="91"/>
  <c r="E47" i="91"/>
  <c r="E48" i="91"/>
  <c r="E49" i="91"/>
  <c r="E50" i="91"/>
  <c r="E51" i="91"/>
  <c r="E53" i="91"/>
  <c r="E52" i="91"/>
  <c r="E54" i="91"/>
  <c r="E56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20" i="91"/>
  <c r="D21" i="91"/>
  <c r="D22" i="91"/>
  <c r="D23" i="91"/>
  <c r="D27" i="91"/>
  <c r="D31" i="91"/>
  <c r="D32" i="91"/>
  <c r="D33" i="91"/>
  <c r="D34" i="91"/>
  <c r="D35" i="91"/>
  <c r="D36" i="91"/>
  <c r="D37" i="91"/>
  <c r="D39" i="91"/>
  <c r="D40" i="91"/>
  <c r="D41" i="91"/>
  <c r="D43" i="91"/>
  <c r="D44" i="91"/>
  <c r="D45" i="91"/>
  <c r="D46" i="91"/>
  <c r="D47" i="91"/>
  <c r="D48" i="91"/>
  <c r="D49" i="91"/>
  <c r="D50" i="91"/>
  <c r="D51" i="91"/>
  <c r="D53" i="91"/>
  <c r="D52" i="91"/>
  <c r="D54" i="91"/>
  <c r="D56" i="91"/>
  <c r="D58" i="91"/>
  <c r="D59" i="91"/>
  <c r="D60" i="91"/>
  <c r="D61" i="91"/>
  <c r="D62" i="91"/>
  <c r="D63" i="91"/>
  <c r="D64" i="91"/>
  <c r="D65" i="91"/>
  <c r="D66" i="91"/>
  <c r="D67" i="91"/>
  <c r="D68" i="91"/>
  <c r="D69" i="91"/>
  <c r="D20" i="91"/>
  <c r="E9" i="81"/>
  <c r="F9" i="81"/>
  <c r="G9" i="81"/>
  <c r="E10" i="81"/>
  <c r="F10" i="81"/>
  <c r="G10" i="81"/>
  <c r="E11" i="81"/>
  <c r="F11" i="81"/>
  <c r="G11" i="81"/>
  <c r="E15" i="81"/>
  <c r="F15" i="81"/>
  <c r="G15" i="81"/>
  <c r="E19" i="81"/>
  <c r="F19" i="81"/>
  <c r="G19" i="81"/>
  <c r="E20" i="81"/>
  <c r="F20" i="81"/>
  <c r="G20" i="81"/>
  <c r="E21" i="81"/>
  <c r="F21" i="81"/>
  <c r="G21" i="81"/>
  <c r="E22" i="81"/>
  <c r="F22" i="81"/>
  <c r="G22" i="81"/>
  <c r="E23" i="81"/>
  <c r="F23" i="81"/>
  <c r="G23" i="81"/>
  <c r="E24" i="81"/>
  <c r="F24" i="81"/>
  <c r="G24" i="81"/>
  <c r="E25" i="81"/>
  <c r="F25" i="81"/>
  <c r="G25" i="81"/>
  <c r="E27" i="81"/>
  <c r="F27" i="81"/>
  <c r="G27" i="81"/>
  <c r="E28" i="81"/>
  <c r="F28" i="81"/>
  <c r="G28" i="81"/>
  <c r="E29" i="81"/>
  <c r="F29" i="81"/>
  <c r="G29" i="81"/>
  <c r="E31" i="81"/>
  <c r="F31" i="81"/>
  <c r="G31" i="81"/>
  <c r="E32" i="81"/>
  <c r="F32" i="81"/>
  <c r="G32" i="81"/>
  <c r="E33" i="81"/>
  <c r="F33" i="81"/>
  <c r="G33" i="81"/>
  <c r="E34" i="81"/>
  <c r="F34" i="81"/>
  <c r="G34" i="81"/>
  <c r="E35" i="81"/>
  <c r="F35" i="81"/>
  <c r="G35" i="81"/>
  <c r="E36" i="81"/>
  <c r="F36" i="81"/>
  <c r="G36" i="81"/>
  <c r="E37" i="81"/>
  <c r="F37" i="81"/>
  <c r="G37" i="81"/>
  <c r="E38" i="81"/>
  <c r="F38" i="81"/>
  <c r="G38" i="81"/>
  <c r="E39" i="81"/>
  <c r="F39" i="81"/>
  <c r="G39" i="81"/>
  <c r="E41" i="81"/>
  <c r="F41" i="81"/>
  <c r="G41" i="81"/>
  <c r="E40" i="81"/>
  <c r="F40" i="81"/>
  <c r="G40" i="81"/>
  <c r="E42" i="81"/>
  <c r="F42" i="81"/>
  <c r="G42" i="81"/>
  <c r="E44" i="81"/>
  <c r="F44" i="81"/>
  <c r="G44" i="81"/>
  <c r="E46" i="81"/>
  <c r="F46" i="81"/>
  <c r="G46" i="81"/>
  <c r="E47" i="81"/>
  <c r="F47" i="81"/>
  <c r="G47" i="81"/>
  <c r="E48" i="81"/>
  <c r="F48" i="81"/>
  <c r="G48" i="81"/>
  <c r="E49" i="81"/>
  <c r="F49" i="81"/>
  <c r="G49" i="81"/>
  <c r="E50" i="81"/>
  <c r="F50" i="81"/>
  <c r="G50" i="81"/>
  <c r="E51" i="81"/>
  <c r="F51" i="81"/>
  <c r="G51" i="81"/>
  <c r="E52" i="81"/>
  <c r="F52" i="81"/>
  <c r="G52" i="81"/>
  <c r="E53" i="81"/>
  <c r="F53" i="81"/>
  <c r="G53" i="81"/>
  <c r="E54" i="81"/>
  <c r="F54" i="81"/>
  <c r="G54" i="81"/>
  <c r="E55" i="81"/>
  <c r="F55" i="81"/>
  <c r="G55" i="81"/>
  <c r="E56" i="81"/>
  <c r="F56" i="81"/>
  <c r="G56" i="81"/>
  <c r="E57" i="81"/>
  <c r="F57" i="81"/>
  <c r="G57" i="81"/>
  <c r="G8" i="81"/>
  <c r="F8" i="81"/>
  <c r="E8" i="81"/>
  <c r="D31" i="81"/>
  <c r="D32" i="81"/>
  <c r="D33" i="81"/>
  <c r="D34" i="81"/>
  <c r="D35" i="81"/>
  <c r="D36" i="81"/>
  <c r="D37" i="81"/>
  <c r="D38" i="81"/>
  <c r="D39" i="81"/>
  <c r="D41" i="81"/>
  <c r="D40" i="81"/>
  <c r="D42" i="81"/>
  <c r="D44" i="81"/>
  <c r="D46" i="81"/>
  <c r="D47" i="81"/>
  <c r="D48" i="81"/>
  <c r="D49" i="81"/>
  <c r="D50" i="81"/>
  <c r="D51" i="81"/>
  <c r="D52" i="81"/>
  <c r="D53" i="81"/>
  <c r="D54" i="81"/>
  <c r="D55" i="81"/>
  <c r="D56" i="81"/>
  <c r="D57" i="81"/>
  <c r="D9" i="81"/>
  <c r="D10" i="81"/>
  <c r="D11" i="81"/>
  <c r="D15" i="81"/>
  <c r="D19" i="81"/>
  <c r="D20" i="81"/>
  <c r="D21" i="81"/>
  <c r="D22" i="81"/>
  <c r="D23" i="81"/>
  <c r="D24" i="81"/>
  <c r="D25" i="81"/>
  <c r="D27" i="81"/>
  <c r="D28" i="81"/>
  <c r="D29" i="81"/>
  <c r="D8" i="81"/>
  <c r="G9" i="79"/>
  <c r="G20" i="79"/>
  <c r="G21" i="79"/>
  <c r="G22" i="79"/>
  <c r="G23" i="79"/>
  <c r="G24" i="79"/>
  <c r="G25" i="79"/>
  <c r="G27" i="79"/>
  <c r="G28" i="79"/>
  <c r="G29" i="79"/>
  <c r="G31" i="79"/>
  <c r="G32" i="79"/>
  <c r="G33" i="79"/>
  <c r="G34" i="79"/>
  <c r="G35" i="79"/>
  <c r="G36" i="79"/>
  <c r="G37" i="79"/>
  <c r="G38" i="79"/>
  <c r="G39" i="79"/>
  <c r="G41" i="79"/>
  <c r="G40" i="79"/>
  <c r="G42" i="79"/>
  <c r="G44" i="79"/>
  <c r="G46" i="79"/>
  <c r="G47" i="79"/>
  <c r="G48" i="79"/>
  <c r="G49" i="79"/>
  <c r="G50" i="79"/>
  <c r="G51" i="79"/>
  <c r="G52" i="79"/>
  <c r="G53" i="79"/>
  <c r="G54" i="79"/>
  <c r="G55" i="79"/>
  <c r="G56" i="79"/>
  <c r="G57" i="79"/>
  <c r="G8" i="79"/>
  <c r="F9" i="79"/>
  <c r="F20" i="79"/>
  <c r="F21" i="79"/>
  <c r="F22" i="79"/>
  <c r="F23" i="79"/>
  <c r="F24" i="79"/>
  <c r="F25" i="79"/>
  <c r="F27" i="79"/>
  <c r="F28" i="79"/>
  <c r="F29" i="79"/>
  <c r="F31" i="79"/>
  <c r="F32" i="79"/>
  <c r="F33" i="79"/>
  <c r="F34" i="79"/>
  <c r="F35" i="79"/>
  <c r="F36" i="79"/>
  <c r="F37" i="79"/>
  <c r="F38" i="79"/>
  <c r="F39" i="79"/>
  <c r="F41" i="79"/>
  <c r="F40" i="79"/>
  <c r="F42" i="79"/>
  <c r="F44" i="79"/>
  <c r="F46" i="79"/>
  <c r="F47" i="79"/>
  <c r="F48" i="79"/>
  <c r="F49" i="79"/>
  <c r="F50" i="79"/>
  <c r="F51" i="79"/>
  <c r="F52" i="79"/>
  <c r="F53" i="79"/>
  <c r="F54" i="79"/>
  <c r="F55" i="79"/>
  <c r="F56" i="79"/>
  <c r="F57" i="79"/>
  <c r="F8" i="79"/>
  <c r="E9" i="79"/>
  <c r="E20" i="79"/>
  <c r="E21" i="79"/>
  <c r="E22" i="79"/>
  <c r="E23" i="79"/>
  <c r="E24" i="79"/>
  <c r="E25" i="79"/>
  <c r="E27" i="79"/>
  <c r="E28" i="79"/>
  <c r="E29" i="79"/>
  <c r="E31" i="79"/>
  <c r="E32" i="79"/>
  <c r="E33" i="79"/>
  <c r="E34" i="79"/>
  <c r="E35" i="79"/>
  <c r="E36" i="79"/>
  <c r="E37" i="79"/>
  <c r="E38" i="79"/>
  <c r="E39" i="79"/>
  <c r="E41" i="79"/>
  <c r="E40" i="79"/>
  <c r="E42" i="79"/>
  <c r="E44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8" i="79"/>
  <c r="D9" i="79"/>
  <c r="D20" i="79"/>
  <c r="D21" i="79"/>
  <c r="D22" i="79"/>
  <c r="D23" i="79"/>
  <c r="D24" i="79"/>
  <c r="D27" i="79"/>
  <c r="D28" i="79"/>
  <c r="D29" i="79"/>
  <c r="D31" i="79"/>
  <c r="D32" i="79"/>
  <c r="D33" i="79"/>
  <c r="D34" i="79"/>
  <c r="D35" i="79"/>
  <c r="D36" i="79"/>
  <c r="D37" i="79"/>
  <c r="D38" i="79"/>
  <c r="D39" i="79"/>
  <c r="D41" i="79"/>
  <c r="D40" i="79"/>
  <c r="D42" i="79"/>
  <c r="D44" i="79"/>
  <c r="D46" i="79"/>
  <c r="D47" i="79"/>
  <c r="D48" i="79"/>
  <c r="D49" i="79"/>
  <c r="D50" i="79"/>
  <c r="D51" i="79"/>
  <c r="D52" i="79"/>
  <c r="D53" i="79"/>
  <c r="D54" i="79"/>
  <c r="D55" i="79"/>
  <c r="D56" i="79"/>
  <c r="D57" i="79"/>
  <c r="D8" i="79"/>
  <c r="J33" i="79"/>
  <c r="K33" i="79"/>
  <c r="J44" i="79"/>
  <c r="K44" i="79"/>
  <c r="S35" i="72"/>
  <c r="S34" i="72"/>
  <c r="L44" i="79" l="1"/>
  <c r="L33" i="79"/>
  <c r="G59" i="81"/>
  <c r="H36" i="93"/>
  <c r="H33" i="93"/>
  <c r="H35" i="93" s="1"/>
  <c r="E32" i="93"/>
  <c r="C40" i="93"/>
  <c r="C59" i="93"/>
  <c r="E51" i="93"/>
  <c r="C62" i="93"/>
  <c r="E62" i="93"/>
  <c r="H34" i="93" l="1"/>
  <c r="H38" i="93" s="1"/>
  <c r="E63" i="93"/>
  <c r="E24" i="56" l="1"/>
  <c r="X11" i="72"/>
  <c r="H17" i="56"/>
  <c r="H16" i="56"/>
  <c r="H14" i="56"/>
  <c r="G9" i="62" l="1"/>
  <c r="G10" i="62"/>
  <c r="G11" i="62"/>
  <c r="G19" i="62"/>
  <c r="G20" i="62"/>
  <c r="G21" i="62"/>
  <c r="G22" i="62"/>
  <c r="G23" i="62"/>
  <c r="G24" i="62"/>
  <c r="G25" i="62"/>
  <c r="G27" i="62"/>
  <c r="G28" i="62"/>
  <c r="G29" i="62"/>
  <c r="G31" i="62"/>
  <c r="G32" i="62"/>
  <c r="G33" i="62"/>
  <c r="G34" i="62"/>
  <c r="G35" i="62"/>
  <c r="G36" i="62"/>
  <c r="G37" i="62"/>
  <c r="G38" i="62"/>
  <c r="G39" i="62"/>
  <c r="G41" i="62"/>
  <c r="G40" i="62"/>
  <c r="G42" i="62"/>
  <c r="G44" i="62"/>
  <c r="G46" i="62"/>
  <c r="G47" i="62"/>
  <c r="G48" i="62"/>
  <c r="G49" i="62"/>
  <c r="G50" i="62"/>
  <c r="G51" i="62"/>
  <c r="G52" i="62"/>
  <c r="G53" i="62"/>
  <c r="G54" i="62"/>
  <c r="G55" i="62"/>
  <c r="G56" i="62"/>
  <c r="G57" i="62"/>
  <c r="G8" i="62"/>
  <c r="F9" i="62"/>
  <c r="F10" i="62"/>
  <c r="F11" i="62"/>
  <c r="F19" i="62"/>
  <c r="F20" i="62"/>
  <c r="F21" i="62"/>
  <c r="F22" i="62"/>
  <c r="F23" i="62"/>
  <c r="F24" i="62"/>
  <c r="F25" i="62"/>
  <c r="F27" i="62"/>
  <c r="F28" i="62"/>
  <c r="F29" i="62"/>
  <c r="F31" i="62"/>
  <c r="F32" i="62"/>
  <c r="F33" i="62"/>
  <c r="F34" i="62"/>
  <c r="F35" i="62"/>
  <c r="F36" i="62"/>
  <c r="F37" i="62"/>
  <c r="F38" i="62"/>
  <c r="F39" i="62"/>
  <c r="F41" i="62"/>
  <c r="F40" i="62"/>
  <c r="F42" i="62"/>
  <c r="F44" i="62"/>
  <c r="F46" i="62"/>
  <c r="F47" i="62"/>
  <c r="F48" i="62"/>
  <c r="F49" i="62"/>
  <c r="F50" i="62"/>
  <c r="F51" i="62"/>
  <c r="F52" i="62"/>
  <c r="F53" i="62"/>
  <c r="F54" i="62"/>
  <c r="F55" i="62"/>
  <c r="F56" i="62"/>
  <c r="F57" i="62"/>
  <c r="F8" i="62"/>
  <c r="E9" i="62"/>
  <c r="E10" i="62"/>
  <c r="E11" i="62"/>
  <c r="E19" i="62"/>
  <c r="E20" i="62"/>
  <c r="E21" i="62"/>
  <c r="E22" i="62"/>
  <c r="E23" i="62"/>
  <c r="E24" i="62"/>
  <c r="E25" i="62"/>
  <c r="E27" i="62"/>
  <c r="E28" i="62"/>
  <c r="E29" i="62"/>
  <c r="E31" i="62"/>
  <c r="E32" i="62"/>
  <c r="E33" i="62"/>
  <c r="E34" i="62"/>
  <c r="E35" i="62"/>
  <c r="E36" i="62"/>
  <c r="E37" i="62"/>
  <c r="E38" i="62"/>
  <c r="E39" i="62"/>
  <c r="E41" i="62"/>
  <c r="E40" i="62"/>
  <c r="E42" i="62"/>
  <c r="E44" i="62"/>
  <c r="E46" i="62"/>
  <c r="E47" i="62"/>
  <c r="E48" i="62"/>
  <c r="E49" i="62"/>
  <c r="E50" i="62"/>
  <c r="E51" i="62"/>
  <c r="E52" i="62"/>
  <c r="E53" i="62"/>
  <c r="E54" i="62"/>
  <c r="E55" i="62"/>
  <c r="E56" i="62"/>
  <c r="E57" i="62"/>
  <c r="E8" i="62"/>
  <c r="D9" i="62"/>
  <c r="D10" i="62"/>
  <c r="D11" i="62"/>
  <c r="D19" i="62"/>
  <c r="D20" i="62"/>
  <c r="D21" i="62"/>
  <c r="D22" i="62"/>
  <c r="D23" i="62"/>
  <c r="D24" i="62"/>
  <c r="D25" i="62"/>
  <c r="D27" i="62"/>
  <c r="D28" i="62"/>
  <c r="D29" i="62"/>
  <c r="D31" i="62"/>
  <c r="D32" i="62"/>
  <c r="D33" i="62"/>
  <c r="D34" i="62"/>
  <c r="D35" i="62"/>
  <c r="D36" i="62"/>
  <c r="D37" i="62"/>
  <c r="D38" i="62"/>
  <c r="D39" i="62"/>
  <c r="D41" i="62"/>
  <c r="D40" i="62"/>
  <c r="D42" i="62"/>
  <c r="D44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8" i="62"/>
  <c r="C9" i="67"/>
  <c r="D9" i="67" s="1"/>
  <c r="C10" i="67"/>
  <c r="D10" i="67" s="1"/>
  <c r="C11" i="67"/>
  <c r="D11" i="67" s="1"/>
  <c r="C12" i="67"/>
  <c r="D12" i="67" s="1"/>
  <c r="C13" i="67"/>
  <c r="D13" i="67" s="1"/>
  <c r="C14" i="67"/>
  <c r="D14" i="67" s="1"/>
  <c r="C15" i="67"/>
  <c r="D15" i="67" s="1"/>
  <c r="C16" i="67"/>
  <c r="D16" i="67" s="1"/>
  <c r="C17" i="67"/>
  <c r="D17" i="67" s="1"/>
  <c r="C18" i="67"/>
  <c r="D18" i="67" s="1"/>
  <c r="C19" i="67"/>
  <c r="D19" i="67" s="1"/>
  <c r="C20" i="67"/>
  <c r="D20" i="67" s="1"/>
  <c r="C21" i="67"/>
  <c r="D21" i="67" s="1"/>
  <c r="C22" i="67"/>
  <c r="D22" i="67" s="1"/>
  <c r="C23" i="67"/>
  <c r="D23" i="67" s="1"/>
  <c r="C24" i="67"/>
  <c r="D24" i="67" s="1"/>
  <c r="C25" i="67"/>
  <c r="D25" i="67" s="1"/>
  <c r="C26" i="67"/>
  <c r="D26" i="67" s="1"/>
  <c r="C27" i="67"/>
  <c r="D27" i="67" s="1"/>
  <c r="C28" i="67"/>
  <c r="D28" i="67" s="1"/>
  <c r="C29" i="67"/>
  <c r="D29" i="67" s="1"/>
  <c r="C30" i="67"/>
  <c r="D30" i="67" s="1"/>
  <c r="C31" i="67"/>
  <c r="D31" i="67" s="1"/>
  <c r="C32" i="67"/>
  <c r="D32" i="67" s="1"/>
  <c r="C33" i="67"/>
  <c r="D33" i="67" s="1"/>
  <c r="C34" i="67"/>
  <c r="D34" i="67" s="1"/>
  <c r="C35" i="67"/>
  <c r="D35" i="67" s="1"/>
  <c r="C36" i="67"/>
  <c r="D36" i="67" s="1"/>
  <c r="C37" i="67"/>
  <c r="D37" i="67" s="1"/>
  <c r="C38" i="67"/>
  <c r="D38" i="67" s="1"/>
  <c r="C39" i="67"/>
  <c r="D39" i="67" s="1"/>
  <c r="C40" i="67"/>
  <c r="D40" i="67" s="1"/>
  <c r="C41" i="67"/>
  <c r="D41" i="67" s="1"/>
  <c r="C42" i="67"/>
  <c r="D42" i="67" s="1"/>
  <c r="C43" i="67"/>
  <c r="D43" i="67" s="1"/>
  <c r="C44" i="67"/>
  <c r="D44" i="67" s="1"/>
  <c r="C45" i="67"/>
  <c r="D45" i="67" s="1"/>
  <c r="C46" i="67"/>
  <c r="D46" i="67" s="1"/>
  <c r="C47" i="67"/>
  <c r="D47" i="67" s="1"/>
  <c r="C48" i="67"/>
  <c r="D48" i="67" s="1"/>
  <c r="C49" i="67"/>
  <c r="D49" i="67" s="1"/>
  <c r="C50" i="67"/>
  <c r="D50" i="67" s="1"/>
  <c r="C51" i="67"/>
  <c r="D51" i="67" s="1"/>
  <c r="C52" i="67"/>
  <c r="D52" i="67" s="1"/>
  <c r="C8" i="67"/>
  <c r="D8" i="67" s="1"/>
  <c r="AF11" i="72"/>
  <c r="AA11" i="72"/>
  <c r="M58" i="72" s="1"/>
  <c r="V11" i="72"/>
  <c r="Q27" i="93" l="1"/>
  <c r="F27" i="93"/>
  <c r="R22" i="93"/>
  <c r="R21" i="93"/>
  <c r="R20" i="93"/>
  <c r="R19" i="93"/>
  <c r="R27" i="93" s="1"/>
  <c r="F14" i="93"/>
  <c r="D14" i="93"/>
  <c r="D15" i="93" s="1"/>
  <c r="H13" i="93"/>
  <c r="G10" i="93"/>
  <c r="E43" i="93" l="1"/>
  <c r="G22" i="93"/>
  <c r="F15" i="93"/>
  <c r="G19" i="93"/>
  <c r="E12" i="56"/>
  <c r="G21" i="93" l="1"/>
  <c r="G20" i="93"/>
  <c r="G27" i="93" l="1"/>
  <c r="C43" i="93" s="1"/>
  <c r="E44" i="93" s="1"/>
  <c r="I63" i="93" l="1"/>
  <c r="G44" i="93"/>
  <c r="AV11" i="72" l="1"/>
  <c r="AV29" i="72" l="1"/>
  <c r="E17" i="56" l="1"/>
  <c r="G7" i="56" l="1"/>
  <c r="AU3" i="72"/>
  <c r="I6" i="63"/>
  <c r="D7" i="63"/>
  <c r="D8" i="63"/>
  <c r="D9" i="63"/>
  <c r="D13" i="63"/>
  <c r="D18" i="63"/>
  <c r="D19" i="63"/>
  <c r="D20" i="63"/>
  <c r="D21" i="63"/>
  <c r="D22" i="63"/>
  <c r="D25" i="63"/>
  <c r="D26" i="63"/>
  <c r="D27" i="63"/>
  <c r="D30" i="63"/>
  <c r="D31" i="63"/>
  <c r="D32" i="63"/>
  <c r="D33" i="63"/>
  <c r="D34" i="63"/>
  <c r="D35" i="63"/>
  <c r="D36" i="63"/>
  <c r="D37" i="63"/>
  <c r="D39" i="63"/>
  <c r="D40" i="63"/>
  <c r="D42" i="63"/>
  <c r="D44" i="63"/>
  <c r="D45" i="63"/>
  <c r="D46" i="63"/>
  <c r="D47" i="63"/>
  <c r="D48" i="63"/>
  <c r="D49" i="63"/>
  <c r="D50" i="63"/>
  <c r="D51" i="63"/>
  <c r="D52" i="63"/>
  <c r="D53" i="63"/>
  <c r="D54" i="63"/>
  <c r="D6" i="63"/>
  <c r="G23" i="89" l="1"/>
  <c r="G25" i="89" s="1"/>
  <c r="I23" i="89"/>
  <c r="I24" i="89" s="1"/>
  <c r="O23" i="89"/>
  <c r="O25" i="89" s="1"/>
  <c r="O19" i="89"/>
  <c r="V9" i="89"/>
  <c r="R22" i="89"/>
  <c r="R25" i="89" s="1"/>
  <c r="M22" i="89"/>
  <c r="M23" i="89" s="1"/>
  <c r="Q27" i="77"/>
  <c r="R22" i="77"/>
  <c r="R21" i="77"/>
  <c r="R20" i="77"/>
  <c r="R19" i="77"/>
  <c r="F27" i="77"/>
  <c r="R27" i="77" l="1"/>
  <c r="AO8" i="72" l="1"/>
  <c r="AO9" i="72"/>
  <c r="AO10" i="72"/>
  <c r="H37" i="91" l="1"/>
  <c r="I37" i="91"/>
  <c r="H39" i="91"/>
  <c r="I39" i="91"/>
  <c r="J25" i="79"/>
  <c r="K25" i="79"/>
  <c r="E7" i="82"/>
  <c r="L25" i="79" l="1"/>
  <c r="Z40" i="72" l="1"/>
  <c r="M47" i="72"/>
  <c r="K47" i="72"/>
  <c r="X36" i="72"/>
  <c r="X40" i="72" s="1"/>
  <c r="M40" i="72"/>
  <c r="K40" i="72"/>
  <c r="R38" i="72"/>
  <c r="Q38" i="72"/>
  <c r="Y36" i="72"/>
  <c r="Y40" i="72" s="1"/>
  <c r="AV34" i="72"/>
  <c r="AV33" i="72"/>
  <c r="AV32" i="72"/>
  <c r="AV31" i="72"/>
  <c r="R39" i="72" l="1"/>
  <c r="M41" i="72"/>
  <c r="E43" i="77"/>
  <c r="G10" i="77"/>
  <c r="I53" i="91"/>
  <c r="I33" i="91"/>
  <c r="I27" i="91"/>
  <c r="I15" i="62" s="1"/>
  <c r="K15" i="62" s="1"/>
  <c r="H32" i="91"/>
  <c r="K14" i="89"/>
  <c r="L14" i="89"/>
  <c r="M14" i="89"/>
  <c r="N14" i="89"/>
  <c r="O14" i="89"/>
  <c r="P14" i="89"/>
  <c r="Q14" i="89"/>
  <c r="R14" i="89"/>
  <c r="S14" i="89"/>
  <c r="T14" i="89"/>
  <c r="U14" i="89"/>
  <c r="H47" i="91"/>
  <c r="I47" i="91"/>
  <c r="J36" i="79"/>
  <c r="K36" i="79"/>
  <c r="L36" i="79" l="1"/>
  <c r="H20" i="91" l="1"/>
  <c r="H8" i="62" s="1"/>
  <c r="I8" i="62"/>
  <c r="H21" i="91"/>
  <c r="I21" i="91"/>
  <c r="I9" i="62" s="1"/>
  <c r="H22" i="91"/>
  <c r="I22" i="91"/>
  <c r="H23" i="91"/>
  <c r="I23" i="91"/>
  <c r="H27" i="91"/>
  <c r="H15" i="62" s="1"/>
  <c r="J15" i="62" s="1"/>
  <c r="H31" i="91"/>
  <c r="I31" i="91"/>
  <c r="I19" i="62" s="1"/>
  <c r="I32" i="91"/>
  <c r="H33" i="91"/>
  <c r="H34" i="91"/>
  <c r="I34" i="91"/>
  <c r="H35" i="91"/>
  <c r="I35" i="91"/>
  <c r="H36" i="91"/>
  <c r="I36" i="91"/>
  <c r="H40" i="91"/>
  <c r="I40" i="91"/>
  <c r="I28" i="62" s="1"/>
  <c r="H41" i="91"/>
  <c r="I41" i="91"/>
  <c r="H43" i="91"/>
  <c r="I43" i="91"/>
  <c r="H44" i="91"/>
  <c r="I44" i="91"/>
  <c r="H45" i="91"/>
  <c r="I45" i="91"/>
  <c r="H46" i="91"/>
  <c r="I46" i="91"/>
  <c r="H48" i="91"/>
  <c r="I48" i="91"/>
  <c r="H49" i="91"/>
  <c r="I49" i="91"/>
  <c r="H50" i="91"/>
  <c r="I50" i="91"/>
  <c r="H51" i="91"/>
  <c r="I51" i="91"/>
  <c r="H53" i="91"/>
  <c r="H54" i="91"/>
  <c r="I54" i="91"/>
  <c r="H56" i="91"/>
  <c r="I56" i="91"/>
  <c r="H58" i="91"/>
  <c r="I58" i="91"/>
  <c r="H59" i="91"/>
  <c r="I59" i="91"/>
  <c r="H60" i="91"/>
  <c r="I60" i="91"/>
  <c r="H61" i="91"/>
  <c r="I61" i="91"/>
  <c r="H62" i="91"/>
  <c r="I62" i="91"/>
  <c r="H63" i="91"/>
  <c r="I63" i="91"/>
  <c r="H64" i="91"/>
  <c r="I64" i="91"/>
  <c r="H65" i="91"/>
  <c r="I65" i="91"/>
  <c r="H66" i="91"/>
  <c r="I66" i="91"/>
  <c r="H67" i="91"/>
  <c r="I67" i="91"/>
  <c r="H68" i="91"/>
  <c r="I68" i="91"/>
  <c r="H69" i="91"/>
  <c r="I69" i="91"/>
  <c r="K13" i="63" l="1"/>
  <c r="M13" i="63" s="1"/>
  <c r="L15" i="62"/>
  <c r="I70" i="91"/>
  <c r="I32" i="62"/>
  <c r="K32" i="62" s="1"/>
  <c r="H70" i="91"/>
  <c r="H9" i="62"/>
  <c r="I36" i="62"/>
  <c r="H35" i="62"/>
  <c r="J35" i="62" s="1"/>
  <c r="I35" i="62"/>
  <c r="K35" i="62" s="1"/>
  <c r="H36" i="62"/>
  <c r="I23" i="62"/>
  <c r="I49" i="62"/>
  <c r="H23" i="62"/>
  <c r="H19" i="62"/>
  <c r="H49" i="62"/>
  <c r="H32" i="62"/>
  <c r="I51" i="62"/>
  <c r="I44" i="62"/>
  <c r="H44" i="62"/>
  <c r="H28" i="62"/>
  <c r="H51" i="62"/>
  <c r="I34" i="62"/>
  <c r="I47" i="62"/>
  <c r="I40" i="62"/>
  <c r="I56" i="62"/>
  <c r="I53" i="62"/>
  <c r="H56" i="62"/>
  <c r="I38" i="62"/>
  <c r="H53" i="62"/>
  <c r="H47" i="62"/>
  <c r="H40" i="62"/>
  <c r="H34" i="62"/>
  <c r="H38" i="62"/>
  <c r="I25" i="62"/>
  <c r="I21" i="62"/>
  <c r="I11" i="62"/>
  <c r="H21" i="62"/>
  <c r="H25" i="62"/>
  <c r="H11" i="62"/>
  <c r="I52" i="62"/>
  <c r="I50" i="62"/>
  <c r="I46" i="62"/>
  <c r="I41" i="62"/>
  <c r="I37" i="62"/>
  <c r="I33" i="62"/>
  <c r="I29" i="62"/>
  <c r="I24" i="62"/>
  <c r="I20" i="62"/>
  <c r="I10" i="62"/>
  <c r="I55" i="62"/>
  <c r="H55" i="62"/>
  <c r="H52" i="62"/>
  <c r="H50" i="62"/>
  <c r="H46" i="62"/>
  <c r="H41" i="62"/>
  <c r="H37" i="62"/>
  <c r="H33" i="62"/>
  <c r="H29" i="62"/>
  <c r="H24" i="62"/>
  <c r="H20" i="62"/>
  <c r="H10" i="62"/>
  <c r="I57" i="62"/>
  <c r="I54" i="62"/>
  <c r="I48" i="62"/>
  <c r="I42" i="62"/>
  <c r="I39" i="62"/>
  <c r="I31" i="62"/>
  <c r="I27" i="62"/>
  <c r="I22" i="62"/>
  <c r="H57" i="62"/>
  <c r="H54" i="62"/>
  <c r="H48" i="62"/>
  <c r="H42" i="62"/>
  <c r="H39" i="62"/>
  <c r="H31" i="62"/>
  <c r="H27" i="62"/>
  <c r="H22" i="62"/>
  <c r="G5" i="90"/>
  <c r="H5" i="90" s="1"/>
  <c r="J5" i="90" s="1"/>
  <c r="K5" i="90" s="1"/>
  <c r="G4" i="90"/>
  <c r="V8" i="89"/>
  <c r="V10" i="89"/>
  <c r="V11" i="89"/>
  <c r="V12" i="89"/>
  <c r="V13" i="89"/>
  <c r="G7" i="89"/>
  <c r="E14" i="89"/>
  <c r="H14" i="89"/>
  <c r="G13" i="89"/>
  <c r="I13" i="89" s="1"/>
  <c r="G12" i="89"/>
  <c r="I12" i="89" s="1"/>
  <c r="G11" i="89"/>
  <c r="I11" i="89" s="1"/>
  <c r="G10" i="89"/>
  <c r="I10" i="89" s="1"/>
  <c r="G9" i="89"/>
  <c r="I9" i="89" s="1"/>
  <c r="G8" i="89"/>
  <c r="I8" i="89" s="1"/>
  <c r="L35" i="62" l="1"/>
  <c r="I59" i="62"/>
  <c r="H59" i="62"/>
  <c r="W13" i="89"/>
  <c r="W12" i="89"/>
  <c r="W11" i="89"/>
  <c r="W10" i="89"/>
  <c r="W9" i="89"/>
  <c r="W8" i="89"/>
  <c r="I5" i="90"/>
  <c r="L5" i="90"/>
  <c r="M5" i="90" s="1"/>
  <c r="N5" i="90" s="1"/>
  <c r="H4" i="90"/>
  <c r="G14" i="89"/>
  <c r="I7" i="89"/>
  <c r="K38" i="62"/>
  <c r="J39" i="79"/>
  <c r="K39" i="79"/>
  <c r="E20" i="99" l="1"/>
  <c r="L39" i="79"/>
  <c r="I14" i="89"/>
  <c r="J7" i="89"/>
  <c r="J4" i="90"/>
  <c r="K4" i="90" s="1"/>
  <c r="L4" i="90" s="1"/>
  <c r="I4" i="90"/>
  <c r="J38" i="62"/>
  <c r="F35" i="86"/>
  <c r="G2" i="86"/>
  <c r="G3" i="86"/>
  <c r="G4" i="86"/>
  <c r="G5" i="86"/>
  <c r="G6" i="86"/>
  <c r="G7" i="86"/>
  <c r="G8" i="86"/>
  <c r="G9" i="86"/>
  <c r="G10" i="86"/>
  <c r="G11" i="86"/>
  <c r="G12" i="86"/>
  <c r="G13" i="86"/>
  <c r="G14" i="86"/>
  <c r="G15" i="86"/>
  <c r="G16" i="86"/>
  <c r="G17" i="86"/>
  <c r="G18" i="86"/>
  <c r="G19" i="86"/>
  <c r="G20" i="86"/>
  <c r="G21" i="86"/>
  <c r="G22" i="86"/>
  <c r="G23" i="86"/>
  <c r="G24" i="86"/>
  <c r="G25" i="86"/>
  <c r="G26" i="86"/>
  <c r="G27" i="86"/>
  <c r="G28" i="86"/>
  <c r="G29" i="86"/>
  <c r="G30" i="86"/>
  <c r="G31" i="86"/>
  <c r="G32" i="86"/>
  <c r="G33" i="86"/>
  <c r="G34" i="86"/>
  <c r="E35" i="86"/>
  <c r="H13" i="56" l="1"/>
  <c r="J14" i="89"/>
  <c r="V7" i="89"/>
  <c r="L38" i="62"/>
  <c r="M4" i="90"/>
  <c r="N4" i="90" s="1"/>
  <c r="V14" i="89" l="1"/>
  <c r="W7" i="89"/>
  <c r="W14" i="89" s="1"/>
  <c r="E16" i="99" l="1"/>
  <c r="E16" i="56"/>
  <c r="J37" i="79"/>
  <c r="K37" i="79"/>
  <c r="J38" i="79"/>
  <c r="K38" i="79"/>
  <c r="K36" i="62"/>
  <c r="J37" i="62"/>
  <c r="K21" i="79"/>
  <c r="K22" i="79"/>
  <c r="J21" i="79"/>
  <c r="J21" i="62"/>
  <c r="J22" i="62"/>
  <c r="L21" i="79" l="1"/>
  <c r="L38" i="79"/>
  <c r="L37" i="79"/>
  <c r="E15" i="99"/>
  <c r="J36" i="62"/>
  <c r="K37" i="62"/>
  <c r="K21" i="62"/>
  <c r="K22" i="62"/>
  <c r="L36" i="62" l="1"/>
  <c r="L37" i="62"/>
  <c r="L22" i="62"/>
  <c r="L21" i="62"/>
  <c r="K34" i="63" l="1"/>
  <c r="M34" i="63" l="1"/>
  <c r="L24" i="85"/>
  <c r="H17" i="85"/>
  <c r="J27" i="72" l="1"/>
  <c r="K51" i="72"/>
  <c r="E53" i="84"/>
  <c r="E54" i="84"/>
  <c r="E55" i="84" l="1"/>
  <c r="K56" i="84" s="1"/>
  <c r="J28" i="72"/>
  <c r="J29" i="72"/>
  <c r="H17" i="82"/>
  <c r="L15" i="82" l="1"/>
  <c r="L14" i="82"/>
  <c r="J30" i="72"/>
  <c r="L24" i="82" l="1"/>
  <c r="M64" i="72" l="1"/>
  <c r="D14" i="77"/>
  <c r="F15" i="77" l="1"/>
  <c r="D15" i="77"/>
  <c r="O11" i="72" l="1"/>
  <c r="G27" i="77" l="1"/>
  <c r="AR8" i="72"/>
  <c r="AR9" i="72"/>
  <c r="AR10" i="72"/>
  <c r="AP8" i="72"/>
  <c r="AP9" i="72"/>
  <c r="AP10" i="72"/>
  <c r="AQ8" i="72"/>
  <c r="AW8" i="72" s="1"/>
  <c r="AQ9" i="72"/>
  <c r="AW9" i="72" s="1"/>
  <c r="AQ10" i="72"/>
  <c r="AW10" i="72" s="1"/>
  <c r="AW11" i="72" l="1"/>
  <c r="M59" i="72"/>
  <c r="J58" i="62"/>
  <c r="K58" i="62"/>
  <c r="J8" i="62"/>
  <c r="K10" i="62"/>
  <c r="K11" i="62"/>
  <c r="J19" i="62"/>
  <c r="J20" i="62"/>
  <c r="J23" i="62"/>
  <c r="J24" i="62"/>
  <c r="K25" i="62"/>
  <c r="J27" i="62"/>
  <c r="J28" i="62"/>
  <c r="J29" i="62"/>
  <c r="K31" i="62"/>
  <c r="J32" i="62"/>
  <c r="J33" i="62"/>
  <c r="K34" i="62"/>
  <c r="K41" i="62"/>
  <c r="J40" i="62"/>
  <c r="K42" i="62"/>
  <c r="J44" i="62"/>
  <c r="J46" i="62"/>
  <c r="J47" i="62"/>
  <c r="J48" i="62"/>
  <c r="J49" i="62"/>
  <c r="J50" i="62"/>
  <c r="J51" i="62"/>
  <c r="J52" i="62"/>
  <c r="J53" i="62"/>
  <c r="J54" i="62"/>
  <c r="K55" i="62"/>
  <c r="R8" i="72" s="1"/>
  <c r="K57" i="62"/>
  <c r="R10" i="72" s="1"/>
  <c r="J27" i="79"/>
  <c r="K27" i="79"/>
  <c r="J28" i="79"/>
  <c r="K28" i="79"/>
  <c r="J29" i="79"/>
  <c r="K29" i="79"/>
  <c r="J31" i="79"/>
  <c r="K31" i="79"/>
  <c r="J32" i="79"/>
  <c r="K32" i="79"/>
  <c r="J34" i="79"/>
  <c r="K34" i="79"/>
  <c r="J35" i="79"/>
  <c r="K35" i="79"/>
  <c r="J41" i="79"/>
  <c r="K41" i="79"/>
  <c r="J40" i="79"/>
  <c r="K40" i="79"/>
  <c r="J42" i="79"/>
  <c r="K42" i="79"/>
  <c r="J46" i="79"/>
  <c r="K46" i="79"/>
  <c r="J47" i="79"/>
  <c r="K47" i="79"/>
  <c r="J48" i="79"/>
  <c r="K48" i="79"/>
  <c r="J49" i="79"/>
  <c r="K49" i="79"/>
  <c r="J50" i="79"/>
  <c r="K50" i="79"/>
  <c r="J51" i="79"/>
  <c r="K51" i="79"/>
  <c r="J52" i="79"/>
  <c r="K52" i="79"/>
  <c r="J53" i="79"/>
  <c r="K53" i="79"/>
  <c r="J54" i="79"/>
  <c r="K54" i="79"/>
  <c r="J55" i="79"/>
  <c r="K55" i="79"/>
  <c r="J56" i="79"/>
  <c r="K56" i="79"/>
  <c r="J57" i="79"/>
  <c r="K57" i="79"/>
  <c r="J8" i="79"/>
  <c r="K8" i="79"/>
  <c r="J9" i="79"/>
  <c r="K9" i="79"/>
  <c r="J10" i="79"/>
  <c r="K10" i="79"/>
  <c r="J11" i="79"/>
  <c r="K11" i="79"/>
  <c r="J15" i="79"/>
  <c r="K15" i="79"/>
  <c r="J19" i="79"/>
  <c r="K19" i="79"/>
  <c r="J20" i="79"/>
  <c r="K20" i="79"/>
  <c r="J22" i="79"/>
  <c r="L22" i="79" s="1"/>
  <c r="J23" i="79"/>
  <c r="K23" i="79"/>
  <c r="J24" i="79"/>
  <c r="K24" i="79"/>
  <c r="J9" i="62"/>
  <c r="L19" i="79" l="1"/>
  <c r="L24" i="79"/>
  <c r="L11" i="79"/>
  <c r="L57" i="79"/>
  <c r="L50" i="79"/>
  <c r="L46" i="79"/>
  <c r="L35" i="79"/>
  <c r="L31" i="79"/>
  <c r="L54" i="79"/>
  <c r="L9" i="79"/>
  <c r="L55" i="79"/>
  <c r="L52" i="79"/>
  <c r="L48" i="79"/>
  <c r="L15" i="79"/>
  <c r="L8" i="79"/>
  <c r="L51" i="79"/>
  <c r="L47" i="79"/>
  <c r="L41" i="79"/>
  <c r="L32" i="79"/>
  <c r="L27" i="79"/>
  <c r="L23" i="79"/>
  <c r="L20" i="79"/>
  <c r="L56" i="79"/>
  <c r="L49" i="79"/>
  <c r="L29" i="79"/>
  <c r="L10" i="79"/>
  <c r="L53" i="79"/>
  <c r="L42" i="79"/>
  <c r="L40" i="79"/>
  <c r="L34" i="79"/>
  <c r="L28" i="79"/>
  <c r="J39" i="62"/>
  <c r="K39" i="62"/>
  <c r="K56" i="62"/>
  <c r="R9" i="72" s="1"/>
  <c r="J56" i="62"/>
  <c r="Q9" i="72" s="1"/>
  <c r="S9" i="72" s="1"/>
  <c r="T9" i="72" s="1"/>
  <c r="Z9" i="72" s="1"/>
  <c r="L58" i="62"/>
  <c r="J31" i="62"/>
  <c r="J55" i="62"/>
  <c r="Q8" i="72" s="1"/>
  <c r="S8" i="72" s="1"/>
  <c r="T8" i="72" s="1"/>
  <c r="Z8" i="72" s="1"/>
  <c r="J10" i="62"/>
  <c r="J57" i="62"/>
  <c r="Q10" i="72" s="1"/>
  <c r="S10" i="72" s="1"/>
  <c r="T10" i="72" s="1"/>
  <c r="Z10" i="72" s="1"/>
  <c r="K47" i="62"/>
  <c r="J42" i="62"/>
  <c r="K46" i="62"/>
  <c r="K52" i="62"/>
  <c r="J41" i="62"/>
  <c r="K27" i="62"/>
  <c r="K9" i="62"/>
  <c r="K50" i="62"/>
  <c r="J25" i="62"/>
  <c r="K49" i="62"/>
  <c r="J34" i="62"/>
  <c r="K23" i="62"/>
  <c r="K40" i="62"/>
  <c r="K51" i="62"/>
  <c r="K33" i="62"/>
  <c r="K19" i="62"/>
  <c r="K54" i="62"/>
  <c r="K29" i="62"/>
  <c r="K44" i="62"/>
  <c r="K24" i="62"/>
  <c r="J11" i="62"/>
  <c r="K53" i="62"/>
  <c r="K48" i="62"/>
  <c r="K28" i="62"/>
  <c r="K20" i="62"/>
  <c r="K8" i="62"/>
  <c r="K9" i="63" l="1"/>
  <c r="M9" i="63" s="1"/>
  <c r="E19" i="99"/>
  <c r="L40" i="62"/>
  <c r="E18" i="99"/>
  <c r="K59" i="62"/>
  <c r="E18" i="56"/>
  <c r="L39" i="62"/>
  <c r="L32" i="62"/>
  <c r="L51" i="62"/>
  <c r="L57" i="62"/>
  <c r="L52" i="62"/>
  <c r="L55" i="62"/>
  <c r="L54" i="62"/>
  <c r="L9" i="62"/>
  <c r="L28" i="62"/>
  <c r="L33" i="62"/>
  <c r="L49" i="62"/>
  <c r="L41" i="62"/>
  <c r="L47" i="62"/>
  <c r="L44" i="62"/>
  <c r="L48" i="62"/>
  <c r="L10" i="62"/>
  <c r="L53" i="62"/>
  <c r="L25" i="62"/>
  <c r="L46" i="62"/>
  <c r="L31" i="62"/>
  <c r="L11" i="62"/>
  <c r="L29" i="62"/>
  <c r="L50" i="62"/>
  <c r="L8" i="62"/>
  <c r="L23" i="62"/>
  <c r="L20" i="62"/>
  <c r="L24" i="62"/>
  <c r="L19" i="62"/>
  <c r="L34" i="62"/>
  <c r="L27" i="62"/>
  <c r="L42" i="62"/>
  <c r="L56" i="62"/>
  <c r="H19" i="99" l="1"/>
  <c r="E20" i="56"/>
  <c r="K28" i="63"/>
  <c r="K33" i="63"/>
  <c r="M33" i="63" s="1"/>
  <c r="E19" i="56"/>
  <c r="K56" i="72"/>
  <c r="AO11" i="72"/>
  <c r="H19" i="56" l="1"/>
  <c r="K38" i="63"/>
  <c r="K35" i="63"/>
  <c r="M35" i="63" s="1"/>
  <c r="E22" i="99" l="1"/>
  <c r="E21" i="99"/>
  <c r="K8" i="81"/>
  <c r="K9" i="81"/>
  <c r="K10" i="81"/>
  <c r="K11" i="81"/>
  <c r="H59" i="81"/>
  <c r="E25" i="99" l="1"/>
  <c r="H12" i="99"/>
  <c r="H25" i="99" s="1"/>
  <c r="AI10" i="72"/>
  <c r="AI8" i="72"/>
  <c r="AI9" i="72"/>
  <c r="K39" i="63"/>
  <c r="H26" i="99" l="1"/>
  <c r="AE11" i="72"/>
  <c r="K24" i="63"/>
  <c r="K29" i="63"/>
  <c r="E15" i="56"/>
  <c r="K25" i="63"/>
  <c r="K20" i="63"/>
  <c r="K22" i="63"/>
  <c r="I59" i="81"/>
  <c r="M63" i="72"/>
  <c r="M62" i="72"/>
  <c r="M60" i="72"/>
  <c r="M25" i="63" l="1"/>
  <c r="M22" i="63"/>
  <c r="K30" i="63"/>
  <c r="K59" i="81"/>
  <c r="K44" i="63"/>
  <c r="K42" i="63"/>
  <c r="M11" i="72" l="1"/>
  <c r="M42" i="63"/>
  <c r="M30" i="63"/>
  <c r="M44" i="63"/>
  <c r="K18" i="63"/>
  <c r="M18" i="63" s="1"/>
  <c r="D8" i="56" l="1"/>
  <c r="K58" i="79"/>
  <c r="J58" i="79"/>
  <c r="G59" i="79" l="1"/>
  <c r="L58" i="79"/>
  <c r="K59" i="79"/>
  <c r="F3" i="78"/>
  <c r="F4" i="78" s="1"/>
  <c r="P11" i="72" l="1"/>
  <c r="L59" i="79"/>
  <c r="J59" i="79"/>
  <c r="C43" i="77" l="1"/>
  <c r="K51" i="63" l="1"/>
  <c r="E44" i="77"/>
  <c r="R11" i="72"/>
  <c r="G8" i="56"/>
  <c r="M51" i="63" l="1"/>
  <c r="K19" i="63"/>
  <c r="S11" i="72" l="1"/>
  <c r="H12" i="56"/>
  <c r="M19" i="63"/>
  <c r="K8" i="63"/>
  <c r="K7" i="63"/>
  <c r="D9" i="56"/>
  <c r="G31" i="56"/>
  <c r="M8" i="63" l="1"/>
  <c r="K6" i="63"/>
  <c r="AU11" i="72"/>
  <c r="M6" i="63" l="1"/>
  <c r="AX36" i="72"/>
  <c r="K52" i="63"/>
  <c r="M52" i="63" l="1"/>
  <c r="AW30" i="72"/>
  <c r="K11" i="72" l="1"/>
  <c r="K55" i="63"/>
  <c r="M55" i="63" s="1"/>
  <c r="E23" i="56"/>
  <c r="W11" i="72"/>
  <c r="H15" i="56"/>
  <c r="E13" i="56"/>
  <c r="K21" i="63"/>
  <c r="K27" i="63"/>
  <c r="K26" i="63"/>
  <c r="K31" i="63"/>
  <c r="M21" i="63" l="1"/>
  <c r="M26" i="63"/>
  <c r="M31" i="63"/>
  <c r="M27" i="63"/>
  <c r="U10" i="72"/>
  <c r="H20" i="56"/>
  <c r="K45" i="63"/>
  <c r="M45" i="63" s="1"/>
  <c r="K32" i="63"/>
  <c r="K48" i="63"/>
  <c r="K23" i="63"/>
  <c r="K52" i="72"/>
  <c r="K47" i="63"/>
  <c r="K50" i="63"/>
  <c r="K54" i="63"/>
  <c r="K49" i="63"/>
  <c r="K46" i="63"/>
  <c r="K36" i="63"/>
  <c r="K37" i="63"/>
  <c r="K40" i="63"/>
  <c r="K53" i="63"/>
  <c r="AS8" i="72"/>
  <c r="AS9" i="72"/>
  <c r="AS10" i="72"/>
  <c r="Y10" i="72" l="1"/>
  <c r="AJ10" i="72" s="1"/>
  <c r="M36" i="63"/>
  <c r="M23" i="63"/>
  <c r="M48" i="63"/>
  <c r="M32" i="63"/>
  <c r="M53" i="63"/>
  <c r="M54" i="63"/>
  <c r="M40" i="63"/>
  <c r="M37" i="63"/>
  <c r="M46" i="63"/>
  <c r="M49" i="63"/>
  <c r="M50" i="63"/>
  <c r="M47" i="63"/>
  <c r="T11" i="72"/>
  <c r="Z11" i="72" s="1"/>
  <c r="AB11" i="72"/>
  <c r="AW31" i="72"/>
  <c r="AX37" i="72"/>
  <c r="BA9" i="72"/>
  <c r="AZ9" i="72"/>
  <c r="BA10" i="72"/>
  <c r="AZ10" i="72"/>
  <c r="BA8" i="72"/>
  <c r="AZ8" i="72"/>
  <c r="AX9" i="72"/>
  <c r="AT9" i="72"/>
  <c r="AX10" i="72"/>
  <c r="AT10" i="72"/>
  <c r="AX8" i="72"/>
  <c r="AT8" i="72"/>
  <c r="E54" i="67"/>
  <c r="M56" i="63" l="1"/>
  <c r="U9" i="72"/>
  <c r="U8" i="72"/>
  <c r="AI11" i="72"/>
  <c r="AS11" i="72"/>
  <c r="BB8" i="72"/>
  <c r="BB10" i="72"/>
  <c r="BB9" i="72"/>
  <c r="P27" i="72"/>
  <c r="AY9" i="72"/>
  <c r="AY8" i="72"/>
  <c r="AY10" i="72"/>
  <c r="Q11" i="72"/>
  <c r="L59" i="62"/>
  <c r="H54" i="67"/>
  <c r="Y8" i="72" l="1"/>
  <c r="AJ8" i="72" s="1"/>
  <c r="Y9" i="72"/>
  <c r="AJ9" i="72" s="1"/>
  <c r="E22" i="56"/>
  <c r="E21" i="56"/>
  <c r="AT11" i="72"/>
  <c r="U11" i="72"/>
  <c r="K53" i="72"/>
  <c r="P29" i="72"/>
  <c r="P28" i="72"/>
  <c r="K55" i="72"/>
  <c r="E41" i="68"/>
  <c r="Y11" i="72" l="1"/>
  <c r="P30" i="72"/>
  <c r="I54" i="67"/>
  <c r="AJ11" i="72" l="1"/>
  <c r="M57" i="72"/>
  <c r="M61" i="72"/>
  <c r="J59" i="62" l="1"/>
  <c r="F25" i="68" l="1"/>
  <c r="F14" i="68"/>
  <c r="D14" i="68"/>
  <c r="D15" i="68" s="1"/>
  <c r="G10" i="68"/>
  <c r="F15" i="68" l="1"/>
  <c r="C41" i="68" l="1"/>
  <c r="E42" i="68" s="1"/>
  <c r="F42" i="68" s="1"/>
  <c r="G25" i="68" l="1"/>
  <c r="F54" i="67"/>
  <c r="G54" i="67"/>
  <c r="G59" i="62" l="1"/>
  <c r="K54" i="72" l="1"/>
  <c r="K66" i="72" s="1"/>
  <c r="K56" i="63"/>
  <c r="H25" i="56"/>
  <c r="L56" i="63" l="1"/>
  <c r="AZ11" i="72" l="1"/>
  <c r="BA11" i="72"/>
  <c r="AX11" i="72"/>
  <c r="AY11" i="72" s="1"/>
  <c r="AX38" i="72" l="1"/>
  <c r="AW32" i="72"/>
  <c r="AX35" i="72"/>
  <c r="AW29" i="72"/>
  <c r="AX40" i="72"/>
  <c r="AW34" i="72"/>
  <c r="AX39" i="72"/>
  <c r="AW33" i="72"/>
  <c r="BB11" i="72"/>
  <c r="M65" i="72"/>
  <c r="M66" i="72" l="1"/>
  <c r="N66" i="72" s="1"/>
  <c r="AW41" i="72"/>
  <c r="AX41" i="72"/>
  <c r="E25" i="56"/>
  <c r="H26" i="56" s="1"/>
  <c r="AY41" i="7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45" authorId="0" shapeId="0" xr:uid="{621437BA-1EC8-4388-82DD-D3DC94269A73}">
      <text>
        <r>
          <rPr>
            <b/>
            <sz val="9"/>
            <color indexed="81"/>
            <rFont val="Tahoma"/>
            <family val="2"/>
          </rPr>
          <t xml:space="preserve">LOS 144,60 SOLICITE ANTICIPO Y LE VOLVI A DESCONTAR HABRA QUE RECONOCER ESTE VALOR EN LA NOMINA DE Agosto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F41" authorId="0" shapeId="0" xr:uid="{51F96BBA-8F00-4289-8DFF-B1890F3AEF1F}">
      <text>
        <r>
          <rPr>
            <b/>
            <sz val="13"/>
            <color indexed="81"/>
            <rFont val="Tahoma"/>
            <family val="2"/>
          </rPr>
          <t>Test:</t>
        </r>
        <r>
          <rPr>
            <sz val="13"/>
            <color indexed="81"/>
            <rFont val="Tahoma"/>
            <family val="2"/>
          </rPr>
          <t xml:space="preserve">
poner el valor neto</t>
        </r>
      </text>
    </comment>
  </commentList>
</comments>
</file>

<file path=xl/sharedStrings.xml><?xml version="1.0" encoding="utf-8"?>
<sst xmlns="http://schemas.openxmlformats.org/spreadsheetml/2006/main" count="1325" uniqueCount="477">
  <si>
    <t>COOPERATIVA DE AHORRO Y CRÉDITO "LOS ANDES LATINOS" LTDA.</t>
  </si>
  <si>
    <t>No.</t>
  </si>
  <si>
    <t xml:space="preserve">NOMBRE </t>
  </si>
  <si>
    <t xml:space="preserve">SUELDO </t>
  </si>
  <si>
    <t>BONO VEHICULAR</t>
  </si>
  <si>
    <t>COMISION POR PLAZOS FIJOS</t>
  </si>
  <si>
    <t xml:space="preserve"> IESS</t>
  </si>
  <si>
    <t>VACACIONES</t>
  </si>
  <si>
    <t>ANTICP. SUELD.</t>
  </si>
  <si>
    <t>TOTAL DESCTS.</t>
  </si>
  <si>
    <t>NETO</t>
  </si>
  <si>
    <t>RECIBI CONFORME</t>
  </si>
  <si>
    <t>DIAS TRABAJADOS</t>
  </si>
  <si>
    <t>13ER. SUELDO</t>
  </si>
  <si>
    <t>FONDO DE RESERVA</t>
  </si>
  <si>
    <t>14TO. SUELDO</t>
  </si>
  <si>
    <t>TOTAL SUELDO + B.SOCIAL</t>
  </si>
  <si>
    <t>APORTE AL IESS</t>
  </si>
  <si>
    <t>AJUSTE</t>
  </si>
  <si>
    <t>Patronal 11,15%</t>
  </si>
  <si>
    <t>CCC 1%</t>
  </si>
  <si>
    <t>TOTAL</t>
  </si>
  <si>
    <t>01/MAYO/2017</t>
  </si>
  <si>
    <t>LEMA CHIRAU RAMONA MARIA</t>
  </si>
  <si>
    <t>01/JUNIO/2006</t>
  </si>
  <si>
    <t>MOROCHO YANTALEMA DINA MAGALY</t>
  </si>
  <si>
    <t>PERALTA MENDEZ LINA LISSETTE</t>
  </si>
  <si>
    <t>TADAY GUAMAN NESTOR ALONSO</t>
  </si>
  <si>
    <t>YUQUILEMA CACUANGO ANGEL JOSE</t>
  </si>
  <si>
    <t>12/ABRIL/2019</t>
  </si>
  <si>
    <t>YUQUILEMA DELGADO PEDRO ANTONIO</t>
  </si>
  <si>
    <t>06/OCTUBRE/2018</t>
  </si>
  <si>
    <t>TOTALES</t>
  </si>
  <si>
    <t>NORMAL:</t>
  </si>
  <si>
    <t>AJUSTE:</t>
  </si>
  <si>
    <t>F</t>
  </si>
  <si>
    <t>M</t>
  </si>
  <si>
    <t>01/AGOSTO/2019</t>
  </si>
  <si>
    <t>VERA GUEVARA PAOLA KARINA</t>
  </si>
  <si>
    <t>SANISACA MITE ISRAEL BENJAMIN</t>
  </si>
  <si>
    <t>04/NOVIEMBRE/2020</t>
  </si>
  <si>
    <t>DECIMO
CUARTO</t>
  </si>
  <si>
    <t>TOTAL GANADO EN EL MES
GRAVABLE</t>
  </si>
  <si>
    <t>MOROCHO DUCHI SANDRA STEPHANIE</t>
  </si>
  <si>
    <t>DECIMO TERCERO</t>
  </si>
  <si>
    <t>FONDO
RESERVAS</t>
  </si>
  <si>
    <t>ASITIMBAY CRIOLLO JOHN ANDERSON</t>
  </si>
  <si>
    <t>URQUIZO GUARANGA ALEX EFRAIN</t>
  </si>
  <si>
    <t>01/JULIO/2021</t>
  </si>
  <si>
    <t>COCA BENITEZ JORGE MANUEL</t>
  </si>
  <si>
    <t>Personal IESS</t>
  </si>
  <si>
    <t>Patronal IESS</t>
  </si>
  <si>
    <t>Gtos Banca</t>
  </si>
  <si>
    <t>Produbanco</t>
  </si>
  <si>
    <t>MALAN YUQUILEMA RAUL ALBERTO</t>
  </si>
  <si>
    <t>RECALDE NARANJO ANGEL ALEXIS</t>
  </si>
  <si>
    <t>18/ENERO/2022</t>
  </si>
  <si>
    <t>BONO CUMPLIMIENTO</t>
  </si>
  <si>
    <t>COMISIÓN META</t>
  </si>
  <si>
    <t>GUALACEO ÑAMO JONATHAN IVAN</t>
  </si>
  <si>
    <t>17/MARZO/2022</t>
  </si>
  <si>
    <t>BETUN CHAFLA JULIO CESAR</t>
  </si>
  <si>
    <t>GARCIA VERA HENRY LUIS</t>
  </si>
  <si>
    <t>14/JUNIO/2022</t>
  </si>
  <si>
    <t>VALOR EN HORAS EXTRAS</t>
  </si>
  <si>
    <t>GUAYANLEMA RUIZ EDINSON DAVID</t>
  </si>
  <si>
    <t>MARSHALL VEGA YULIANA LISSETT</t>
  </si>
  <si>
    <t>COM. SOCIOS NUEVOS Y COLOCACION</t>
  </si>
  <si>
    <t>MALAN DELGADO JOSE ALBERTO</t>
  </si>
  <si>
    <t>ÑAMO GUALACEO BRYAN JAVIER</t>
  </si>
  <si>
    <t>21/JULIO/2022</t>
  </si>
  <si>
    <t>01/OCTUBRE/2022</t>
  </si>
  <si>
    <t>13/OCTUBRE/2022</t>
  </si>
  <si>
    <t>TIGUA MONTERO KAREN LISBETH</t>
  </si>
  <si>
    <t>GÉNERO</t>
  </si>
  <si>
    <t>AGENCIA</t>
  </si>
  <si>
    <t>QUITO UCHUBANDA JANETH ALEXANDRA</t>
  </si>
  <si>
    <t>CHACAGUASAY CHACAGUASAY ROBERTH CRISTHIAN</t>
  </si>
  <si>
    <t>01/MARZO/2023</t>
  </si>
  <si>
    <t>BARAHONA ZAMBRANO DAYANA NICOLE</t>
  </si>
  <si>
    <t>27/ABRIL/2023</t>
  </si>
  <si>
    <t>FLORES HERRERA WENDY DEL CISNE</t>
  </si>
  <si>
    <t>SALAO PEREZ GERMAN FABRICIO</t>
  </si>
  <si>
    <t>01/MAYO/2023</t>
  </si>
  <si>
    <t>CEDULA</t>
  </si>
  <si>
    <t>ROL INDIVIDUAL</t>
  </si>
  <si>
    <t>INGRESOS</t>
  </si>
  <si>
    <t>VALOR</t>
  </si>
  <si>
    <t>SUELDO BÁSICO COOPERATIVA</t>
  </si>
  <si>
    <t>BONO MOVILIZACION</t>
  </si>
  <si>
    <t>CUENTAS POR COBRAR</t>
  </si>
  <si>
    <t>COMISION POR SUPERAR LA META</t>
  </si>
  <si>
    <t>HORAS EXTRAS 50%</t>
  </si>
  <si>
    <t>HORAS EXTRAS 100%</t>
  </si>
  <si>
    <t>DECIMO CUARTO</t>
  </si>
  <si>
    <t>TOTAL EGRESOS</t>
  </si>
  <si>
    <t>VALOR NETO A RECIBIR</t>
  </si>
  <si>
    <t xml:space="preserve">Identificación: </t>
  </si>
  <si>
    <t>Nombres:</t>
  </si>
  <si>
    <t>Cargo:</t>
  </si>
  <si>
    <t>TOTAL DE INGRESOS</t>
  </si>
  <si>
    <t xml:space="preserve">Oficina: </t>
  </si>
  <si>
    <t>FECHA DE INGRESO</t>
  </si>
  <si>
    <t>CARGO</t>
  </si>
  <si>
    <t>Matriz</t>
  </si>
  <si>
    <t>Norte</t>
  </si>
  <si>
    <t>EJECUTIVO DE CAPTACIONES</t>
  </si>
  <si>
    <t>Durán</t>
  </si>
  <si>
    <t>ASESOR LEGAL</t>
  </si>
  <si>
    <t>JEFE DE AGENCIA</t>
  </si>
  <si>
    <t>JEFE DE CAPTACIONES</t>
  </si>
  <si>
    <t>JEFE DE BOVEDA</t>
  </si>
  <si>
    <t>CONTADOR GENERAL</t>
  </si>
  <si>
    <t>EGRESOS</t>
  </si>
  <si>
    <t>FECHA DE
 INGRESO</t>
  </si>
  <si>
    <t>DIAS 
TRABAJADOS</t>
  </si>
  <si>
    <t>SUELDO</t>
  </si>
  <si>
    <t>BONO 
VEHICULAR</t>
  </si>
  <si>
    <t>INGRESOS APORTE AL IESS</t>
  </si>
  <si>
    <t>TOTAL DE Ingresos</t>
  </si>
  <si>
    <t>DEPARTAMENTOS RECIBEN BONO</t>
  </si>
  <si>
    <t>BONOS</t>
  </si>
  <si>
    <t>HORAS TRABAJADAS</t>
  </si>
  <si>
    <t>TOTAL SOBRETIEMPO</t>
  </si>
  <si>
    <t>NO</t>
  </si>
  <si>
    <t xml:space="preserve">CEDULA </t>
  </si>
  <si>
    <t>Agencia</t>
  </si>
  <si>
    <t>Cantidad</t>
  </si>
  <si>
    <t>Cantidad2</t>
  </si>
  <si>
    <t>US$</t>
  </si>
  <si>
    <t>NOMBRES Y APELLIDOS</t>
  </si>
  <si>
    <t>Sucursal</t>
  </si>
  <si>
    <t>SI</t>
  </si>
  <si>
    <t>NUT</t>
  </si>
  <si>
    <t>REPORTE DE FONDOS DE RESERVA</t>
  </si>
  <si>
    <t>No</t>
  </si>
  <si>
    <t>cedula</t>
  </si>
  <si>
    <t>Fecha de
 Solicitud</t>
  </si>
  <si>
    <t>DIAS</t>
  </si>
  <si>
    <t>INGRESO APORTE AL IESS</t>
  </si>
  <si>
    <t>ACUMULA</t>
  </si>
  <si>
    <t>FECHA:</t>
  </si>
  <si>
    <t>NOMBRE:</t>
  </si>
  <si>
    <t>SUELDO:</t>
  </si>
  <si>
    <t>CARGO:</t>
  </si>
  <si>
    <t>FECHA DE INGRESO:</t>
  </si>
  <si>
    <t>TIPO DE SOLICITUD:</t>
  </si>
  <si>
    <t>TABLA - FORMA DE PAGO</t>
  </si>
  <si>
    <t>ANTICIPO</t>
  </si>
  <si>
    <t># CUOTA</t>
  </si>
  <si>
    <t>FECHA</t>
  </si>
  <si>
    <t>PRESTAMO</t>
  </si>
  <si>
    <t>SOLICITUD DE # CUOTAS A DESCONTAR</t>
  </si>
  <si>
    <t>OBSERVACIONES</t>
  </si>
  <si>
    <t>FIRMA DEL SOLICITANTE</t>
  </si>
  <si>
    <t>ELABORADO POR</t>
  </si>
  <si>
    <t>C.I.</t>
  </si>
  <si>
    <t>DEPARTAMENTO DE RRHH</t>
  </si>
  <si>
    <t>APROBADO POR</t>
  </si>
  <si>
    <t>GERENCIA</t>
  </si>
  <si>
    <t>ANTICIPO A SUELDO</t>
  </si>
  <si>
    <t>BONO POR CUMPLIMIENTO</t>
  </si>
  <si>
    <t>CUENTAS POR COBRAR A EMPLEADO</t>
  </si>
  <si>
    <t>Trabajador(a):</t>
  </si>
  <si>
    <t>Inicio:</t>
  </si>
  <si>
    <t>Fecha de ingreso:</t>
  </si>
  <si>
    <t>Fin:</t>
  </si>
  <si>
    <t>Sueldo:</t>
  </si>
  <si>
    <t>Total de dias</t>
  </si>
  <si>
    <t>Subsidio:</t>
  </si>
  <si>
    <t>Maternidad</t>
  </si>
  <si>
    <t>Calculo para el Pago:</t>
  </si>
  <si>
    <t>Sueldo Promedio Diario:</t>
  </si>
  <si>
    <t>(1-3 dias)</t>
  </si>
  <si>
    <t>Promedio Diario (25%):</t>
  </si>
  <si>
    <t>(4-70 dias)</t>
  </si>
  <si>
    <t>Nº</t>
  </si>
  <si>
    <t>Periodo</t>
  </si>
  <si>
    <t>Pocentajes</t>
  </si>
  <si>
    <t>Num. Dias</t>
  </si>
  <si>
    <t>Valor</t>
  </si>
  <si>
    <t>Desde</t>
  </si>
  <si>
    <t>Hasta</t>
  </si>
  <si>
    <t>ROL PROPORCIONAL</t>
  </si>
  <si>
    <t>APORTE INDIVIDUAL AL IESS 9.45</t>
  </si>
  <si>
    <t>COMISION POR SOCIOS NUEVOS</t>
  </si>
  <si>
    <t>TOTAL INGRESOS</t>
  </si>
  <si>
    <t xml:space="preserve"> CALCULO BONO VEHICULAR</t>
  </si>
  <si>
    <t>TOTAL POR VARIACION</t>
  </si>
  <si>
    <t>EXT. SALUD</t>
  </si>
  <si>
    <t>PENSION
ALIMENTICIA</t>
  </si>
  <si>
    <t>JANETA RUIZ ALEXANDRA DEL ROCIO</t>
  </si>
  <si>
    <t xml:space="preserve">  </t>
  </si>
  <si>
    <t>SUBSIDIOS
MONETARIO</t>
  </si>
  <si>
    <t>EJECUTIVO DE RECAUDACION</t>
  </si>
  <si>
    <t>Columna1</t>
  </si>
  <si>
    <t>NOMINA AGOSTO 2023</t>
  </si>
  <si>
    <t>JEFE DE RECAUDACIÓN</t>
  </si>
  <si>
    <t>DEL CORTE DEL 01 DE AGOSTO  AL 31 DE  AGOSTO DEL 2023</t>
  </si>
  <si>
    <t>US$,</t>
  </si>
  <si>
    <t>US$,,</t>
  </si>
  <si>
    <t>GALAN LEMACHE INGRID GISELA</t>
  </si>
  <si>
    <t>Comisiones</t>
  </si>
  <si>
    <t>Horas Extras</t>
  </si>
  <si>
    <t xml:space="preserve"> CALCULO DE APERTURA CUENTA- COLOCACIONES - PLAZO FIJO</t>
  </si>
  <si>
    <t>14°</t>
  </si>
  <si>
    <t>13°</t>
  </si>
  <si>
    <t>FR</t>
  </si>
  <si>
    <t>Sueldo</t>
  </si>
  <si>
    <t>Subsidios</t>
  </si>
  <si>
    <t>Ext Salud</t>
  </si>
  <si>
    <t>Pens Alimen</t>
  </si>
  <si>
    <t>Ctas x Cobrar</t>
  </si>
  <si>
    <t>Anticipo</t>
  </si>
  <si>
    <t>Remunerac</t>
  </si>
  <si>
    <t>Apor Personal</t>
  </si>
  <si>
    <t>Vacaciones</t>
  </si>
  <si>
    <t>Aporte 11.15%</t>
  </si>
  <si>
    <t>Aporte 1%</t>
  </si>
  <si>
    <t>FONDO DE 
RESERVA</t>
  </si>
  <si>
    <t>Tiene
Derecho</t>
  </si>
  <si>
    <t>FECHA DE 
INGRESO.</t>
  </si>
  <si>
    <t>Tiene Solicitud de Acum.</t>
  </si>
  <si>
    <t>Etiquetas de fila</t>
  </si>
  <si>
    <t>NEVAREZ PEÑAFIEL EVELYN JULEXY</t>
  </si>
  <si>
    <t>AGENCIA:</t>
  </si>
  <si>
    <t>Elaborado por:</t>
  </si>
  <si>
    <t>Recibí Conforme:</t>
  </si>
  <si>
    <t xml:space="preserve">Ing. Magaly  Morocho </t>
  </si>
  <si>
    <t>Talento Humano</t>
  </si>
  <si>
    <t>Funcionario</t>
  </si>
  <si>
    <t>HIDALGO CHERRES NESTOR VLADIMIR</t>
  </si>
  <si>
    <t>SOCIOS NUEVOS</t>
  </si>
  <si>
    <t>APERTURA</t>
  </si>
  <si>
    <t>APERT+CRÉD</t>
  </si>
  <si>
    <t>TOTAL COMISIÓN</t>
  </si>
  <si>
    <t>GUAPI YUMAGLLA OSCAR EDUARDO</t>
  </si>
  <si>
    <t>BONO BOLETOS</t>
  </si>
  <si>
    <t>COMISIONES</t>
  </si>
  <si>
    <t>0919306050</t>
  </si>
  <si>
    <t>MORAN GARCIA DANNY FAVIAN</t>
  </si>
  <si>
    <t>COM. POR CARGO</t>
  </si>
  <si>
    <t>(en blanco)</t>
  </si>
  <si>
    <t>MONTOS</t>
  </si>
  <si>
    <t>MUÑOZ MOLINA VERONICA PATRICIA</t>
  </si>
  <si>
    <t>YUNDA CUJILEMA MARIA TERESA</t>
  </si>
  <si>
    <t>JEFE DE CRÉDITO</t>
  </si>
  <si>
    <t>BONO CUMP</t>
  </si>
  <si>
    <t xml:space="preserve"> CRÉD-INV</t>
  </si>
  <si>
    <t>COMISIÓN SUP. META</t>
  </si>
  <si>
    <t xml:space="preserve"> CÁLCULO DE HORAS EXTRAS</t>
  </si>
  <si>
    <t xml:space="preserve"> CÁLCULO DE COMISIONES POR APERTURA</t>
  </si>
  <si>
    <t xml:space="preserve"> CÁLCULO DE COMISIONES (METAS, BONOS,ETC)</t>
  </si>
  <si>
    <t>Pocentaje</t>
  </si>
  <si>
    <t>QUITO CALDERON JONATHAN ENRIQUE</t>
  </si>
  <si>
    <t>GARCIA VERA HENRY  LUIS</t>
  </si>
  <si>
    <t>GUALACEO ÑAMO JONATHAN IVÁN</t>
  </si>
  <si>
    <t>TADAY GUAMAN NÉSTOR ALONSO</t>
  </si>
  <si>
    <t>PRESTAMO PQ- HIP</t>
  </si>
  <si>
    <t>PRÉSTAMOS QUIROGRAFARIOS E HIPOTECARIOS</t>
  </si>
  <si>
    <t>DESCUENTO POR PÉRDIDA DE EQUIPO MÓVIL</t>
  </si>
  <si>
    <t>FIRMAS Y/O AUTORIZACIÓN</t>
  </si>
  <si>
    <t>Autorizo a la empresa Coac Los Andes Latinos LTDA., a descontar mediante mi rol de pago mensual o en mi liquidación de haberes de ser el caso</t>
  </si>
  <si>
    <t>ANTICIPOS AL PERSONAL</t>
  </si>
  <si>
    <t>1.6.90.05</t>
  </si>
  <si>
    <t>Saldo</t>
  </si>
  <si>
    <t>Cuenta</t>
  </si>
  <si>
    <t>Codigo</t>
  </si>
  <si>
    <t>Consolidado</t>
  </si>
  <si>
    <t>Oficina:</t>
  </si>
  <si>
    <t>N°</t>
  </si>
  <si>
    <t>ROL PROPORCIONAL JUNIO 2024</t>
  </si>
  <si>
    <t>FUELA TOABANDA JOSUE CHRISTIAN</t>
  </si>
  <si>
    <t>1</t>
  </si>
  <si>
    <t>MEZA RODRIGUEZ MICHAEL FERNANDO</t>
  </si>
  <si>
    <t>0943906032</t>
  </si>
  <si>
    <r>
      <rPr>
        <sz val="6"/>
        <rFont val="Arial MT"/>
        <family val="2"/>
      </rPr>
      <t>YUQUILEMA DELGADO PEDRO ANTONIO</t>
    </r>
  </si>
  <si>
    <r>
      <rPr>
        <sz val="6"/>
        <rFont val="Arial MT"/>
        <family val="2"/>
      </rPr>
      <t>YUQUILEMA CACUANGO ANGEL JOSE</t>
    </r>
  </si>
  <si>
    <r>
      <rPr>
        <sz val="6"/>
        <rFont val="Arial MT"/>
        <family val="2"/>
      </rPr>
      <t>YUNDA CUJILEMA MARIA TERESA</t>
    </r>
  </si>
  <si>
    <r>
      <rPr>
        <sz val="6"/>
        <rFont val="Arial MT"/>
        <family val="2"/>
      </rPr>
      <t>YAUTIBUG NAULA EDISON DAVID</t>
    </r>
  </si>
  <si>
    <r>
      <rPr>
        <sz val="6"/>
        <rFont val="Arial MT"/>
        <family val="2"/>
      </rPr>
      <t>VILLEGAS MOREIRA JENNIFFER ESTEFANIA</t>
    </r>
  </si>
  <si>
    <r>
      <rPr>
        <sz val="6"/>
        <rFont val="Arial MT"/>
        <family val="2"/>
      </rPr>
      <t>VERA GUEVARA PAOLA KARINA</t>
    </r>
  </si>
  <si>
    <r>
      <rPr>
        <sz val="6"/>
        <rFont val="Arial MT"/>
        <family val="2"/>
      </rPr>
      <t>URQUIZO GUARANGA ALEX EFRAIN</t>
    </r>
  </si>
  <si>
    <r>
      <rPr>
        <sz val="6"/>
        <rFont val="Arial MT"/>
        <family val="2"/>
      </rPr>
      <t>TIGUA MONTERO KAREN LISBETH</t>
    </r>
  </si>
  <si>
    <r>
      <rPr>
        <sz val="6"/>
        <rFont val="Arial MT"/>
        <family val="2"/>
      </rPr>
      <t>TADAY GUAMAN NESTOR ALONSO</t>
    </r>
  </si>
  <si>
    <r>
      <rPr>
        <sz val="6"/>
        <rFont val="Arial MT"/>
        <family val="2"/>
      </rPr>
      <t>SANUNGA TOTOY PAOLA ISABEL</t>
    </r>
  </si>
  <si>
    <r>
      <rPr>
        <sz val="6"/>
        <rFont val="Arial MT"/>
        <family val="2"/>
      </rPr>
      <t>SANISACA MITE ISRAEL BENJAMIN</t>
    </r>
  </si>
  <si>
    <r>
      <rPr>
        <sz val="6"/>
        <rFont val="Arial MT"/>
        <family val="2"/>
      </rPr>
      <t>SALAO PEREZ GERMAN FABRICIO</t>
    </r>
  </si>
  <si>
    <r>
      <rPr>
        <sz val="6"/>
        <rFont val="Arial MT"/>
        <family val="2"/>
      </rPr>
      <t>QUITO UCHUBANDA JANETH ALEXANDRA</t>
    </r>
  </si>
  <si>
    <r>
      <rPr>
        <sz val="6"/>
        <rFont val="Arial MT"/>
        <family val="2"/>
      </rPr>
      <t>QUITO CALDERON JONATHAN ENRIQUE</t>
    </r>
  </si>
  <si>
    <r>
      <rPr>
        <sz val="6"/>
        <rFont val="Arial MT"/>
        <family val="2"/>
      </rPr>
      <t>PERALTA MENDEZ LINA LISSETTE</t>
    </r>
  </si>
  <si>
    <r>
      <rPr>
        <sz val="6"/>
        <rFont val="Arial MT"/>
        <family val="2"/>
      </rPr>
      <t>ÑAMO GUALACEO BRYAN JAVIER</t>
    </r>
  </si>
  <si>
    <r>
      <rPr>
        <sz val="6"/>
        <rFont val="Arial MT"/>
        <family val="2"/>
      </rPr>
      <t>MOROCHO DUCHI SANDRA STEPHANIE</t>
    </r>
  </si>
  <si>
    <r>
      <rPr>
        <sz val="6"/>
        <rFont val="Arial MT"/>
        <family val="2"/>
      </rPr>
      <t>MARSHALL VEGA YULIANA LISSETT</t>
    </r>
  </si>
  <si>
    <r>
      <rPr>
        <sz val="6"/>
        <rFont val="Arial MT"/>
        <family val="2"/>
      </rPr>
      <t>MALAN YUQUILEMA RAUL ALBERTO</t>
    </r>
  </si>
  <si>
    <r>
      <rPr>
        <sz val="6"/>
        <rFont val="Arial MT"/>
        <family val="2"/>
      </rPr>
      <t>MALAN DELGADO JOSE ALBERTO</t>
    </r>
  </si>
  <si>
    <r>
      <rPr>
        <sz val="6"/>
        <rFont val="Arial MT"/>
        <family val="2"/>
      </rPr>
      <t>LLUMI YUQUILEMA JOSE LUIS</t>
    </r>
  </si>
  <si>
    <r>
      <rPr>
        <sz val="6"/>
        <rFont val="Arial MT"/>
        <family val="2"/>
      </rPr>
      <t>LEMA CHIRAU RAMONA MARIA</t>
    </r>
  </si>
  <si>
    <r>
      <rPr>
        <sz val="6"/>
        <rFont val="Arial MT"/>
        <family val="2"/>
      </rPr>
      <t>JANETA RUIZ ALEXANDRA DEL ROCIO</t>
    </r>
  </si>
  <si>
    <r>
      <rPr>
        <sz val="6"/>
        <rFont val="Arial MT"/>
        <family val="2"/>
      </rPr>
      <t>HIDALGO CHERRES NESTOR VLADIMIR</t>
    </r>
  </si>
  <si>
    <r>
      <rPr>
        <sz val="6"/>
        <rFont val="Arial MT"/>
        <family val="2"/>
      </rPr>
      <t>GUAYANLEMA RUIZ EDINSON DAVID</t>
    </r>
  </si>
  <si>
    <r>
      <rPr>
        <sz val="6"/>
        <rFont val="Arial MT"/>
        <family val="2"/>
      </rPr>
      <t>GUARANDA QUITIO BRYAN ESTEVEN</t>
    </r>
  </si>
  <si>
    <r>
      <rPr>
        <sz val="6"/>
        <rFont val="Arial MT"/>
        <family val="2"/>
      </rPr>
      <t>GUAPI YUMAGLLA OSCAR EDUARDO</t>
    </r>
  </si>
  <si>
    <r>
      <rPr>
        <sz val="6"/>
        <rFont val="Arial MT"/>
        <family val="2"/>
      </rPr>
      <t>GUALACEO ÑAMO JONATHAN IVAN</t>
    </r>
  </si>
  <si>
    <r>
      <rPr>
        <sz val="6"/>
        <rFont val="Arial MT"/>
        <family val="2"/>
      </rPr>
      <t>GALAN LEMACHE INGRID GISELA</t>
    </r>
  </si>
  <si>
    <r>
      <rPr>
        <sz val="6"/>
        <rFont val="Arial MT"/>
        <family val="2"/>
      </rPr>
      <t>FLORES HERRERA WENDY DEL CISNE</t>
    </r>
  </si>
  <si>
    <r>
      <rPr>
        <sz val="6"/>
        <rFont val="Arial MT"/>
        <family val="2"/>
      </rPr>
      <t>CHACAGUASAY CHACAGUASAY ROBERTH</t>
    </r>
  </si>
  <si>
    <r>
      <rPr>
        <sz val="6"/>
        <rFont val="Arial MT"/>
        <family val="2"/>
      </rPr>
      <t>CALDERON QUITO OSCAR JAVIER</t>
    </r>
  </si>
  <si>
    <r>
      <rPr>
        <sz val="6"/>
        <rFont val="Arial MT"/>
        <family val="2"/>
      </rPr>
      <t>BETUN CHAFLA JULIO CESAR</t>
    </r>
  </si>
  <si>
    <t>MOREIRA ESPINOZA LINDA ELIZABETH</t>
  </si>
  <si>
    <t>Cliente</t>
  </si>
  <si>
    <t>Identificación</t>
  </si>
  <si>
    <t>Nombre Cliente</t>
  </si>
  <si>
    <t>Deuda
Inicial</t>
  </si>
  <si>
    <t>DESCONTADO?</t>
  </si>
  <si>
    <t>FIR</t>
  </si>
  <si>
    <t>N° CUOTAS</t>
  </si>
  <si>
    <t>DESC. MENSUAL</t>
  </si>
  <si>
    <t>0940991987</t>
  </si>
  <si>
    <t>0925813685</t>
  </si>
  <si>
    <t xml:space="preserve">TOTAL GENERAL : </t>
  </si>
  <si>
    <t>SEPT</t>
  </si>
  <si>
    <t>OCT</t>
  </si>
  <si>
    <t xml:space="preserve">NOV </t>
  </si>
  <si>
    <t>DIC</t>
  </si>
  <si>
    <t xml:space="preserve">PERALTA MENDEZ LINA LISSETTE </t>
  </si>
  <si>
    <t>0941235376</t>
  </si>
  <si>
    <t>LEMA CHIRAU MARIA</t>
  </si>
  <si>
    <t>YUQUILEMA PEDRO</t>
  </si>
  <si>
    <t>AGOSTO</t>
  </si>
  <si>
    <t>EXTRAORD</t>
  </si>
  <si>
    <t>SUPL</t>
  </si>
  <si>
    <t>PERSONAL</t>
  </si>
  <si>
    <t>-</t>
  </si>
  <si>
    <t>HORA
SALIDA</t>
  </si>
  <si>
    <t>DIA REPORTADO</t>
  </si>
  <si>
    <t>REPORTE FEBRERO</t>
  </si>
  <si>
    <t>CI</t>
  </si>
  <si>
    <t>C*C</t>
  </si>
  <si>
    <t>Total general</t>
  </si>
  <si>
    <t>Suma de VALOR</t>
  </si>
  <si>
    <t>CONVERSION 50%</t>
  </si>
  <si>
    <t>CONVERSION 100%</t>
  </si>
  <si>
    <t>OFICIAL DE COBRANZAS</t>
  </si>
  <si>
    <t>MATERNIDAD</t>
  </si>
  <si>
    <t>NOTAS DE CRÉDITO IESS</t>
  </si>
  <si>
    <t>Cuadre</t>
  </si>
  <si>
    <t>Personal</t>
  </si>
  <si>
    <t>Patronal</t>
  </si>
  <si>
    <t>Remuneración</t>
  </si>
  <si>
    <t>Colaborador</t>
  </si>
  <si>
    <t>…...</t>
  </si>
  <si>
    <t>Diferencia</t>
  </si>
  <si>
    <t>Prestamos Q/H</t>
  </si>
  <si>
    <t>06-03-2024</t>
  </si>
  <si>
    <t>ENERO</t>
  </si>
  <si>
    <t>FEBRERO</t>
  </si>
  <si>
    <t>MARZO</t>
  </si>
  <si>
    <t>ABRIL</t>
  </si>
  <si>
    <t>PAOLA</t>
  </si>
  <si>
    <t>INGRID</t>
  </si>
  <si>
    <t>GUAPI</t>
  </si>
  <si>
    <t>MIO</t>
  </si>
  <si>
    <t>MAYO</t>
  </si>
  <si>
    <t>JUNIO</t>
  </si>
  <si>
    <t>JULIO</t>
  </si>
  <si>
    <t xml:space="preserve">BENEFICIOS SOCIALES </t>
  </si>
  <si>
    <t xml:space="preserve">       ROL DE PAGOS</t>
  </si>
  <si>
    <t xml:space="preserve">No. días: </t>
  </si>
  <si>
    <t>Bono General Mensual</t>
  </si>
  <si>
    <t>Bono cumplimiento</t>
  </si>
  <si>
    <t>Bono Movilización</t>
  </si>
  <si>
    <t>0950929232</t>
  </si>
  <si>
    <t>0956796767</t>
  </si>
  <si>
    <t>0954520599</t>
  </si>
  <si>
    <t>0924232804</t>
  </si>
  <si>
    <t>0927257576</t>
  </si>
  <si>
    <t>0928901800</t>
  </si>
  <si>
    <t>Sueldo básico cooperativa</t>
  </si>
  <si>
    <t>Comisión por cumplimiento de meta</t>
  </si>
  <si>
    <t>Comisión por Depósito a Plazo Fijo</t>
  </si>
  <si>
    <t>Comisión socios nuevos</t>
  </si>
  <si>
    <t>Horas Extras 50%</t>
  </si>
  <si>
    <t>Horas Extras 100%</t>
  </si>
  <si>
    <t>Fondo de Reserva</t>
  </si>
  <si>
    <t>Décimo Tercero</t>
  </si>
  <si>
    <t>Décimo Cuarto</t>
  </si>
  <si>
    <t>Aporte Individual IESS 9.45%</t>
  </si>
  <si>
    <t>Préstamos Quirografarios o Hipotecarios</t>
  </si>
  <si>
    <t>Subsidio Monetario</t>
  </si>
  <si>
    <t>Extensión de Salud</t>
  </si>
  <si>
    <t>Pensión alimenticia</t>
  </si>
  <si>
    <t>Cuentas por cobrar</t>
  </si>
  <si>
    <t>Anticipo de Sueldo</t>
  </si>
  <si>
    <t>Fondo de reserva ajuste</t>
  </si>
  <si>
    <t>Fondo de Reserva Bono</t>
  </si>
  <si>
    <t>GUARANDA QUITIO BRYAN</t>
  </si>
  <si>
    <t>Bono mensual (2.174%)</t>
  </si>
  <si>
    <t>FONDO DE RESERVA (BONO NAVIDEÑO)</t>
  </si>
  <si>
    <t>ENFERMEDAD GENERAL</t>
  </si>
  <si>
    <t>ROL PROPORCIONAL FEBRERO 2025</t>
  </si>
  <si>
    <t>RET IMP A LA RENTA</t>
  </si>
  <si>
    <t>Ret Imp. A la Renta</t>
  </si>
  <si>
    <t>Descuentos</t>
  </si>
  <si>
    <t>anticipo</t>
  </si>
  <si>
    <t>descuento</t>
  </si>
  <si>
    <t>COCA BENITEZ JORGE</t>
  </si>
  <si>
    <t>NAULA CRIOLLO CINTHYA ABIGAIL</t>
  </si>
  <si>
    <t>LLUMI YUQUILEMA MAYCOOL DANNY</t>
  </si>
  <si>
    <t>DSCTOS</t>
  </si>
  <si>
    <t>Fondo de Reserva (ajustes)</t>
  </si>
  <si>
    <t>Dscto por pérdida de bien</t>
  </si>
  <si>
    <t>DESCUENTO POR PÉRDIDA DE EQUIPO MÓVIL ( Celular)</t>
  </si>
  <si>
    <t>DESCUENTO POR PÉRDIDA DE EQUIPO MÓVIL ( Impresora)</t>
  </si>
  <si>
    <t>LEMA TADAY BRAYAN WIDINSON</t>
  </si>
  <si>
    <t>Retención del Personal</t>
  </si>
  <si>
    <t>DEFAS CHICAIZA JOEL ALBERTO</t>
  </si>
  <si>
    <t>0932036049</t>
  </si>
  <si>
    <t>HERRERA JIMENEZ CAROLINA ADELIHER</t>
  </si>
  <si>
    <t>anticipo de sueldo</t>
  </si>
  <si>
    <t>Comisión por superación  de meta</t>
  </si>
  <si>
    <t xml:space="preserve">MOROCHO YANTALEMA DINA </t>
  </si>
  <si>
    <t>CHIMBOLEMA YUNGAN MARIO EFRAIN</t>
  </si>
  <si>
    <t>0923715692</t>
  </si>
  <si>
    <t>ORELLANA MANZO WHITNEY YAILYN</t>
  </si>
  <si>
    <t>1.6.90.05.16</t>
  </si>
  <si>
    <t>0925830689</t>
  </si>
  <si>
    <t>LEMA TADAY BRAYAN</t>
  </si>
  <si>
    <t>NÓMINA SEPTIEMBRE 2025</t>
  </si>
  <si>
    <t>NÓMINA  SEPTIEMBRE 2025</t>
  </si>
  <si>
    <t>Fecha:
30-09-2025</t>
  </si>
  <si>
    <t>1.6.90.05.04</t>
  </si>
  <si>
    <t>1.6.90.05.07</t>
  </si>
  <si>
    <t>1.6.90.05.10</t>
  </si>
  <si>
    <t>1.6.90.05.15</t>
  </si>
  <si>
    <t>1.6.90.05.17</t>
  </si>
  <si>
    <t>1.6.90.05.20</t>
  </si>
  <si>
    <t>1.6.90.05.21</t>
  </si>
  <si>
    <t>1.6.90.05.31</t>
  </si>
  <si>
    <t>1.6.90.05.33</t>
  </si>
  <si>
    <t>1.6.90.05.34</t>
  </si>
  <si>
    <t>1.6.90.05.35</t>
  </si>
  <si>
    <t>1.6.90.05.37</t>
  </si>
  <si>
    <t>1.6.90.05.39</t>
  </si>
  <si>
    <t>1.6.90.05.40</t>
  </si>
  <si>
    <t>1.6.90.05.42</t>
  </si>
  <si>
    <t>1.6.90.05.43</t>
  </si>
  <si>
    <t>1.6.90.05.45</t>
  </si>
  <si>
    <t>1.6.90.05.46</t>
  </si>
  <si>
    <t>1.6.90.05.50</t>
  </si>
  <si>
    <t>1.6.90.05.52</t>
  </si>
  <si>
    <t>1.6.90.05.58</t>
  </si>
  <si>
    <t>1.6.90.05.64</t>
  </si>
  <si>
    <t>1.6.90.05.65</t>
  </si>
  <si>
    <t>1.6.90.05.69</t>
  </si>
  <si>
    <t>1.6.90.05.95</t>
  </si>
  <si>
    <t>NOMINA SEPTIEMBRE 2025</t>
  </si>
  <si>
    <t>OFICIAL DE RECAUDACIONES</t>
  </si>
  <si>
    <t xml:space="preserve"> MES DE OCTUBRE 2025</t>
  </si>
  <si>
    <t>ROL PROPORCIONAL OCTUBRE 2024</t>
  </si>
  <si>
    <t>NÓMINA OCTUBRE 2025</t>
  </si>
  <si>
    <t>1.6.90.05.02</t>
  </si>
  <si>
    <t>1.6.90.05.08</t>
  </si>
  <si>
    <t>DEL ROSARIO RODRIGUEZ JUDY ANGELICA</t>
  </si>
  <si>
    <t>1.6.90.05.13</t>
  </si>
  <si>
    <t>NÓMINA OCTUBRE2025</t>
  </si>
  <si>
    <t>PEREZ ZAMORA ANA DE LOS ANGELES</t>
  </si>
  <si>
    <t>0943964973</t>
  </si>
  <si>
    <t>CHACAGUASAY GUAMAN KEVIN NEHEMIAS</t>
  </si>
  <si>
    <t>CHOCA CEPEDA INES VIVIANA</t>
  </si>
  <si>
    <t>0918741448</t>
  </si>
  <si>
    <t>SUELDO BRUTO</t>
  </si>
  <si>
    <t>ANTICIPOS AL PERSONAL OCTUBRE 2025</t>
  </si>
  <si>
    <t>CORO YUQUILEMA RUT NOEMI</t>
  </si>
  <si>
    <t>1.6.90.05.06</t>
  </si>
  <si>
    <t>1.6.90.05.57</t>
  </si>
  <si>
    <t>1.6.90.05.70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</si>
</sst>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0000000000"/>
    <numFmt numFmtId="165" formatCode="[$-1540A]dd\-mmm\-yy;@"/>
    <numFmt numFmtId="166" formatCode="_(&quot;$&quot;* #,##0.00_);_(&quot;$&quot;* \(#,##0.00\);_(&quot;$&quot;* &quot;-&quot;??_);_(@_)"/>
    <numFmt numFmtId="167" formatCode="_(&quot;$&quot;\ * #,##0.00_);_(&quot;$&quot;\ * \(#,##0.00\);_(&quot;$&quot;\ * &quot;-&quot;??_);_(@_)"/>
    <numFmt numFmtId="168" formatCode="#0"/>
    <numFmt numFmtId="169" formatCode="#0.00"/>
    <numFmt numFmtId="170" formatCode="[$-1540A]m/d/yyyy;@"/>
    <numFmt numFmtId="171" formatCode="dd/mm/yyyy;@"/>
    <numFmt numFmtId="172" formatCode="&quot;$&quot;#,##0.00"/>
    <numFmt numFmtId="173" formatCode="[$-10C0A]#,##0.00;\-#,##0.00"/>
  </numFmts>
  <fonts count="1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Bookman Old Style"/>
      <family val="1"/>
    </font>
    <font>
      <sz val="10"/>
      <name val="Bookman Old Style"/>
      <family val="1"/>
    </font>
    <font>
      <b/>
      <sz val="18"/>
      <name val="Arial"/>
      <family val="2"/>
    </font>
    <font>
      <b/>
      <sz val="12"/>
      <name val="Bookman Old Style"/>
      <family val="1"/>
    </font>
    <font>
      <b/>
      <sz val="8"/>
      <name val="Bookman Old Style"/>
      <family val="1"/>
    </font>
    <font>
      <sz val="10"/>
      <color theme="0"/>
      <name val="Bookman Old Style"/>
      <family val="1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name val="Calibri"/>
      <family val="2"/>
      <scheme val="minor"/>
    </font>
    <font>
      <b/>
      <u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Bookman Old Style"/>
      <family val="1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6.95"/>
      <color indexed="8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26"/>
      <color theme="1"/>
      <name val="Arial"/>
      <family val="2"/>
    </font>
    <font>
      <b/>
      <sz val="26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indexed="8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0"/>
      <color theme="0" tint="-0.499984740745262"/>
      <name val="Arial"/>
      <family val="2"/>
    </font>
    <font>
      <b/>
      <sz val="8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8"/>
      <color theme="0" tint="-4.9989318521683403E-2"/>
      <name val="Verdana"/>
      <family val="2"/>
    </font>
    <font>
      <sz val="8"/>
      <color theme="0" tint="-4.9989318521683403E-2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color theme="1"/>
      <name val="Bookman Old Style"/>
      <family val="1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color indexed="8"/>
      <name val="sansserif"/>
    </font>
    <font>
      <sz val="9"/>
      <color theme="2" tint="-0.74999237037263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Bookman Old Style"/>
      <family val="1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8"/>
      <color theme="0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Bookman Old Style"/>
      <family val="1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color rgb="FF000000"/>
      <name val="Arial"/>
      <family val="2"/>
    </font>
    <font>
      <sz val="12"/>
      <color rgb="FF000000"/>
      <name val="Verdana"/>
      <family val="2"/>
    </font>
    <font>
      <sz val="8"/>
      <color rgb="FF000000"/>
      <name val="Arial MT"/>
      <family val="2"/>
    </font>
    <font>
      <sz val="6"/>
      <name val="Arial MT"/>
    </font>
    <font>
      <sz val="6"/>
      <name val="Arial MT"/>
      <family val="2"/>
    </font>
    <font>
      <b/>
      <sz val="7"/>
      <color rgb="FF000000"/>
      <name val="Calibri"/>
      <family val="2"/>
    </font>
    <font>
      <b/>
      <sz val="11"/>
      <name val="Calibri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sz val="8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parajita"/>
      <family val="1"/>
    </font>
    <font>
      <b/>
      <sz val="11"/>
      <name val="Arial"/>
      <family val="2"/>
    </font>
    <font>
      <sz val="10"/>
      <color theme="1"/>
      <name val="Aparajita"/>
      <family val="1"/>
    </font>
    <font>
      <b/>
      <sz val="10"/>
      <color theme="0"/>
      <name val="Aparajita"/>
      <family val="1"/>
    </font>
    <font>
      <sz val="10"/>
      <name val="Aparajita"/>
      <family val="1"/>
    </font>
    <font>
      <b/>
      <sz val="10"/>
      <color theme="1"/>
      <name val="Aparajita"/>
      <family val="1"/>
    </font>
    <font>
      <sz val="11"/>
      <color theme="1"/>
      <name val="Aparajita"/>
      <family val="1"/>
    </font>
    <font>
      <b/>
      <sz val="8"/>
      <name val="Arial"/>
      <family val="2"/>
    </font>
    <font>
      <b/>
      <sz val="9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7"/>
      <color theme="1"/>
      <name val="Aparajita"/>
      <family val="1"/>
    </font>
    <font>
      <b/>
      <sz val="6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4552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6862F"/>
        <bgColor indexed="64"/>
      </patternFill>
    </fill>
    <fill>
      <patternFill patternType="solid">
        <fgColor rgb="FF2666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ck">
        <color theme="0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theme="6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n">
        <color indexed="64"/>
      </right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8" fillId="0" borderId="0"/>
    <xf numFmtId="44" fontId="1" fillId="0" borderId="0" applyFont="0" applyFill="0" applyBorder="0" applyAlignment="0" applyProtection="0"/>
    <xf numFmtId="0" fontId="79" fillId="0" borderId="0"/>
    <xf numFmtId="44" fontId="79" fillId="0" borderId="0" applyFont="0" applyFill="0" applyBorder="0" applyAlignment="0" applyProtection="0"/>
  </cellStyleXfs>
  <cellXfs count="94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43" fontId="10" fillId="0" borderId="0" xfId="1" applyFont="1"/>
    <xf numFmtId="43" fontId="10" fillId="0" borderId="0" xfId="0" applyNumberFormat="1" applyFont="1"/>
    <xf numFmtId="0" fontId="14" fillId="0" borderId="0" xfId="0" applyFont="1"/>
    <xf numFmtId="0" fontId="17" fillId="0" borderId="0" xfId="0" applyFont="1"/>
    <xf numFmtId="0" fontId="17" fillId="0" borderId="5" xfId="0" applyFont="1" applyBorder="1"/>
    <xf numFmtId="44" fontId="17" fillId="0" borderId="5" xfId="2" applyFont="1" applyBorder="1"/>
    <xf numFmtId="0" fontId="17" fillId="0" borderId="0" xfId="0" applyFont="1" applyAlignment="1">
      <alignment vertical="center"/>
    </xf>
    <xf numFmtId="0" fontId="17" fillId="0" borderId="13" xfId="0" applyFont="1" applyBorder="1"/>
    <xf numFmtId="0" fontId="19" fillId="0" borderId="0" xfId="0" applyFont="1"/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/>
    <xf numFmtId="0" fontId="19" fillId="0" borderId="0" xfId="0" applyFont="1" applyAlignment="1">
      <alignment horizontal="center"/>
    </xf>
    <xf numFmtId="17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164" fontId="27" fillId="0" borderId="20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1" fontId="27" fillId="0" borderId="20" xfId="0" applyNumberFormat="1" applyFont="1" applyBorder="1" applyAlignment="1">
      <alignment horizontal="center" vertical="center"/>
    </xf>
    <xf numFmtId="3" fontId="27" fillId="0" borderId="20" xfId="1" applyNumberFormat="1" applyFont="1" applyBorder="1" applyAlignment="1">
      <alignment horizontal="center" vertical="center"/>
    </xf>
    <xf numFmtId="43" fontId="0" fillId="0" borderId="21" xfId="1" applyFont="1" applyBorder="1" applyAlignment="1">
      <alignment horizontal="center" vertical="center"/>
    </xf>
    <xf numFmtId="43" fontId="0" fillId="5" borderId="21" xfId="1" applyFont="1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43" fontId="0" fillId="10" borderId="21" xfId="0" applyNumberFormat="1" applyFill="1" applyBorder="1" applyAlignment="1">
      <alignment vertical="center"/>
    </xf>
    <xf numFmtId="43" fontId="0" fillId="0" borderId="21" xfId="0" applyNumberFormat="1" applyBorder="1" applyAlignment="1">
      <alignment vertical="center"/>
    </xf>
    <xf numFmtId="0" fontId="0" fillId="0" borderId="0" xfId="0" applyAlignment="1">
      <alignment vertical="center"/>
    </xf>
    <xf numFmtId="44" fontId="0" fillId="0" borderId="0" xfId="2" applyFont="1"/>
    <xf numFmtId="0" fontId="0" fillId="0" borderId="20" xfId="0" applyBorder="1" applyAlignment="1">
      <alignment horizontal="left" vertical="center"/>
    </xf>
    <xf numFmtId="0" fontId="28" fillId="0" borderId="0" xfId="0" applyFont="1"/>
    <xf numFmtId="0" fontId="0" fillId="0" borderId="20" xfId="0" applyBorder="1" applyAlignment="1">
      <alignment horizontal="center" vertical="center"/>
    </xf>
    <xf numFmtId="0" fontId="0" fillId="0" borderId="23" xfId="0" applyBorder="1"/>
    <xf numFmtId="0" fontId="26" fillId="9" borderId="24" xfId="0" applyFont="1" applyFill="1" applyBorder="1" applyAlignment="1">
      <alignment horizontal="center" vertical="center"/>
    </xf>
    <xf numFmtId="0" fontId="26" fillId="9" borderId="24" xfId="0" applyFont="1" applyFill="1" applyBorder="1" applyAlignment="1">
      <alignment horizontal="centerContinuous" vertical="center"/>
    </xf>
    <xf numFmtId="0" fontId="26" fillId="9" borderId="24" xfId="0" applyFont="1" applyFill="1" applyBorder="1" applyAlignment="1">
      <alignment horizontal="center" vertical="center" wrapText="1"/>
    </xf>
    <xf numFmtId="0" fontId="23" fillId="7" borderId="24" xfId="0" applyFont="1" applyFill="1" applyBorder="1"/>
    <xf numFmtId="0" fontId="23" fillId="7" borderId="24" xfId="0" applyFont="1" applyFill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49" fontId="20" fillId="3" borderId="24" xfId="1" applyNumberFormat="1" applyFont="1" applyFill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/>
    </xf>
    <xf numFmtId="0" fontId="17" fillId="0" borderId="29" xfId="2" applyNumberFormat="1" applyFont="1" applyBorder="1" applyAlignment="1">
      <alignment horizontal="right"/>
    </xf>
    <xf numFmtId="0" fontId="15" fillId="0" borderId="24" xfId="0" applyFont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3" fillId="0" borderId="0" xfId="0" applyFont="1"/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9" fontId="29" fillId="11" borderId="36" xfId="3" applyFont="1" applyFill="1" applyBorder="1" applyAlignment="1">
      <alignment horizontal="center"/>
    </xf>
    <xf numFmtId="9" fontId="29" fillId="11" borderId="37" xfId="3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 vertical="center"/>
    </xf>
    <xf numFmtId="0" fontId="29" fillId="11" borderId="40" xfId="0" applyFont="1" applyFill="1" applyBorder="1" applyAlignment="1">
      <alignment horizontal="center" vertical="center"/>
    </xf>
    <xf numFmtId="44" fontId="29" fillId="11" borderId="35" xfId="2" applyFont="1" applyFill="1" applyBorder="1" applyAlignment="1">
      <alignment horizontal="center" vertical="center"/>
    </xf>
    <xf numFmtId="0" fontId="29" fillId="11" borderId="40" xfId="2" applyNumberFormat="1" applyFont="1" applyFill="1" applyBorder="1" applyAlignment="1">
      <alignment horizontal="left" vertical="center"/>
    </xf>
    <xf numFmtId="0" fontId="29" fillId="11" borderId="42" xfId="2" applyNumberFormat="1" applyFont="1" applyFill="1" applyBorder="1" applyAlignment="1">
      <alignment horizontal="left" vertical="center"/>
    </xf>
    <xf numFmtId="0" fontId="30" fillId="11" borderId="35" xfId="0" applyFont="1" applyFill="1" applyBorder="1" applyAlignment="1">
      <alignment horizontal="center" vertical="center"/>
    </xf>
    <xf numFmtId="0" fontId="30" fillId="11" borderId="4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43" fontId="32" fillId="0" borderId="20" xfId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44" fontId="0" fillId="0" borderId="5" xfId="2" applyFont="1" applyBorder="1"/>
    <xf numFmtId="0" fontId="0" fillId="0" borderId="32" xfId="0" applyBorder="1" applyAlignment="1">
      <alignment horizontal="center"/>
    </xf>
    <xf numFmtId="0" fontId="0" fillId="0" borderId="22" xfId="0" applyBorder="1"/>
    <xf numFmtId="0" fontId="0" fillId="0" borderId="43" xfId="0" applyBorder="1" applyAlignment="1">
      <alignment horizontal="center"/>
    </xf>
    <xf numFmtId="0" fontId="31" fillId="0" borderId="43" xfId="0" applyFont="1" applyBorder="1" applyAlignment="1">
      <alignment horizontal="left" vertical="center"/>
    </xf>
    <xf numFmtId="44" fontId="31" fillId="0" borderId="43" xfId="0" applyNumberFormat="1" applyFont="1" applyBorder="1" applyAlignment="1">
      <alignment horizontal="center" vertical="center"/>
    </xf>
    <xf numFmtId="43" fontId="17" fillId="9" borderId="43" xfId="0" applyNumberFormat="1" applyFont="1" applyFill="1" applyBorder="1" applyAlignment="1">
      <alignment horizontal="center"/>
    </xf>
    <xf numFmtId="43" fontId="32" fillId="9" borderId="43" xfId="0" applyNumberFormat="1" applyFont="1" applyFill="1" applyBorder="1" applyAlignment="1">
      <alignment horizontal="center" vertical="center"/>
    </xf>
    <xf numFmtId="43" fontId="32" fillId="0" borderId="43" xfId="0" applyNumberFormat="1" applyFont="1" applyBorder="1" applyAlignment="1">
      <alignment horizontal="center" vertical="center"/>
    </xf>
    <xf numFmtId="0" fontId="2" fillId="0" borderId="0" xfId="4"/>
    <xf numFmtId="0" fontId="0" fillId="0" borderId="0" xfId="0" applyAlignment="1">
      <alignment horizontal="left"/>
    </xf>
    <xf numFmtId="0" fontId="23" fillId="9" borderId="0" xfId="0" applyFont="1" applyFill="1" applyAlignment="1">
      <alignment horizontal="center"/>
    </xf>
    <xf numFmtId="44" fontId="0" fillId="0" borderId="0" xfId="0" applyNumberFormat="1"/>
    <xf numFmtId="0" fontId="39" fillId="0" borderId="0" xfId="0" applyFont="1"/>
    <xf numFmtId="0" fontId="23" fillId="0" borderId="10" xfId="0" applyFont="1" applyBorder="1"/>
    <xf numFmtId="14" fontId="0" fillId="0" borderId="12" xfId="0" applyNumberFormat="1" applyBorder="1"/>
    <xf numFmtId="0" fontId="23" fillId="0" borderId="12" xfId="0" applyFont="1" applyBorder="1"/>
    <xf numFmtId="0" fontId="0" fillId="0" borderId="12" xfId="0" applyBorder="1" applyAlignment="1">
      <alignment horizontal="left"/>
    </xf>
    <xf numFmtId="167" fontId="0" fillId="0" borderId="12" xfId="6" applyFont="1" applyBorder="1" applyAlignment="1"/>
    <xf numFmtId="0" fontId="23" fillId="0" borderId="49" xfId="0" applyFont="1" applyBorder="1"/>
    <xf numFmtId="0" fontId="23" fillId="0" borderId="12" xfId="0" applyFont="1" applyBorder="1" applyAlignment="1">
      <alignment horizontal="center"/>
    </xf>
    <xf numFmtId="0" fontId="0" fillId="0" borderId="51" xfId="0" applyBorder="1"/>
    <xf numFmtId="0" fontId="23" fillId="0" borderId="9" xfId="0" applyFont="1" applyBorder="1"/>
    <xf numFmtId="0" fontId="0" fillId="0" borderId="48" xfId="0" applyBorder="1"/>
    <xf numFmtId="0" fontId="0" fillId="0" borderId="49" xfId="0" applyBorder="1"/>
    <xf numFmtId="0" fontId="23" fillId="0" borderId="53" xfId="0" applyFont="1" applyBorder="1"/>
    <xf numFmtId="0" fontId="0" fillId="0" borderId="11" xfId="0" applyBorder="1"/>
    <xf numFmtId="0" fontId="0" fillId="0" borderId="53" xfId="0" applyBorder="1"/>
    <xf numFmtId="0" fontId="23" fillId="0" borderId="12" xfId="0" applyFont="1" applyBorder="1" applyAlignment="1">
      <alignment horizontal="left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167" fontId="23" fillId="0" borderId="12" xfId="6" applyFont="1" applyBorder="1" applyAlignment="1">
      <alignment vertical="top"/>
    </xf>
    <xf numFmtId="0" fontId="0" fillId="0" borderId="50" xfId="0" applyBorder="1"/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47" xfId="0" applyBorder="1"/>
    <xf numFmtId="0" fontId="0" fillId="0" borderId="18" xfId="0" applyBorder="1"/>
    <xf numFmtId="0" fontId="0" fillId="0" borderId="0" xfId="0" applyAlignment="1">
      <alignment horizontal="right"/>
    </xf>
    <xf numFmtId="0" fontId="44" fillId="0" borderId="0" xfId="0" applyFont="1" applyAlignment="1">
      <alignment horizontal="left" vertical="center" wrapText="1"/>
    </xf>
    <xf numFmtId="49" fontId="0" fillId="0" borderId="0" xfId="0" applyNumberFormat="1"/>
    <xf numFmtId="0" fontId="23" fillId="0" borderId="0" xfId="0" applyFont="1" applyAlignment="1">
      <alignment horizontal="center"/>
    </xf>
    <xf numFmtId="0" fontId="0" fillId="0" borderId="52" xfId="0" applyBorder="1"/>
    <xf numFmtId="0" fontId="2" fillId="0" borderId="0" xfId="4" applyAlignment="1">
      <alignment horizontal="center"/>
    </xf>
    <xf numFmtId="0" fontId="35" fillId="0" borderId="0" xfId="0" applyFont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15" fontId="0" fillId="0" borderId="5" xfId="0" applyNumberFormat="1" applyBorder="1" applyAlignment="1">
      <alignment vertical="center"/>
    </xf>
    <xf numFmtId="15" fontId="0" fillId="0" borderId="5" xfId="0" applyNumberFormat="1" applyBorder="1"/>
    <xf numFmtId="1" fontId="0" fillId="0" borderId="5" xfId="0" applyNumberFormat="1" applyBorder="1"/>
    <xf numFmtId="2" fontId="0" fillId="0" borderId="0" xfId="0" applyNumberFormat="1"/>
    <xf numFmtId="0" fontId="23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44" fontId="0" fillId="0" borderId="5" xfId="2" applyFont="1" applyBorder="1" applyAlignment="1">
      <alignment horizontal="center" vertical="center"/>
    </xf>
    <xf numFmtId="1" fontId="23" fillId="0" borderId="5" xfId="0" applyNumberFormat="1" applyFont="1" applyBorder="1" applyAlignment="1">
      <alignment horizontal="center" vertical="center"/>
    </xf>
    <xf numFmtId="44" fontId="23" fillId="0" borderId="5" xfId="2" applyFont="1" applyBorder="1" applyAlignment="1">
      <alignment horizontal="center" vertical="center"/>
    </xf>
    <xf numFmtId="1" fontId="23" fillId="0" borderId="0" xfId="0" applyNumberFormat="1" applyFont="1" applyAlignment="1">
      <alignment horizontal="center"/>
    </xf>
    <xf numFmtId="44" fontId="23" fillId="0" borderId="0" xfId="2" applyFont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47" fillId="6" borderId="5" xfId="0" applyFont="1" applyFill="1" applyBorder="1"/>
    <xf numFmtId="44" fontId="47" fillId="6" borderId="5" xfId="2" applyFont="1" applyFill="1" applyBorder="1" applyAlignment="1"/>
    <xf numFmtId="0" fontId="47" fillId="6" borderId="17" xfId="0" applyFont="1" applyFill="1" applyBorder="1"/>
    <xf numFmtId="44" fontId="17" fillId="0" borderId="0" xfId="0" applyNumberFormat="1" applyFont="1"/>
    <xf numFmtId="1" fontId="0" fillId="0" borderId="5" xfId="0" applyNumberFormat="1" applyBorder="1" applyAlignment="1">
      <alignment horizontal="center"/>
    </xf>
    <xf numFmtId="15" fontId="0" fillId="0" borderId="5" xfId="0" applyNumberFormat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26" fillId="0" borderId="0" xfId="0" applyFont="1"/>
    <xf numFmtId="0" fontId="45" fillId="0" borderId="0" xfId="0" applyFont="1"/>
    <xf numFmtId="44" fontId="13" fillId="5" borderId="26" xfId="2" applyFont="1" applyFill="1" applyBorder="1" applyAlignment="1">
      <alignment horizontal="center" vertical="center"/>
    </xf>
    <xf numFmtId="44" fontId="13" fillId="5" borderId="28" xfId="2" applyFont="1" applyFill="1" applyBorder="1" applyAlignment="1">
      <alignment horizontal="center" vertical="center"/>
    </xf>
    <xf numFmtId="44" fontId="13" fillId="5" borderId="31" xfId="2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 wrapText="1"/>
    </xf>
    <xf numFmtId="0" fontId="48" fillId="0" borderId="0" xfId="0" applyFont="1"/>
    <xf numFmtId="164" fontId="49" fillId="0" borderId="0" xfId="0" applyNumberFormat="1" applyFont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51" fillId="0" borderId="0" xfId="0" applyFont="1"/>
    <xf numFmtId="0" fontId="52" fillId="0" borderId="0" xfId="0" applyFont="1" applyAlignment="1">
      <alignment horizontal="center"/>
    </xf>
    <xf numFmtId="43" fontId="10" fillId="0" borderId="5" xfId="1" applyFont="1" applyBorder="1"/>
    <xf numFmtId="44" fontId="26" fillId="9" borderId="0" xfId="2" applyFont="1" applyFill="1" applyBorder="1" applyAlignment="1">
      <alignment horizontal="center" vertical="center"/>
    </xf>
    <xf numFmtId="44" fontId="23" fillId="3" borderId="0" xfId="2" applyFont="1" applyFill="1"/>
    <xf numFmtId="0" fontId="24" fillId="0" borderId="5" xfId="0" applyFont="1" applyBorder="1" applyAlignment="1">
      <alignment horizontal="center"/>
    </xf>
    <xf numFmtId="4" fontId="19" fillId="0" borderId="5" xfId="1" applyNumberFormat="1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164" fontId="27" fillId="9" borderId="0" xfId="0" applyNumberFormat="1" applyFont="1" applyFill="1" applyAlignment="1">
      <alignment horizontal="center" vertical="center"/>
    </xf>
    <xf numFmtId="0" fontId="0" fillId="3" borderId="0" xfId="0" applyFill="1"/>
    <xf numFmtId="0" fontId="22" fillId="3" borderId="0" xfId="0" applyFont="1" applyFill="1" applyAlignment="1">
      <alignment horizontal="center" vertical="center" wrapText="1"/>
    </xf>
    <xf numFmtId="1" fontId="27" fillId="3" borderId="0" xfId="0" applyNumberFormat="1" applyFont="1" applyFill="1" applyAlignment="1">
      <alignment horizontal="center" vertical="center"/>
    </xf>
    <xf numFmtId="0" fontId="48" fillId="3" borderId="0" xfId="0" applyFont="1" applyFill="1"/>
    <xf numFmtId="0" fontId="24" fillId="3" borderId="0" xfId="0" applyFont="1" applyFill="1"/>
    <xf numFmtId="0" fontId="54" fillId="0" borderId="5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 wrapText="1"/>
    </xf>
    <xf numFmtId="10" fontId="54" fillId="0" borderId="5" xfId="0" applyNumberFormat="1" applyFont="1" applyBorder="1" applyAlignment="1">
      <alignment horizontal="center" vertical="center"/>
    </xf>
    <xf numFmtId="44" fontId="54" fillId="0" borderId="5" xfId="2" applyFont="1" applyBorder="1" applyAlignment="1">
      <alignment horizontal="center" vertical="center"/>
    </xf>
    <xf numFmtId="0" fontId="27" fillId="0" borderId="0" xfId="0" applyFont="1"/>
    <xf numFmtId="0" fontId="27" fillId="3" borderId="0" xfId="0" applyFont="1" applyFill="1"/>
    <xf numFmtId="0" fontId="35" fillId="0" borderId="5" xfId="0" applyFont="1" applyBorder="1"/>
    <xf numFmtId="0" fontId="55" fillId="0" borderId="0" xfId="0" applyFont="1"/>
    <xf numFmtId="0" fontId="55" fillId="3" borderId="0" xfId="0" applyFont="1" applyFill="1"/>
    <xf numFmtId="0" fontId="56" fillId="0" borderId="20" xfId="0" applyFont="1" applyBorder="1" applyAlignment="1">
      <alignment horizontal="center" vertical="center"/>
    </xf>
    <xf numFmtId="49" fontId="19" fillId="0" borderId="20" xfId="1" applyNumberFormat="1" applyFont="1" applyBorder="1" applyAlignment="1">
      <alignment horizontal="center" vertical="center" wrapText="1"/>
    </xf>
    <xf numFmtId="49" fontId="19" fillId="0" borderId="20" xfId="1" applyNumberFormat="1" applyFont="1" applyBorder="1" applyAlignment="1">
      <alignment horizontal="left" vertical="center" wrapText="1"/>
    </xf>
    <xf numFmtId="49" fontId="19" fillId="3" borderId="20" xfId="1" applyNumberFormat="1" applyFont="1" applyFill="1" applyBorder="1" applyAlignment="1">
      <alignment horizontal="left" vertical="center" wrapText="1"/>
    </xf>
    <xf numFmtId="169" fontId="57" fillId="16" borderId="0" xfId="0" applyNumberFormat="1" applyFont="1" applyFill="1" applyAlignment="1">
      <alignment vertical="center" wrapText="1"/>
    </xf>
    <xf numFmtId="0" fontId="9" fillId="0" borderId="9" xfId="4" applyFont="1" applyBorder="1" applyAlignment="1">
      <alignment horizontal="center"/>
    </xf>
    <xf numFmtId="0" fontId="27" fillId="0" borderId="0" xfId="0" applyFont="1" applyAlignment="1">
      <alignment horizontal="left" vertical="center"/>
    </xf>
    <xf numFmtId="43" fontId="0" fillId="0" borderId="0" xfId="1" applyFont="1" applyBorder="1" applyAlignment="1">
      <alignment horizontal="center" vertical="center"/>
    </xf>
    <xf numFmtId="49" fontId="20" fillId="0" borderId="24" xfId="0" applyNumberFormat="1" applyFont="1" applyBorder="1" applyAlignment="1">
      <alignment horizontal="center" vertical="center" wrapText="1"/>
    </xf>
    <xf numFmtId="49" fontId="20" fillId="0" borderId="24" xfId="0" applyNumberFormat="1" applyFont="1" applyBorder="1" applyAlignment="1">
      <alignment horizontal="left" vertical="center" wrapText="1"/>
    </xf>
    <xf numFmtId="3" fontId="20" fillId="0" borderId="24" xfId="0" applyNumberFormat="1" applyFont="1" applyBorder="1" applyAlignment="1">
      <alignment horizontal="center" vertical="center"/>
    </xf>
    <xf numFmtId="44" fontId="15" fillId="0" borderId="24" xfId="0" applyNumberFormat="1" applyFont="1" applyBorder="1" applyAlignment="1">
      <alignment horizontal="center" vertical="center"/>
    </xf>
    <xf numFmtId="44" fontId="15" fillId="9" borderId="24" xfId="0" applyNumberFormat="1" applyFont="1" applyFill="1" applyBorder="1" applyAlignment="1">
      <alignment horizontal="center" vertical="center"/>
    </xf>
    <xf numFmtId="0" fontId="58" fillId="0" borderId="20" xfId="4" applyFont="1" applyBorder="1" applyAlignment="1">
      <alignment horizontal="left" vertical="center"/>
    </xf>
    <xf numFmtId="44" fontId="58" fillId="0" borderId="20" xfId="2" applyFont="1" applyBorder="1" applyAlignment="1">
      <alignment horizontal="center" vertical="center"/>
    </xf>
    <xf numFmtId="0" fontId="59" fillId="0" borderId="0" xfId="0" applyFont="1" applyAlignment="1">
      <alignment horizontal="center"/>
    </xf>
    <xf numFmtId="0" fontId="24" fillId="0" borderId="32" xfId="0" applyFont="1" applyBorder="1" applyAlignment="1">
      <alignment horizontal="center"/>
    </xf>
    <xf numFmtId="0" fontId="20" fillId="0" borderId="43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/>
    <xf numFmtId="0" fontId="0" fillId="0" borderId="61" xfId="0" applyBorder="1"/>
    <xf numFmtId="43" fontId="0" fillId="0" borderId="21" xfId="1" applyFont="1" applyFill="1" applyBorder="1" applyAlignment="1">
      <alignment horizontal="center" vertical="center"/>
    </xf>
    <xf numFmtId="44" fontId="23" fillId="0" borderId="0" xfId="2" applyFont="1" applyFill="1"/>
    <xf numFmtId="1" fontId="27" fillId="0" borderId="62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4" fontId="27" fillId="0" borderId="21" xfId="1" applyNumberFormat="1" applyFont="1" applyBorder="1" applyAlignment="1">
      <alignment horizontal="center" vertical="center"/>
    </xf>
    <xf numFmtId="4" fontId="27" fillId="2" borderId="21" xfId="1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/>
    </xf>
    <xf numFmtId="0" fontId="27" fillId="0" borderId="5" xfId="0" applyFont="1" applyBorder="1" applyAlignment="1">
      <alignment horizontal="center" vertical="center"/>
    </xf>
    <xf numFmtId="3" fontId="27" fillId="0" borderId="5" xfId="1" applyNumberFormat="1" applyFont="1" applyBorder="1" applyAlignment="1">
      <alignment horizontal="center" vertical="center"/>
    </xf>
    <xf numFmtId="4" fontId="27" fillId="4" borderId="5" xfId="1" applyNumberFormat="1" applyFont="1" applyFill="1" applyBorder="1" applyAlignment="1">
      <alignment horizontal="center" vertical="center"/>
    </xf>
    <xf numFmtId="0" fontId="5" fillId="3" borderId="0" xfId="4" applyFont="1" applyFill="1" applyAlignment="1">
      <alignment horizontal="center"/>
    </xf>
    <xf numFmtId="0" fontId="53" fillId="0" borderId="0" xfId="4" applyFont="1" applyAlignment="1">
      <alignment horizontal="center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49" fontId="20" fillId="0" borderId="0" xfId="1" applyNumberFormat="1" applyFont="1" applyBorder="1" applyAlignment="1">
      <alignment horizontal="center" vertical="center" wrapText="1"/>
    </xf>
    <xf numFmtId="49" fontId="20" fillId="0" borderId="0" xfId="1" applyNumberFormat="1" applyFont="1" applyBorder="1" applyAlignment="1">
      <alignment horizontal="left" vertical="center" wrapText="1"/>
    </xf>
    <xf numFmtId="3" fontId="20" fillId="0" borderId="0" xfId="1" applyNumberFormat="1" applyFont="1" applyBorder="1" applyAlignment="1">
      <alignment horizontal="center" vertical="center"/>
    </xf>
    <xf numFmtId="44" fontId="15" fillId="0" borderId="0" xfId="2" applyFont="1" applyBorder="1" applyAlignment="1">
      <alignment horizontal="center" vertical="center"/>
    </xf>
    <xf numFmtId="44" fontId="13" fillId="5" borderId="0" xfId="2" applyFont="1" applyFill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 vertical="center"/>
    </xf>
    <xf numFmtId="49" fontId="19" fillId="0" borderId="21" xfId="1" applyNumberFormat="1" applyFont="1" applyBorder="1" applyAlignment="1">
      <alignment horizontal="center" vertical="center" wrapText="1"/>
    </xf>
    <xf numFmtId="49" fontId="19" fillId="0" borderId="21" xfId="1" applyNumberFormat="1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/>
    </xf>
    <xf numFmtId="44" fontId="13" fillId="0" borderId="21" xfId="2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49" fontId="19" fillId="3" borderId="20" xfId="1" applyNumberFormat="1" applyFont="1" applyFill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164" fontId="13" fillId="0" borderId="22" xfId="0" applyNumberFormat="1" applyFont="1" applyBorder="1" applyAlignment="1">
      <alignment horizontal="center" vertical="center"/>
    </xf>
    <xf numFmtId="49" fontId="19" fillId="0" borderId="22" xfId="1" applyNumberFormat="1" applyFont="1" applyBorder="1" applyAlignment="1">
      <alignment horizontal="center" vertical="center" wrapText="1"/>
    </xf>
    <xf numFmtId="49" fontId="19" fillId="0" borderId="22" xfId="1" applyNumberFormat="1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/>
    </xf>
    <xf numFmtId="0" fontId="15" fillId="9" borderId="24" xfId="0" applyFont="1" applyFill="1" applyBorder="1" applyAlignment="1">
      <alignment vertical="center" textRotation="255" wrapText="1"/>
    </xf>
    <xf numFmtId="169" fontId="66" fillId="16" borderId="0" xfId="0" applyNumberFormat="1" applyFont="1" applyFill="1" applyAlignment="1">
      <alignment vertical="center" wrapText="1"/>
    </xf>
    <xf numFmtId="0" fontId="27" fillId="0" borderId="0" xfId="4" applyFont="1"/>
    <xf numFmtId="0" fontId="0" fillId="0" borderId="0" xfId="0" applyAlignment="1">
      <alignment vertical="center" wrapText="1"/>
    </xf>
    <xf numFmtId="0" fontId="24" fillId="0" borderId="20" xfId="0" applyFont="1" applyBorder="1" applyAlignment="1">
      <alignment horizontal="center"/>
    </xf>
    <xf numFmtId="44" fontId="0" fillId="0" borderId="5" xfId="0" applyNumberFormat="1" applyBorder="1"/>
    <xf numFmtId="0" fontId="19" fillId="0" borderId="5" xfId="1" applyNumberFormat="1" applyFont="1" applyFill="1" applyBorder="1" applyAlignment="1">
      <alignment horizontal="center" vertical="center"/>
    </xf>
    <xf numFmtId="0" fontId="24" fillId="0" borderId="5" xfId="0" applyFont="1" applyBorder="1"/>
    <xf numFmtId="43" fontId="0" fillId="0" borderId="5" xfId="1" applyFont="1" applyBorder="1"/>
    <xf numFmtId="43" fontId="51" fillId="0" borderId="5" xfId="1" applyFont="1" applyBorder="1"/>
    <xf numFmtId="43" fontId="24" fillId="0" borderId="5" xfId="1" applyFont="1" applyBorder="1"/>
    <xf numFmtId="43" fontId="55" fillId="0" borderId="5" xfId="1" applyFont="1" applyBorder="1"/>
    <xf numFmtId="43" fontId="24" fillId="0" borderId="0" xfId="0" applyNumberFormat="1" applyFont="1"/>
    <xf numFmtId="0" fontId="18" fillId="0" borderId="0" xfId="0" applyFont="1"/>
    <xf numFmtId="0" fontId="29" fillId="11" borderId="41" xfId="0" applyFont="1" applyFill="1" applyBorder="1" applyAlignment="1">
      <alignment vertical="center"/>
    </xf>
    <xf numFmtId="0" fontId="0" fillId="0" borderId="30" xfId="0" applyBorder="1"/>
    <xf numFmtId="0" fontId="31" fillId="0" borderId="43" xfId="0" applyFont="1" applyBorder="1" applyAlignment="1">
      <alignment vertical="center"/>
    </xf>
    <xf numFmtId="3" fontId="27" fillId="0" borderId="20" xfId="1" applyNumberFormat="1" applyFont="1" applyFill="1" applyBorder="1" applyAlignment="1">
      <alignment horizontal="center" vertical="center"/>
    </xf>
    <xf numFmtId="0" fontId="5" fillId="3" borderId="0" xfId="4" applyFont="1" applyFill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164" fontId="34" fillId="0" borderId="0" xfId="0" applyNumberFormat="1" applyFont="1" applyAlignment="1">
      <alignment horizontal="center"/>
    </xf>
    <xf numFmtId="0" fontId="65" fillId="0" borderId="0" xfId="0" applyFont="1" applyAlignment="1">
      <alignment horizontal="left" vertical="center"/>
    </xf>
    <xf numFmtId="165" fontId="35" fillId="0" borderId="0" xfId="0" applyNumberFormat="1" applyFont="1" applyAlignment="1">
      <alignment horizontal="center"/>
    </xf>
    <xf numFmtId="0" fontId="65" fillId="0" borderId="0" xfId="0" applyFont="1" applyAlignment="1">
      <alignment horizontal="center"/>
    </xf>
    <xf numFmtId="44" fontId="35" fillId="0" borderId="0" xfId="2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15" fontId="67" fillId="0" borderId="5" xfId="0" applyNumberFormat="1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1" fontId="67" fillId="0" borderId="5" xfId="0" applyNumberFormat="1" applyFont="1" applyBorder="1" applyAlignment="1">
      <alignment horizontal="center" vertical="center"/>
    </xf>
    <xf numFmtId="44" fontId="67" fillId="0" borderId="5" xfId="2" applyFont="1" applyBorder="1" applyAlignment="1">
      <alignment horizontal="center" vertical="center"/>
    </xf>
    <xf numFmtId="44" fontId="71" fillId="0" borderId="0" xfId="0" applyNumberFormat="1" applyFont="1"/>
    <xf numFmtId="0" fontId="72" fillId="0" borderId="0" xfId="0" applyFont="1"/>
    <xf numFmtId="0" fontId="0" fillId="9" borderId="22" xfId="0" applyFill="1" applyBorder="1" applyProtection="1">
      <protection locked="0"/>
    </xf>
    <xf numFmtId="43" fontId="17" fillId="7" borderId="20" xfId="1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59" fillId="18" borderId="5" xfId="0" applyFont="1" applyFill="1" applyBorder="1" applyAlignment="1">
      <alignment horizontal="centerContinuous" vertical="center"/>
    </xf>
    <xf numFmtId="0" fontId="59" fillId="18" borderId="5" xfId="0" applyFont="1" applyFill="1" applyBorder="1" applyAlignment="1">
      <alignment horizontal="center" vertical="center"/>
    </xf>
    <xf numFmtId="0" fontId="17" fillId="0" borderId="66" xfId="0" applyFont="1" applyBorder="1"/>
    <xf numFmtId="0" fontId="17" fillId="0" borderId="66" xfId="0" applyFont="1" applyBorder="1" applyAlignment="1">
      <alignment vertical="center"/>
    </xf>
    <xf numFmtId="0" fontId="17" fillId="0" borderId="67" xfId="0" applyFont="1" applyBorder="1"/>
    <xf numFmtId="0" fontId="17" fillId="0" borderId="68" xfId="0" applyFont="1" applyBorder="1"/>
    <xf numFmtId="0" fontId="17" fillId="0" borderId="14" xfId="0" applyFont="1" applyBorder="1"/>
    <xf numFmtId="0" fontId="17" fillId="0" borderId="69" xfId="0" applyFont="1" applyBorder="1"/>
    <xf numFmtId="0" fontId="17" fillId="0" borderId="70" xfId="0" applyFont="1" applyBorder="1"/>
    <xf numFmtId="0" fontId="18" fillId="0" borderId="70" xfId="0" applyFont="1" applyBorder="1" applyAlignment="1">
      <alignment horizontal="center" vertical="center"/>
    </xf>
    <xf numFmtId="44" fontId="17" fillId="0" borderId="70" xfId="2" applyFont="1" applyFill="1" applyBorder="1"/>
    <xf numFmtId="44" fontId="18" fillId="0" borderId="70" xfId="2" applyFont="1" applyFill="1" applyBorder="1" applyAlignment="1"/>
    <xf numFmtId="0" fontId="17" fillId="0" borderId="71" xfId="0" applyFont="1" applyBorder="1"/>
    <xf numFmtId="44" fontId="0" fillId="0" borderId="21" xfId="2" applyFont="1" applyBorder="1" applyAlignment="1" applyProtection="1">
      <alignment vertical="center"/>
      <protection locked="0"/>
    </xf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44" fontId="27" fillId="0" borderId="0" xfId="2" applyFont="1" applyFill="1" applyAlignment="1">
      <alignment horizontal="center"/>
    </xf>
    <xf numFmtId="0" fontId="9" fillId="0" borderId="0" xfId="4" applyFont="1" applyAlignment="1">
      <alignment horizontal="center"/>
    </xf>
    <xf numFmtId="14" fontId="0" fillId="0" borderId="0" xfId="0" applyNumberFormat="1" applyAlignment="1">
      <alignment horizontal="center"/>
    </xf>
    <xf numFmtId="9" fontId="26" fillId="0" borderId="7" xfId="0" applyNumberFormat="1" applyFont="1" applyBorder="1" applyAlignment="1">
      <alignment horizontal="center" vertical="center" wrapText="1"/>
    </xf>
    <xf numFmtId="49" fontId="27" fillId="0" borderId="20" xfId="1" applyNumberFormat="1" applyFont="1" applyFill="1" applyBorder="1" applyAlignment="1">
      <alignment horizontal="left" vertical="center" wrapText="1"/>
    </xf>
    <xf numFmtId="44" fontId="27" fillId="0" borderId="20" xfId="2" applyFont="1" applyFill="1" applyBorder="1" applyAlignment="1">
      <alignment horizontal="center" vertical="center"/>
    </xf>
    <xf numFmtId="43" fontId="27" fillId="0" borderId="20" xfId="1" applyFont="1" applyFill="1" applyBorder="1" applyAlignment="1">
      <alignment horizontal="center" vertical="center"/>
    </xf>
    <xf numFmtId="44" fontId="24" fillId="0" borderId="21" xfId="2" applyFont="1" applyFill="1" applyBorder="1" applyAlignment="1" applyProtection="1">
      <alignment vertical="center"/>
      <protection locked="0"/>
    </xf>
    <xf numFmtId="43" fontId="0" fillId="0" borderId="21" xfId="1" applyFont="1" applyFill="1" applyBorder="1" applyAlignment="1" applyProtection="1">
      <alignment vertical="center"/>
      <protection locked="0"/>
    </xf>
    <xf numFmtId="43" fontId="0" fillId="0" borderId="21" xfId="1" applyFont="1" applyFill="1" applyBorder="1" applyAlignment="1">
      <alignment vertical="center"/>
    </xf>
    <xf numFmtId="49" fontId="26" fillId="0" borderId="0" xfId="1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3" fontId="26" fillId="0" borderId="0" xfId="1" applyNumberFormat="1" applyFont="1" applyFill="1" applyBorder="1" applyAlignment="1">
      <alignment horizontal="center" vertical="center"/>
    </xf>
    <xf numFmtId="44" fontId="26" fillId="0" borderId="0" xfId="2" applyFont="1" applyFill="1" applyBorder="1" applyAlignment="1">
      <alignment horizontal="center" vertical="center"/>
    </xf>
    <xf numFmtId="44" fontId="43" fillId="0" borderId="0" xfId="2" applyFont="1" applyFill="1"/>
    <xf numFmtId="44" fontId="24" fillId="0" borderId="0" xfId="0" applyNumberFormat="1" applyFont="1"/>
    <xf numFmtId="44" fontId="48" fillId="0" borderId="0" xfId="2" applyFont="1" applyFill="1"/>
    <xf numFmtId="0" fontId="74" fillId="0" borderId="0" xfId="0" applyFont="1"/>
    <xf numFmtId="0" fontId="6" fillId="0" borderId="0" xfId="0" applyFont="1"/>
    <xf numFmtId="0" fontId="12" fillId="0" borderId="5" xfId="0" applyFont="1" applyBorder="1" applyAlignment="1">
      <alignment horizontal="right"/>
    </xf>
    <xf numFmtId="4" fontId="52" fillId="0" borderId="5" xfId="0" applyNumberFormat="1" applyFont="1" applyBorder="1" applyAlignment="1">
      <alignment horizontal="center"/>
    </xf>
    <xf numFmtId="43" fontId="12" fillId="0" borderId="5" xfId="1" applyFont="1" applyFill="1" applyBorder="1"/>
    <xf numFmtId="43" fontId="10" fillId="0" borderId="0" xfId="1" applyFont="1" applyFill="1"/>
    <xf numFmtId="10" fontId="10" fillId="0" borderId="5" xfId="0" applyNumberFormat="1" applyFont="1" applyBorder="1"/>
    <xf numFmtId="2" fontId="11" fillId="0" borderId="5" xfId="0" applyNumberFormat="1" applyFont="1" applyBorder="1" applyAlignment="1">
      <alignment horizontal="center"/>
    </xf>
    <xf numFmtId="10" fontId="10" fillId="0" borderId="5" xfId="1" applyNumberFormat="1" applyFont="1" applyFill="1" applyBorder="1"/>
    <xf numFmtId="2" fontId="10" fillId="0" borderId="0" xfId="0" applyNumberFormat="1" applyFont="1"/>
    <xf numFmtId="0" fontId="12" fillId="0" borderId="5" xfId="0" applyFont="1" applyBorder="1"/>
    <xf numFmtId="2" fontId="52" fillId="0" borderId="5" xfId="0" applyNumberFormat="1" applyFont="1" applyBorder="1" applyAlignment="1">
      <alignment horizontal="center"/>
    </xf>
    <xf numFmtId="0" fontId="52" fillId="0" borderId="0" xfId="0" applyFont="1"/>
    <xf numFmtId="1" fontId="52" fillId="0" borderId="5" xfId="0" applyNumberFormat="1" applyFont="1" applyBorder="1" applyAlignment="1">
      <alignment horizontal="center"/>
    </xf>
    <xf numFmtId="43" fontId="10" fillId="0" borderId="5" xfId="1" applyFont="1" applyFill="1" applyBorder="1"/>
    <xf numFmtId="0" fontId="2" fillId="0" borderId="5" xfId="0" applyFont="1" applyBorder="1"/>
    <xf numFmtId="43" fontId="2" fillId="0" borderId="0" xfId="0" applyNumberFormat="1" applyFont="1"/>
    <xf numFmtId="0" fontId="35" fillId="0" borderId="70" xfId="0" applyFont="1" applyBorder="1"/>
    <xf numFmtId="44" fontId="29" fillId="11" borderId="36" xfId="2" applyFont="1" applyFill="1" applyBorder="1" applyAlignment="1">
      <alignment horizontal="center"/>
    </xf>
    <xf numFmtId="44" fontId="29" fillId="11" borderId="37" xfId="2" applyFont="1" applyFill="1" applyBorder="1" applyAlignment="1">
      <alignment horizontal="center"/>
    </xf>
    <xf numFmtId="1" fontId="32" fillId="9" borderId="20" xfId="1" applyNumberFormat="1" applyFont="1" applyFill="1" applyBorder="1" applyAlignment="1" applyProtection="1">
      <alignment horizontal="center" vertical="center"/>
      <protection locked="0"/>
    </xf>
    <xf numFmtId="1" fontId="17" fillId="9" borderId="20" xfId="1" applyNumberFormat="1" applyFont="1" applyFill="1" applyBorder="1" applyAlignment="1" applyProtection="1">
      <alignment horizontal="center" vertical="center"/>
      <protection locked="0"/>
    </xf>
    <xf numFmtId="43" fontId="0" fillId="0" borderId="21" xfId="1" applyFont="1" applyFill="1" applyBorder="1" applyAlignment="1" applyProtection="1">
      <alignment vertical="center"/>
    </xf>
    <xf numFmtId="9" fontId="29" fillId="11" borderId="36" xfId="3" applyFont="1" applyFill="1" applyBorder="1" applyAlignment="1" applyProtection="1">
      <alignment horizontal="center"/>
    </xf>
    <xf numFmtId="9" fontId="29" fillId="11" borderId="37" xfId="3" applyFont="1" applyFill="1" applyBorder="1" applyAlignment="1" applyProtection="1">
      <alignment horizontal="center"/>
    </xf>
    <xf numFmtId="43" fontId="32" fillId="0" borderId="20" xfId="1" applyFont="1" applyFill="1" applyBorder="1" applyAlignment="1" applyProtection="1">
      <alignment horizontal="center" vertical="center"/>
    </xf>
    <xf numFmtId="43" fontId="17" fillId="7" borderId="20" xfId="1" applyFont="1" applyFill="1" applyBorder="1" applyAlignment="1" applyProtection="1">
      <alignment horizontal="center" vertical="center"/>
    </xf>
    <xf numFmtId="0" fontId="0" fillId="9" borderId="22" xfId="0" applyFill="1" applyBorder="1"/>
    <xf numFmtId="0" fontId="19" fillId="0" borderId="0" xfId="4" applyFont="1" applyAlignment="1">
      <alignment horizontal="center"/>
    </xf>
    <xf numFmtId="0" fontId="19" fillId="0" borderId="0" xfId="4" applyFont="1"/>
    <xf numFmtId="0" fontId="23" fillId="0" borderId="44" xfId="4" applyFont="1" applyBorder="1" applyAlignment="1">
      <alignment horizontal="center" vertical="center"/>
    </xf>
    <xf numFmtId="0" fontId="20" fillId="0" borderId="45" xfId="4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7" fillId="5" borderId="45" xfId="4" applyFont="1" applyFill="1" applyBorder="1" applyAlignment="1">
      <alignment horizontal="center" vertical="center" wrapText="1"/>
    </xf>
    <xf numFmtId="0" fontId="20" fillId="0" borderId="46" xfId="4" applyFont="1" applyBorder="1" applyAlignment="1">
      <alignment horizontal="center" vertical="center"/>
    </xf>
    <xf numFmtId="0" fontId="0" fillId="0" borderId="65" xfId="0" applyBorder="1" applyAlignment="1">
      <alignment horizontal="center"/>
    </xf>
    <xf numFmtId="44" fontId="0" fillId="0" borderId="22" xfId="2" applyFont="1" applyBorder="1" applyAlignment="1" applyProtection="1">
      <alignment horizontal="center"/>
    </xf>
    <xf numFmtId="166" fontId="31" fillId="0" borderId="20" xfId="5" applyFont="1" applyFill="1" applyBorder="1" applyProtection="1"/>
    <xf numFmtId="166" fontId="31" fillId="0" borderId="20" xfId="5" applyFont="1" applyBorder="1" applyAlignment="1" applyProtection="1">
      <alignment horizontal="center"/>
    </xf>
    <xf numFmtId="166" fontId="31" fillId="0" borderId="22" xfId="5" applyFont="1" applyFill="1" applyBorder="1" applyProtection="1"/>
    <xf numFmtId="166" fontId="31" fillId="0" borderId="21" xfId="5" applyFont="1" applyFill="1" applyBorder="1" applyProtection="1"/>
    <xf numFmtId="14" fontId="0" fillId="0" borderId="43" xfId="0" applyNumberFormat="1" applyBorder="1" applyAlignment="1">
      <alignment horizontal="center"/>
    </xf>
    <xf numFmtId="0" fontId="0" fillId="0" borderId="43" xfId="0" applyBorder="1"/>
    <xf numFmtId="0" fontId="0" fillId="3" borderId="4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21" xfId="0" applyBorder="1" applyAlignment="1">
      <alignment horizontal="center"/>
    </xf>
    <xf numFmtId="0" fontId="0" fillId="0" borderId="63" xfId="0" applyBorder="1" applyAlignment="1">
      <alignment horizontal="center"/>
    </xf>
    <xf numFmtId="44" fontId="23" fillId="14" borderId="0" xfId="0" applyNumberFormat="1" applyFont="1" applyFill="1"/>
    <xf numFmtId="0" fontId="29" fillId="11" borderId="39" xfId="0" applyFont="1" applyFill="1" applyBorder="1" applyAlignment="1" applyProtection="1">
      <alignment horizontal="center" vertical="center"/>
      <protection locked="0"/>
    </xf>
    <xf numFmtId="0" fontId="58" fillId="0" borderId="20" xfId="4" applyFont="1" applyBorder="1" applyAlignment="1" applyProtection="1">
      <alignment horizontal="left" vertical="center"/>
      <protection locked="0"/>
    </xf>
    <xf numFmtId="0" fontId="29" fillId="11" borderId="40" xfId="0" applyFont="1" applyFill="1" applyBorder="1" applyAlignment="1" applyProtection="1">
      <alignment horizontal="center" vertical="center"/>
      <protection locked="0"/>
    </xf>
    <xf numFmtId="0" fontId="29" fillId="11" borderId="41" xfId="0" applyFont="1" applyFill="1" applyBorder="1" applyAlignment="1" applyProtection="1">
      <alignment vertical="center"/>
      <protection locked="0"/>
    </xf>
    <xf numFmtId="44" fontId="29" fillId="11" borderId="35" xfId="2" applyFont="1" applyFill="1" applyBorder="1" applyAlignment="1" applyProtection="1">
      <alignment horizontal="center" vertical="center"/>
      <protection locked="0"/>
    </xf>
    <xf numFmtId="0" fontId="29" fillId="11" borderId="40" xfId="2" applyNumberFormat="1" applyFont="1" applyFill="1" applyBorder="1" applyAlignment="1" applyProtection="1">
      <alignment horizontal="left" vertical="center"/>
      <protection locked="0"/>
    </xf>
    <xf numFmtId="0" fontId="29" fillId="11" borderId="42" xfId="2" applyNumberFormat="1" applyFont="1" applyFill="1" applyBorder="1" applyAlignment="1" applyProtection="1">
      <alignment horizontal="left" vertical="center"/>
      <protection locked="0"/>
    </xf>
    <xf numFmtId="0" fontId="30" fillId="11" borderId="35" xfId="0" applyFont="1" applyFill="1" applyBorder="1" applyAlignment="1" applyProtection="1">
      <alignment horizontal="center" vertical="center"/>
      <protection locked="0"/>
    </xf>
    <xf numFmtId="0" fontId="30" fillId="11" borderId="40" xfId="0" applyFont="1" applyFill="1" applyBorder="1" applyAlignment="1" applyProtection="1">
      <alignment horizontal="center" vertical="center"/>
      <protection locked="0"/>
    </xf>
    <xf numFmtId="0" fontId="58" fillId="0" borderId="20" xfId="4" applyFont="1" applyBorder="1" applyAlignment="1">
      <alignment horizontal="center" vertical="center"/>
    </xf>
    <xf numFmtId="44" fontId="17" fillId="0" borderId="0" xfId="2" applyFont="1"/>
    <xf numFmtId="44" fontId="0" fillId="0" borderId="21" xfId="2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0" fontId="19" fillId="0" borderId="0" xfId="0" applyNumberFormat="1" applyFont="1"/>
    <xf numFmtId="170" fontId="53" fillId="0" borderId="0" xfId="4" applyNumberFormat="1" applyFont="1" applyAlignment="1">
      <alignment horizontal="center"/>
    </xf>
    <xf numFmtId="170" fontId="19" fillId="0" borderId="0" xfId="0" applyNumberFormat="1" applyFont="1" applyAlignment="1">
      <alignment horizontal="center"/>
    </xf>
    <xf numFmtId="170" fontId="27" fillId="0" borderId="20" xfId="1" applyNumberFormat="1" applyFont="1" applyBorder="1" applyAlignment="1">
      <alignment horizontal="center" vertical="center" wrapText="1"/>
    </xf>
    <xf numFmtId="170" fontId="27" fillId="0" borderId="5" xfId="1" applyNumberFormat="1" applyFont="1" applyBorder="1" applyAlignment="1">
      <alignment horizontal="center" vertical="center" wrapText="1"/>
    </xf>
    <xf numFmtId="170" fontId="0" fillId="0" borderId="0" xfId="0" applyNumberFormat="1"/>
    <xf numFmtId="170" fontId="24" fillId="0" borderId="0" xfId="0" applyNumberFormat="1" applyFont="1"/>
    <xf numFmtId="170" fontId="51" fillId="0" borderId="0" xfId="0" applyNumberFormat="1" applyFont="1"/>
    <xf numFmtId="170" fontId="55" fillId="0" borderId="0" xfId="0" applyNumberFormat="1" applyFont="1"/>
    <xf numFmtId="0" fontId="20" fillId="0" borderId="1" xfId="0" applyFont="1" applyBorder="1" applyAlignment="1">
      <alignment horizontal="center" vertical="center" wrapText="1"/>
    </xf>
    <xf numFmtId="44" fontId="17" fillId="9" borderId="20" xfId="2" applyFont="1" applyFill="1" applyBorder="1" applyAlignment="1" applyProtection="1">
      <alignment horizontal="center" vertical="center"/>
      <protection locked="0"/>
    </xf>
    <xf numFmtId="44" fontId="32" fillId="9" borderId="20" xfId="2" applyFont="1" applyFill="1" applyBorder="1" applyAlignment="1" applyProtection="1">
      <alignment horizontal="center" vertical="center"/>
      <protection locked="0"/>
    </xf>
    <xf numFmtId="0" fontId="27" fillId="0" borderId="20" xfId="0" applyFont="1" applyBorder="1" applyAlignment="1">
      <alignment horizontal="left" vertical="center" wrapText="1"/>
    </xf>
    <xf numFmtId="0" fontId="66" fillId="16" borderId="73" xfId="0" applyFont="1" applyFill="1" applyBorder="1" applyAlignment="1">
      <alignment horizontal="left" vertical="center" wrapText="1"/>
    </xf>
    <xf numFmtId="168" fontId="66" fillId="16" borderId="73" xfId="0" applyNumberFormat="1" applyFont="1" applyFill="1" applyBorder="1" applyAlignment="1">
      <alignment vertical="center" wrapText="1"/>
    </xf>
    <xf numFmtId="0" fontId="66" fillId="16" borderId="74" xfId="0" applyFont="1" applyFill="1" applyBorder="1" applyAlignment="1">
      <alignment horizontal="left" vertical="center" wrapText="1"/>
    </xf>
    <xf numFmtId="168" fontId="66" fillId="16" borderId="74" xfId="0" applyNumberFormat="1" applyFont="1" applyFill="1" applyBorder="1" applyAlignment="1">
      <alignment vertical="center" wrapText="1"/>
    </xf>
    <xf numFmtId="0" fontId="46" fillId="0" borderId="0" xfId="4" applyFont="1"/>
    <xf numFmtId="0" fontId="46" fillId="0" borderId="0" xfId="4" applyFont="1" applyAlignment="1">
      <alignment horizontal="center"/>
    </xf>
    <xf numFmtId="0" fontId="66" fillId="16" borderId="75" xfId="0" applyFont="1" applyFill="1" applyBorder="1" applyAlignment="1">
      <alignment horizontal="left" vertical="center" wrapText="1"/>
    </xf>
    <xf numFmtId="168" fontId="66" fillId="16" borderId="75" xfId="0" applyNumberFormat="1" applyFont="1" applyFill="1" applyBorder="1" applyAlignment="1">
      <alignment vertical="center" wrapText="1"/>
    </xf>
    <xf numFmtId="0" fontId="2" fillId="0" borderId="78" xfId="4" applyBorder="1" applyAlignment="1">
      <alignment horizontal="center"/>
    </xf>
    <xf numFmtId="0" fontId="27" fillId="0" borderId="79" xfId="4" applyFont="1" applyBorder="1" applyAlignment="1">
      <alignment horizontal="center"/>
    </xf>
    <xf numFmtId="0" fontId="9" fillId="0" borderId="80" xfId="4" applyFont="1" applyBorder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43" fontId="0" fillId="0" borderId="0" xfId="0" applyNumberFormat="1"/>
    <xf numFmtId="0" fontId="23" fillId="19" borderId="82" xfId="0" applyFont="1" applyFill="1" applyBorder="1"/>
    <xf numFmtId="44" fontId="23" fillId="0" borderId="0" xfId="2" applyFont="1"/>
    <xf numFmtId="0" fontId="27" fillId="3" borderId="20" xfId="0" applyFont="1" applyFill="1" applyBorder="1" applyAlignment="1">
      <alignment horizontal="center" vertical="center"/>
    </xf>
    <xf numFmtId="0" fontId="0" fillId="0" borderId="0" xfId="2" applyNumberFormat="1" applyFont="1"/>
    <xf numFmtId="44" fontId="24" fillId="0" borderId="0" xfId="2" applyFont="1"/>
    <xf numFmtId="8" fontId="0" fillId="0" borderId="0" xfId="0" applyNumberFormat="1"/>
    <xf numFmtId="44" fontId="0" fillId="0" borderId="0" xfId="0" applyNumberFormat="1" applyAlignment="1">
      <alignment vertical="center" wrapText="1"/>
    </xf>
    <xf numFmtId="0" fontId="75" fillId="21" borderId="5" xfId="0" applyFont="1" applyFill="1" applyBorder="1" applyAlignment="1">
      <alignment horizontal="left" vertical="center"/>
    </xf>
    <xf numFmtId="44" fontId="27" fillId="0" borderId="83" xfId="2" applyFont="1" applyFill="1" applyBorder="1" applyAlignment="1">
      <alignment horizontal="center" vertical="center"/>
    </xf>
    <xf numFmtId="44" fontId="0" fillId="0" borderId="84" xfId="2" applyFont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15" fontId="27" fillId="0" borderId="83" xfId="0" applyNumberFormat="1" applyFont="1" applyBorder="1" applyAlignment="1">
      <alignment horizontal="center" vertical="center"/>
    </xf>
    <xf numFmtId="15" fontId="0" fillId="0" borderId="84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5" fontId="0" fillId="0" borderId="18" xfId="0" applyNumberFormat="1" applyBorder="1" applyAlignment="1">
      <alignment horizontal="center" vertical="center"/>
    </xf>
    <xf numFmtId="44" fontId="0" fillId="0" borderId="18" xfId="2" applyFont="1" applyBorder="1" applyAlignment="1">
      <alignment horizontal="center" vertical="center"/>
    </xf>
    <xf numFmtId="15" fontId="27" fillId="0" borderId="87" xfId="0" applyNumberFormat="1" applyFont="1" applyBorder="1" applyAlignment="1">
      <alignment horizontal="center" vertical="center"/>
    </xf>
    <xf numFmtId="15" fontId="0" fillId="0" borderId="88" xfId="0" applyNumberFormat="1" applyBorder="1" applyAlignment="1">
      <alignment horizontal="center" vertical="center"/>
    </xf>
    <xf numFmtId="15" fontId="0" fillId="0" borderId="58" xfId="0" applyNumberFormat="1" applyBorder="1" applyAlignment="1">
      <alignment horizontal="center" vertical="center"/>
    </xf>
    <xf numFmtId="0" fontId="27" fillId="0" borderId="87" xfId="0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" fontId="27" fillId="0" borderId="87" xfId="0" applyNumberFormat="1" applyFont="1" applyBorder="1" applyAlignment="1">
      <alignment horizontal="center" vertical="center"/>
    </xf>
    <xf numFmtId="1" fontId="0" fillId="0" borderId="88" xfId="0" applyNumberFormat="1" applyBorder="1" applyAlignment="1">
      <alignment horizontal="center" vertical="center"/>
    </xf>
    <xf numFmtId="1" fontId="0" fillId="0" borderId="58" xfId="0" applyNumberFormat="1" applyBorder="1" applyAlignment="1">
      <alignment horizontal="center" vertical="center"/>
    </xf>
    <xf numFmtId="0" fontId="76" fillId="21" borderId="9" xfId="0" applyFont="1" applyFill="1" applyBorder="1" applyAlignment="1">
      <alignment horizontal="center" vertical="center"/>
    </xf>
    <xf numFmtId="44" fontId="73" fillId="21" borderId="12" xfId="2" applyFont="1" applyFill="1" applyBorder="1" applyAlignment="1">
      <alignment horizontal="center" vertical="center"/>
    </xf>
    <xf numFmtId="1" fontId="73" fillId="21" borderId="9" xfId="0" applyNumberFormat="1" applyFont="1" applyFill="1" applyBorder="1" applyAlignment="1">
      <alignment horizontal="center" vertical="center"/>
    </xf>
    <xf numFmtId="0" fontId="18" fillId="21" borderId="5" xfId="0" applyFont="1" applyFill="1" applyBorder="1" applyAlignment="1">
      <alignment horizontal="center"/>
    </xf>
    <xf numFmtId="0" fontId="17" fillId="0" borderId="89" xfId="0" applyFont="1" applyBorder="1"/>
    <xf numFmtId="44" fontId="17" fillId="0" borderId="89" xfId="2" applyFont="1" applyBorder="1"/>
    <xf numFmtId="0" fontId="18" fillId="21" borderId="54" xfId="0" applyFont="1" applyFill="1" applyBorder="1"/>
    <xf numFmtId="44" fontId="18" fillId="21" borderId="59" xfId="2" applyFont="1" applyFill="1" applyBorder="1" applyAlignment="1"/>
    <xf numFmtId="0" fontId="18" fillId="21" borderId="91" xfId="0" applyFont="1" applyFill="1" applyBorder="1"/>
    <xf numFmtId="0" fontId="18" fillId="21" borderId="90" xfId="0" applyFont="1" applyFill="1" applyBorder="1"/>
    <xf numFmtId="44" fontId="59" fillId="21" borderId="60" xfId="2" applyFont="1" applyFill="1" applyBorder="1" applyAlignment="1"/>
    <xf numFmtId="44" fontId="59" fillId="21" borderId="90" xfId="2" applyFont="1" applyFill="1" applyBorder="1" applyAlignment="1"/>
    <xf numFmtId="0" fontId="77" fillId="21" borderId="5" xfId="0" applyFont="1" applyFill="1" applyBorder="1" applyAlignment="1">
      <alignment horizontal="left" vertical="center"/>
    </xf>
    <xf numFmtId="0" fontId="78" fillId="0" borderId="5" xfId="0" applyFont="1" applyBorder="1"/>
    <xf numFmtId="0" fontId="23" fillId="0" borderId="56" xfId="0" applyFont="1" applyBorder="1" applyAlignment="1">
      <alignment horizontal="center" vertical="center"/>
    </xf>
    <xf numFmtId="0" fontId="59" fillId="21" borderId="47" xfId="0" applyFont="1" applyFill="1" applyBorder="1" applyAlignment="1">
      <alignment horizontal="center"/>
    </xf>
    <xf numFmtId="0" fontId="59" fillId="21" borderId="49" xfId="0" applyFont="1" applyFill="1" applyBorder="1" applyAlignment="1">
      <alignment horizontal="center"/>
    </xf>
    <xf numFmtId="0" fontId="59" fillId="21" borderId="56" xfId="0" applyFont="1" applyFill="1" applyBorder="1" applyAlignment="1">
      <alignment horizontal="center"/>
    </xf>
    <xf numFmtId="44" fontId="23" fillId="0" borderId="9" xfId="2" applyFont="1" applyBorder="1" applyAlignment="1">
      <alignment horizontal="center" vertical="center"/>
    </xf>
    <xf numFmtId="0" fontId="0" fillId="0" borderId="86" xfId="0" applyBorder="1" applyAlignment="1">
      <alignment horizontal="center"/>
    </xf>
    <xf numFmtId="167" fontId="23" fillId="0" borderId="84" xfId="6" applyFont="1" applyFill="1" applyBorder="1" applyAlignment="1">
      <alignment vertical="center"/>
    </xf>
    <xf numFmtId="167" fontId="1" fillId="0" borderId="84" xfId="6" applyFont="1" applyFill="1" applyBorder="1" applyAlignment="1">
      <alignment vertical="center"/>
    </xf>
    <xf numFmtId="167" fontId="0" fillId="0" borderId="84" xfId="6" applyFont="1" applyFill="1" applyBorder="1" applyAlignment="1">
      <alignment vertical="center"/>
    </xf>
    <xf numFmtId="17" fontId="17" fillId="0" borderId="88" xfId="0" applyNumberFormat="1" applyFont="1" applyBorder="1" applyAlignment="1">
      <alignment horizontal="center"/>
    </xf>
    <xf numFmtId="14" fontId="0" fillId="0" borderId="88" xfId="0" applyNumberFormat="1" applyBorder="1" applyAlignment="1">
      <alignment horizontal="center" vertical="center"/>
    </xf>
    <xf numFmtId="0" fontId="0" fillId="0" borderId="92" xfId="0" applyBorder="1" applyAlignment="1">
      <alignment horizontal="center"/>
    </xf>
    <xf numFmtId="14" fontId="0" fillId="0" borderId="93" xfId="0" applyNumberFormat="1" applyBorder="1" applyAlignment="1">
      <alignment horizontal="center" vertical="center"/>
    </xf>
    <xf numFmtId="167" fontId="0" fillId="0" borderId="94" xfId="6" applyFont="1" applyFill="1" applyBorder="1" applyAlignment="1">
      <alignment vertical="center"/>
    </xf>
    <xf numFmtId="0" fontId="80" fillId="0" borderId="0" xfId="9" applyFont="1"/>
    <xf numFmtId="0" fontId="80" fillId="0" borderId="95" xfId="9" applyFont="1" applyBorder="1"/>
    <xf numFmtId="0" fontId="80" fillId="0" borderId="96" xfId="9" applyFont="1" applyBorder="1"/>
    <xf numFmtId="0" fontId="80" fillId="0" borderId="97" xfId="9" applyFont="1" applyBorder="1"/>
    <xf numFmtId="44" fontId="81" fillId="0" borderId="98" xfId="10" applyFont="1" applyBorder="1" applyAlignment="1">
      <alignment vertical="top" wrapText="1" readingOrder="1"/>
    </xf>
    <xf numFmtId="0" fontId="80" fillId="0" borderId="20" xfId="9" applyFont="1" applyBorder="1"/>
    <xf numFmtId="44" fontId="83" fillId="0" borderId="46" xfId="10" applyFont="1" applyBorder="1" applyAlignment="1">
      <alignment horizontal="center" vertical="center"/>
    </xf>
    <xf numFmtId="0" fontId="84" fillId="0" borderId="45" xfId="9" applyFont="1" applyBorder="1" applyAlignment="1">
      <alignment horizontal="center" vertical="center" wrapText="1" readingOrder="1"/>
    </xf>
    <xf numFmtId="0" fontId="84" fillId="0" borderId="44" xfId="9" applyFont="1" applyBorder="1" applyAlignment="1">
      <alignment horizontal="center" vertical="center" wrapText="1" readingOrder="1"/>
    </xf>
    <xf numFmtId="0" fontId="84" fillId="0" borderId="95" xfId="9" applyFont="1" applyBorder="1" applyAlignment="1">
      <alignment horizontal="center" vertical="center" wrapText="1" readingOrder="1"/>
    </xf>
    <xf numFmtId="0" fontId="84" fillId="0" borderId="96" xfId="9" applyFont="1" applyBorder="1" applyAlignment="1">
      <alignment horizontal="center" vertical="center" wrapText="1" readingOrder="1"/>
    </xf>
    <xf numFmtId="0" fontId="84" fillId="0" borderId="97" xfId="9" applyFont="1" applyBorder="1" applyAlignment="1">
      <alignment horizontal="center" vertical="center" wrapText="1" readingOrder="1"/>
    </xf>
    <xf numFmtId="0" fontId="80" fillId="0" borderId="98" xfId="9" applyFont="1" applyBorder="1" applyAlignment="1">
      <alignment horizontal="center" vertical="center"/>
    </xf>
    <xf numFmtId="0" fontId="80" fillId="0" borderId="20" xfId="9" applyFont="1" applyBorder="1" applyAlignment="1">
      <alignment horizontal="center" vertical="center"/>
    </xf>
    <xf numFmtId="0" fontId="80" fillId="0" borderId="99" xfId="9" applyFont="1" applyBorder="1" applyAlignment="1">
      <alignment horizontal="center" vertical="center"/>
    </xf>
    <xf numFmtId="0" fontId="84" fillId="0" borderId="102" xfId="9" applyFont="1" applyBorder="1" applyAlignment="1">
      <alignment horizontal="center" vertical="center" wrapText="1" readingOrder="1"/>
    </xf>
    <xf numFmtId="0" fontId="84" fillId="0" borderId="103" xfId="9" applyFont="1" applyBorder="1" applyAlignment="1">
      <alignment horizontal="center" vertical="center" wrapText="1" readingOrder="1"/>
    </xf>
    <xf numFmtId="0" fontId="84" fillId="0" borderId="104" xfId="9" applyFont="1" applyBorder="1" applyAlignment="1">
      <alignment horizontal="center" vertical="center" wrapText="1" readingOrder="1"/>
    </xf>
    <xf numFmtId="0" fontId="84" fillId="0" borderId="56" xfId="9" applyFont="1" applyBorder="1" applyAlignment="1">
      <alignment horizontal="center" vertical="center" wrapText="1" readingOrder="1"/>
    </xf>
    <xf numFmtId="0" fontId="84" fillId="0" borderId="57" xfId="9" applyFont="1" applyBorder="1" applyAlignment="1">
      <alignment horizontal="center" vertical="center" wrapText="1" readingOrder="1"/>
    </xf>
    <xf numFmtId="0" fontId="84" fillId="0" borderId="58" xfId="9" applyFont="1" applyBorder="1" applyAlignment="1">
      <alignment horizontal="center" vertical="center" wrapText="1" readingOrder="1"/>
    </xf>
    <xf numFmtId="164" fontId="66" fillId="16" borderId="0" xfId="0" applyNumberFormat="1" applyFont="1" applyFill="1" applyAlignment="1">
      <alignment horizontal="center" vertical="center" wrapText="1"/>
    </xf>
    <xf numFmtId="44" fontId="48" fillId="0" borderId="0" xfId="0" applyNumberFormat="1" applyFont="1"/>
    <xf numFmtId="0" fontId="0" fillId="5" borderId="86" xfId="0" applyFill="1" applyBorder="1" applyAlignment="1">
      <alignment horizontal="center" vertical="center"/>
    </xf>
    <xf numFmtId="15" fontId="27" fillId="5" borderId="88" xfId="0" applyNumberFormat="1" applyFont="1" applyFill="1" applyBorder="1" applyAlignment="1">
      <alignment horizontal="center" vertical="center"/>
    </xf>
    <xf numFmtId="15" fontId="27" fillId="5" borderId="84" xfId="0" applyNumberFormat="1" applyFont="1" applyFill="1" applyBorder="1" applyAlignment="1">
      <alignment horizontal="center" vertical="center"/>
    </xf>
    <xf numFmtId="0" fontId="27" fillId="5" borderId="88" xfId="0" applyFont="1" applyFill="1" applyBorder="1" applyAlignment="1">
      <alignment horizontal="center" vertical="center"/>
    </xf>
    <xf numFmtId="1" fontId="27" fillId="5" borderId="88" xfId="0" applyNumberFormat="1" applyFont="1" applyFill="1" applyBorder="1" applyAlignment="1">
      <alignment horizontal="center" vertical="center"/>
    </xf>
    <xf numFmtId="44" fontId="27" fillId="5" borderId="84" xfId="2" applyFont="1" applyFill="1" applyBorder="1" applyAlignment="1">
      <alignment horizontal="center" vertical="center"/>
    </xf>
    <xf numFmtId="15" fontId="0" fillId="5" borderId="88" xfId="0" applyNumberFormat="1" applyFill="1" applyBorder="1" applyAlignment="1">
      <alignment horizontal="center" vertical="center"/>
    </xf>
    <xf numFmtId="15" fontId="0" fillId="5" borderId="84" xfId="0" applyNumberFormat="1" applyFill="1" applyBorder="1" applyAlignment="1">
      <alignment horizontal="center" vertical="center"/>
    </xf>
    <xf numFmtId="0" fontId="0" fillId="5" borderId="88" xfId="0" applyFill="1" applyBorder="1" applyAlignment="1">
      <alignment horizontal="center" vertical="center"/>
    </xf>
    <xf numFmtId="1" fontId="0" fillId="5" borderId="88" xfId="0" applyNumberFormat="1" applyFill="1" applyBorder="1" applyAlignment="1">
      <alignment horizontal="center" vertical="center"/>
    </xf>
    <xf numFmtId="44" fontId="0" fillId="5" borderId="84" xfId="2" applyFont="1" applyFill="1" applyBorder="1" applyAlignment="1">
      <alignment horizontal="center" vertical="center"/>
    </xf>
    <xf numFmtId="0" fontId="82" fillId="0" borderId="101" xfId="9" applyFont="1" applyBorder="1" applyAlignment="1">
      <alignment horizontal="center" vertical="center"/>
    </xf>
    <xf numFmtId="0" fontId="82" fillId="0" borderId="99" xfId="9" applyFont="1" applyBorder="1" applyAlignment="1">
      <alignment horizontal="center" vertical="center"/>
    </xf>
    <xf numFmtId="0" fontId="81" fillId="0" borderId="21" xfId="9" applyFont="1" applyBorder="1" applyAlignment="1">
      <alignment horizontal="left" vertical="center" wrapText="1" readingOrder="1"/>
    </xf>
    <xf numFmtId="0" fontId="81" fillId="0" borderId="20" xfId="9" applyFont="1" applyBorder="1" applyAlignment="1">
      <alignment horizontal="left" vertical="center" wrapText="1" readingOrder="1"/>
    </xf>
    <xf numFmtId="0" fontId="82" fillId="0" borderId="20" xfId="9" applyFont="1" applyBorder="1" applyAlignment="1">
      <alignment horizontal="left" vertical="center"/>
    </xf>
    <xf numFmtId="0" fontId="80" fillId="0" borderId="20" xfId="9" applyFont="1" applyBorder="1" applyAlignment="1">
      <alignment horizontal="left" vertical="center"/>
    </xf>
    <xf numFmtId="44" fontId="81" fillId="0" borderId="100" xfId="10" applyFont="1" applyBorder="1" applyAlignment="1">
      <alignment vertical="center" wrapText="1" readingOrder="1"/>
    </xf>
    <xf numFmtId="44" fontId="81" fillId="0" borderId="98" xfId="10" applyFont="1" applyBorder="1" applyAlignment="1">
      <alignment vertical="center" wrapText="1" readingOrder="1"/>
    </xf>
    <xf numFmtId="0" fontId="81" fillId="0" borderId="21" xfId="9" applyFont="1" applyBorder="1" applyAlignment="1">
      <alignment horizontal="center" vertical="center" wrapText="1" readingOrder="1"/>
    </xf>
    <xf numFmtId="0" fontId="81" fillId="0" borderId="20" xfId="9" applyFont="1" applyBorder="1" applyAlignment="1">
      <alignment horizontal="center" vertical="center" wrapText="1" readingOrder="1"/>
    </xf>
    <xf numFmtId="0" fontId="82" fillId="0" borderId="20" xfId="9" applyFont="1" applyBorder="1" applyAlignment="1">
      <alignment horizontal="center" vertical="center"/>
    </xf>
    <xf numFmtId="0" fontId="66" fillId="16" borderId="105" xfId="0" applyFont="1" applyFill="1" applyBorder="1" applyAlignment="1">
      <alignment horizontal="left" vertical="center" wrapText="1"/>
    </xf>
    <xf numFmtId="168" fontId="66" fillId="16" borderId="105" xfId="0" applyNumberFormat="1" applyFont="1" applyFill="1" applyBorder="1" applyAlignment="1">
      <alignment vertical="center" wrapText="1"/>
    </xf>
    <xf numFmtId="0" fontId="87" fillId="0" borderId="107" xfId="0" applyFont="1" applyBorder="1" applyAlignment="1">
      <alignment horizontal="left" vertical="top" wrapText="1"/>
    </xf>
    <xf numFmtId="44" fontId="0" fillId="0" borderId="0" xfId="2" applyFont="1" applyAlignment="1">
      <alignment horizontal="right"/>
    </xf>
    <xf numFmtId="44" fontId="86" fillId="0" borderId="107" xfId="2" applyFont="1" applyBorder="1" applyAlignment="1">
      <alignment horizontal="right" shrinkToFit="1"/>
    </xf>
    <xf numFmtId="43" fontId="0" fillId="10" borderId="21" xfId="0" applyNumberFormat="1" applyFill="1" applyBorder="1" applyAlignment="1">
      <alignment horizontal="right"/>
    </xf>
    <xf numFmtId="0" fontId="89" fillId="0" borderId="108" xfId="0" applyFont="1" applyBorder="1" applyAlignment="1">
      <alignment horizontal="center" vertical="center" wrapText="1" readingOrder="1"/>
    </xf>
    <xf numFmtId="44" fontId="89" fillId="0" borderId="108" xfId="10" applyFont="1" applyBorder="1" applyAlignment="1">
      <alignment horizontal="center" vertical="center" wrapText="1" readingOrder="1"/>
    </xf>
    <xf numFmtId="0" fontId="91" fillId="0" borderId="108" xfId="0" applyFont="1" applyBorder="1" applyAlignment="1">
      <alignment horizontal="left" vertical="center" wrapText="1" readingOrder="1"/>
    </xf>
    <xf numFmtId="44" fontId="91" fillId="0" borderId="108" xfId="10" applyFont="1" applyBorder="1" applyAlignment="1">
      <alignment horizontal="right" vertical="center" wrapText="1" readingOrder="1"/>
    </xf>
    <xf numFmtId="173" fontId="91" fillId="0" borderId="108" xfId="0" applyNumberFormat="1" applyFont="1" applyBorder="1" applyAlignment="1">
      <alignment horizontal="center" vertical="center" wrapText="1" readingOrder="1"/>
    </xf>
    <xf numFmtId="44" fontId="89" fillId="0" borderId="108" xfId="10" applyFont="1" applyBorder="1" applyAlignment="1">
      <alignment horizontal="right" vertical="center" wrapText="1" readingOrder="1"/>
    </xf>
    <xf numFmtId="173" fontId="89" fillId="0" borderId="108" xfId="0" applyNumberFormat="1" applyFont="1" applyBorder="1" applyAlignment="1">
      <alignment horizontal="center" vertical="center" wrapText="1" readingOrder="1"/>
    </xf>
    <xf numFmtId="0" fontId="80" fillId="0" borderId="0" xfId="0" applyFont="1"/>
    <xf numFmtId="44" fontId="80" fillId="0" borderId="0" xfId="10" applyFont="1"/>
    <xf numFmtId="0" fontId="80" fillId="0" borderId="0" xfId="0" applyFont="1" applyAlignment="1">
      <alignment horizontal="center" vertical="center"/>
    </xf>
    <xf numFmtId="1" fontId="80" fillId="0" borderId="0" xfId="0" applyNumberFormat="1" applyFont="1" applyAlignment="1">
      <alignment horizontal="center" vertical="center"/>
    </xf>
    <xf numFmtId="172" fontId="80" fillId="0" borderId="0" xfId="0" applyNumberFormat="1" applyFont="1"/>
    <xf numFmtId="1" fontId="89" fillId="0" borderId="110" xfId="0" applyNumberFormat="1" applyFont="1" applyBorder="1" applyAlignment="1">
      <alignment horizontal="center" vertical="center" wrapText="1" readingOrder="1"/>
    </xf>
    <xf numFmtId="1" fontId="91" fillId="0" borderId="110" xfId="0" applyNumberFormat="1" applyFont="1" applyBorder="1" applyAlignment="1">
      <alignment horizontal="center" vertical="center" wrapText="1" readingOrder="1"/>
    </xf>
    <xf numFmtId="172" fontId="89" fillId="0" borderId="5" xfId="0" applyNumberFormat="1" applyFont="1" applyBorder="1" applyAlignment="1">
      <alignment horizontal="center" vertical="center" wrapText="1" readingOrder="1"/>
    </xf>
    <xf numFmtId="172" fontId="91" fillId="0" borderId="5" xfId="0" applyNumberFormat="1" applyFont="1" applyBorder="1" applyAlignment="1">
      <alignment horizontal="right" vertical="center" wrapText="1" readingOrder="1"/>
    </xf>
    <xf numFmtId="44" fontId="89" fillId="0" borderId="5" xfId="10" applyFont="1" applyBorder="1" applyAlignment="1">
      <alignment horizontal="right" vertical="center" wrapText="1" readingOrder="1"/>
    </xf>
    <xf numFmtId="44" fontId="0" fillId="0" borderId="0" xfId="2" applyFont="1" applyAlignment="1">
      <alignment horizontal="center" vertical="center"/>
    </xf>
    <xf numFmtId="44" fontId="23" fillId="0" borderId="5" xfId="2" applyFont="1" applyFill="1" applyBorder="1" applyAlignment="1">
      <alignment horizontal="center" vertical="center"/>
    </xf>
    <xf numFmtId="172" fontId="0" fillId="0" borderId="5" xfId="2" applyNumberFormat="1" applyFont="1" applyBorder="1" applyAlignment="1">
      <alignment horizontal="center" vertical="center"/>
    </xf>
    <xf numFmtId="1" fontId="0" fillId="0" borderId="0" xfId="2" applyNumberFormat="1" applyFont="1" applyAlignment="1">
      <alignment horizontal="center" vertical="center"/>
    </xf>
    <xf numFmtId="172" fontId="0" fillId="0" borderId="5" xfId="2" applyNumberFormat="1" applyFont="1" applyBorder="1"/>
    <xf numFmtId="172" fontId="17" fillId="0" borderId="5" xfId="2" applyNumberFormat="1" applyFont="1" applyBorder="1" applyAlignment="1">
      <alignment horizontal="right" vertical="center"/>
    </xf>
    <xf numFmtId="172" fontId="92" fillId="0" borderId="5" xfId="0" applyNumberFormat="1" applyFont="1" applyBorder="1" applyAlignment="1">
      <alignment horizontal="right" vertical="center" wrapText="1" readingOrder="1"/>
    </xf>
    <xf numFmtId="44" fontId="17" fillId="0" borderId="5" xfId="2" applyFont="1" applyBorder="1" applyAlignment="1">
      <alignment horizontal="right" vertical="center"/>
    </xf>
    <xf numFmtId="0" fontId="91" fillId="0" borderId="108" xfId="0" applyFont="1" applyBorder="1" applyAlignment="1">
      <alignment vertical="center" wrapText="1" readingOrder="1"/>
    </xf>
    <xf numFmtId="44" fontId="23" fillId="22" borderId="5" xfId="2" applyFont="1" applyFill="1" applyBorder="1" applyAlignment="1">
      <alignment horizontal="center" vertical="center"/>
    </xf>
    <xf numFmtId="172" fontId="17" fillId="22" borderId="5" xfId="2" applyNumberFormat="1" applyFont="1" applyFill="1" applyBorder="1" applyAlignment="1">
      <alignment horizontal="right" vertical="center"/>
    </xf>
    <xf numFmtId="0" fontId="89" fillId="0" borderId="5" xfId="0" applyFont="1" applyBorder="1" applyAlignment="1">
      <alignment horizontal="center" vertical="center" wrapText="1" readingOrder="1"/>
    </xf>
    <xf numFmtId="0" fontId="89" fillId="0" borderId="5" xfId="0" applyFont="1" applyBorder="1" applyAlignment="1">
      <alignment vertical="center" wrapText="1" readingOrder="1"/>
    </xf>
    <xf numFmtId="44" fontId="89" fillId="0" borderId="5" xfId="10" applyFont="1" applyBorder="1" applyAlignment="1">
      <alignment horizontal="center" vertical="center" wrapText="1" readingOrder="1"/>
    </xf>
    <xf numFmtId="1" fontId="89" fillId="0" borderId="5" xfId="0" applyNumberFormat="1" applyFont="1" applyBorder="1" applyAlignment="1">
      <alignment horizontal="center" vertical="center" wrapText="1" readingOrder="1"/>
    </xf>
    <xf numFmtId="0" fontId="91" fillId="0" borderId="5" xfId="0" applyFont="1" applyBorder="1" applyAlignment="1">
      <alignment horizontal="left" vertical="center" wrapText="1" readingOrder="1"/>
    </xf>
    <xf numFmtId="0" fontId="91" fillId="0" borderId="5" xfId="0" applyFont="1" applyBorder="1" applyAlignment="1">
      <alignment vertical="center" wrapText="1" readingOrder="1"/>
    </xf>
    <xf numFmtId="44" fontId="91" fillId="0" borderId="5" xfId="10" applyFont="1" applyBorder="1" applyAlignment="1">
      <alignment horizontal="right" vertical="center" wrapText="1" readingOrder="1"/>
    </xf>
    <xf numFmtId="1" fontId="91" fillId="0" borderId="5" xfId="0" applyNumberFormat="1" applyFont="1" applyBorder="1" applyAlignment="1">
      <alignment horizontal="center" vertical="center" wrapText="1" readingOrder="1"/>
    </xf>
    <xf numFmtId="0" fontId="91" fillId="0" borderId="108" xfId="0" applyFont="1" applyBorder="1" applyAlignment="1">
      <alignment horizontal="right" vertical="center" wrapText="1" readingOrder="1"/>
    </xf>
    <xf numFmtId="0" fontId="93" fillId="0" borderId="0" xfId="0" applyFont="1" applyAlignment="1">
      <alignment vertical="center" wrapText="1"/>
    </xf>
    <xf numFmtId="0" fontId="93" fillId="0" borderId="0" xfId="0" applyFont="1" applyAlignment="1">
      <alignment horizontal="center" vertical="center" wrapText="1"/>
    </xf>
    <xf numFmtId="0" fontId="93" fillId="0" borderId="0" xfId="0" applyFont="1" applyAlignment="1">
      <alignment horizontal="left" vertical="center" wrapText="1"/>
    </xf>
    <xf numFmtId="2" fontId="94" fillId="0" borderId="20" xfId="0" applyNumberFormat="1" applyFont="1" applyBorder="1" applyAlignment="1">
      <alignment horizontal="center" vertical="center" wrapText="1"/>
    </xf>
    <xf numFmtId="0" fontId="94" fillId="0" borderId="111" xfId="0" applyFont="1" applyBorder="1" applyAlignment="1">
      <alignment horizontal="left" vertical="center" wrapText="1"/>
    </xf>
    <xf numFmtId="0" fontId="94" fillId="0" borderId="0" xfId="0" applyFont="1" applyAlignment="1">
      <alignment horizontal="center" vertical="center" wrapText="1"/>
    </xf>
    <xf numFmtId="0" fontId="94" fillId="0" borderId="0" xfId="0" applyFont="1" applyAlignment="1">
      <alignment vertical="center" wrapText="1"/>
    </xf>
    <xf numFmtId="20" fontId="94" fillId="15" borderId="112" xfId="0" applyNumberFormat="1" applyFont="1" applyFill="1" applyBorder="1" applyAlignment="1">
      <alignment horizontal="center" vertical="center" wrapText="1"/>
    </xf>
    <xf numFmtId="0" fontId="94" fillId="15" borderId="113" xfId="0" applyFont="1" applyFill="1" applyBorder="1" applyAlignment="1">
      <alignment horizontal="center" vertical="center" wrapText="1"/>
    </xf>
    <xf numFmtId="20" fontId="94" fillId="0" borderId="20" xfId="0" applyNumberFormat="1" applyFont="1" applyBorder="1" applyAlignment="1">
      <alignment horizontal="center" vertical="center" wrapText="1"/>
    </xf>
    <xf numFmtId="0" fontId="94" fillId="0" borderId="114" xfId="0" applyFont="1" applyBorder="1" applyAlignment="1">
      <alignment horizontal="center" vertical="center" wrapText="1"/>
    </xf>
    <xf numFmtId="0" fontId="94" fillId="0" borderId="20" xfId="0" quotePrefix="1" applyFont="1" applyBorder="1" applyAlignment="1">
      <alignment horizontal="center" vertical="center" wrapText="1"/>
    </xf>
    <xf numFmtId="20" fontId="94" fillId="15" borderId="20" xfId="0" applyNumberFormat="1" applyFont="1" applyFill="1" applyBorder="1" applyAlignment="1">
      <alignment horizontal="center" vertical="center" wrapText="1"/>
    </xf>
    <xf numFmtId="0" fontId="94" fillId="15" borderId="114" xfId="0" applyFont="1" applyFill="1" applyBorder="1" applyAlignment="1">
      <alignment horizontal="center" vertical="center" wrapText="1"/>
    </xf>
    <xf numFmtId="0" fontId="97" fillId="23" borderId="115" xfId="0" applyFont="1" applyFill="1" applyBorder="1" applyAlignment="1">
      <alignment horizontal="center" vertical="center" wrapText="1"/>
    </xf>
    <xf numFmtId="0" fontId="96" fillId="23" borderId="116" xfId="0" applyFont="1" applyFill="1" applyBorder="1" applyAlignment="1">
      <alignment horizontal="center" vertical="center" wrapText="1"/>
    </xf>
    <xf numFmtId="46" fontId="94" fillId="3" borderId="20" xfId="0" applyNumberFormat="1" applyFont="1" applyFill="1" applyBorder="1" applyAlignment="1">
      <alignment horizontal="center" vertical="center" wrapText="1"/>
    </xf>
    <xf numFmtId="0" fontId="96" fillId="24" borderId="104" xfId="0" applyFont="1" applyFill="1" applyBorder="1" applyAlignment="1">
      <alignment horizontal="center" vertical="center" wrapText="1"/>
    </xf>
    <xf numFmtId="0" fontId="95" fillId="24" borderId="103" xfId="0" applyFont="1" applyFill="1" applyBorder="1" applyAlignment="1">
      <alignment horizontal="center" vertical="center" wrapText="1"/>
    </xf>
    <xf numFmtId="0" fontId="96" fillId="23" borderId="117" xfId="0" applyFont="1" applyFill="1" applyBorder="1" applyAlignment="1">
      <alignment horizontal="center" vertical="center" wrapText="1"/>
    </xf>
    <xf numFmtId="0" fontId="94" fillId="0" borderId="27" xfId="0" applyFont="1" applyBorder="1" applyAlignment="1">
      <alignment horizontal="center" vertical="center" wrapText="1"/>
    </xf>
    <xf numFmtId="0" fontId="94" fillId="15" borderId="27" xfId="0" applyFont="1" applyFill="1" applyBorder="1" applyAlignment="1">
      <alignment horizontal="center" vertical="center" wrapText="1"/>
    </xf>
    <xf numFmtId="0" fontId="94" fillId="15" borderId="62" xfId="0" applyFont="1" applyFill="1" applyBorder="1" applyAlignment="1">
      <alignment horizontal="center" vertical="center" wrapText="1"/>
    </xf>
    <xf numFmtId="0" fontId="96" fillId="24" borderId="118" xfId="0" applyFont="1" applyFill="1" applyBorder="1" applyAlignment="1">
      <alignment horizontal="center" vertical="center" wrapText="1"/>
    </xf>
    <xf numFmtId="43" fontId="0" fillId="9" borderId="22" xfId="0" applyNumberFormat="1" applyFill="1" applyBorder="1"/>
    <xf numFmtId="2" fontId="93" fillId="0" borderId="0" xfId="0" applyNumberFormat="1" applyFont="1" applyAlignment="1">
      <alignment horizontal="center" vertical="center" wrapText="1"/>
    </xf>
    <xf numFmtId="14" fontId="19" fillId="0" borderId="0" xfId="4" applyNumberFormat="1" applyFont="1"/>
    <xf numFmtId="14" fontId="20" fillId="5" borderId="45" xfId="0" applyNumberFormat="1" applyFont="1" applyFill="1" applyBorder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/>
    </xf>
    <xf numFmtId="0" fontId="19" fillId="0" borderId="0" xfId="4" applyFont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pivotButton="1"/>
    <xf numFmtId="46" fontId="93" fillId="0" borderId="0" xfId="0" applyNumberFormat="1" applyFont="1" applyAlignment="1">
      <alignment horizontal="left" vertical="center" wrapText="1"/>
    </xf>
    <xf numFmtId="20" fontId="93" fillId="0" borderId="0" xfId="0" applyNumberFormat="1" applyFont="1" applyAlignment="1">
      <alignment horizontal="left" vertical="center" wrapText="1"/>
    </xf>
    <xf numFmtId="44" fontId="20" fillId="9" borderId="0" xfId="2" applyFont="1" applyFill="1" applyBorder="1" applyAlignment="1">
      <alignment horizontal="center" vertical="center"/>
    </xf>
    <xf numFmtId="43" fontId="2" fillId="0" borderId="5" xfId="1" applyFont="1" applyBorder="1"/>
    <xf numFmtId="0" fontId="43" fillId="0" borderId="5" xfId="0" applyFont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3" fillId="5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10" fontId="9" fillId="0" borderId="5" xfId="0" applyNumberFormat="1" applyFont="1" applyBorder="1" applyAlignment="1">
      <alignment horizontal="center"/>
    </xf>
    <xf numFmtId="0" fontId="43" fillId="5" borderId="5" xfId="0" applyFont="1" applyFill="1" applyBorder="1"/>
    <xf numFmtId="43" fontId="9" fillId="5" borderId="5" xfId="1" applyFont="1" applyFill="1" applyBorder="1" applyAlignment="1">
      <alignment horizontal="center"/>
    </xf>
    <xf numFmtId="43" fontId="2" fillId="0" borderId="5" xfId="1" applyFont="1" applyBorder="1" applyAlignment="1">
      <alignment horizontal="center"/>
    </xf>
    <xf numFmtId="0" fontId="9" fillId="5" borderId="5" xfId="0" applyFont="1" applyFill="1" applyBorder="1"/>
    <xf numFmtId="0" fontId="29" fillId="11" borderId="41" xfId="0" applyFont="1" applyFill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43" fontId="17" fillId="9" borderId="20" xfId="1" applyFont="1" applyFill="1" applyBorder="1" applyAlignment="1" applyProtection="1">
      <alignment horizontal="center" vertical="center"/>
      <protection locked="0"/>
    </xf>
    <xf numFmtId="13" fontId="0" fillId="0" borderId="0" xfId="2" applyNumberFormat="1" applyFont="1" applyAlignment="1">
      <alignment horizontal="center" vertical="center"/>
    </xf>
    <xf numFmtId="172" fontId="0" fillId="0" borderId="0" xfId="2" applyNumberFormat="1" applyFont="1" applyAlignment="1">
      <alignment horizontal="center" vertical="center"/>
    </xf>
    <xf numFmtId="1" fontId="35" fillId="0" borderId="0" xfId="2" applyNumberFormat="1" applyFont="1" applyAlignment="1">
      <alignment horizontal="center" vertical="center"/>
    </xf>
    <xf numFmtId="44" fontId="16" fillId="0" borderId="5" xfId="2" applyFont="1" applyBorder="1" applyAlignment="1">
      <alignment horizontal="center" vertical="center"/>
    </xf>
    <xf numFmtId="172" fontId="17" fillId="5" borderId="5" xfId="2" applyNumberFormat="1" applyFont="1" applyFill="1" applyBorder="1" applyAlignment="1">
      <alignment horizontal="right" vertical="center"/>
    </xf>
    <xf numFmtId="172" fontId="92" fillId="5" borderId="5" xfId="0" applyNumberFormat="1" applyFont="1" applyFill="1" applyBorder="1" applyAlignment="1">
      <alignment horizontal="right" vertical="center" wrapText="1" readingOrder="1"/>
    </xf>
    <xf numFmtId="0" fontId="58" fillId="25" borderId="20" xfId="4" applyFont="1" applyFill="1" applyBorder="1" applyAlignment="1">
      <alignment horizontal="left" vertical="center"/>
    </xf>
    <xf numFmtId="0" fontId="0" fillId="25" borderId="0" xfId="0" applyFill="1" applyAlignment="1">
      <alignment horizontal="center"/>
    </xf>
    <xf numFmtId="14" fontId="24" fillId="25" borderId="0" xfId="0" applyNumberFormat="1" applyFont="1" applyFill="1" applyAlignment="1">
      <alignment horizontal="center" vertical="center"/>
    </xf>
    <xf numFmtId="44" fontId="0" fillId="25" borderId="22" xfId="2" applyFont="1" applyFill="1" applyBorder="1" applyAlignment="1" applyProtection="1">
      <alignment horizontal="center"/>
    </xf>
    <xf numFmtId="166" fontId="31" fillId="25" borderId="20" xfId="5" applyFont="1" applyFill="1" applyBorder="1" applyProtection="1"/>
    <xf numFmtId="166" fontId="31" fillId="25" borderId="20" xfId="5" applyFont="1" applyFill="1" applyBorder="1" applyAlignment="1" applyProtection="1">
      <alignment horizontal="center"/>
    </xf>
    <xf numFmtId="0" fontId="0" fillId="25" borderId="43" xfId="0" applyFill="1" applyBorder="1" applyAlignment="1">
      <alignment horizontal="center" vertical="center"/>
    </xf>
    <xf numFmtId="0" fontId="0" fillId="25" borderId="43" xfId="0" applyFill="1" applyBorder="1" applyAlignment="1">
      <alignment horizontal="center"/>
    </xf>
    <xf numFmtId="1" fontId="26" fillId="0" borderId="64" xfId="0" applyNumberFormat="1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0" fillId="0" borderId="0" xfId="0" applyNumberFormat="1"/>
    <xf numFmtId="1" fontId="24" fillId="25" borderId="0" xfId="0" applyNumberFormat="1" applyFont="1" applyFill="1" applyAlignment="1">
      <alignment horizontal="center" vertical="center"/>
    </xf>
    <xf numFmtId="0" fontId="53" fillId="0" borderId="0" xfId="4" applyFont="1"/>
    <xf numFmtId="43" fontId="27" fillId="0" borderId="21" xfId="1" applyFont="1" applyFill="1" applyBorder="1" applyAlignment="1">
      <alignment horizontal="center" vertical="center"/>
    </xf>
    <xf numFmtId="169" fontId="2" fillId="0" borderId="0" xfId="4" applyNumberFormat="1"/>
    <xf numFmtId="0" fontId="100" fillId="3" borderId="0" xfId="4" applyFont="1" applyFill="1" applyAlignment="1">
      <alignment horizontal="center"/>
    </xf>
    <xf numFmtId="0" fontId="101" fillId="0" borderId="15" xfId="0" applyFont="1" applyBorder="1" applyAlignment="1">
      <alignment horizontal="left" vertical="center"/>
    </xf>
    <xf numFmtId="0" fontId="101" fillId="0" borderId="17" xfId="0" applyFont="1" applyBorder="1" applyAlignment="1">
      <alignment horizontal="left" vertical="center"/>
    </xf>
    <xf numFmtId="44" fontId="101" fillId="0" borderId="5" xfId="2" applyFont="1" applyBorder="1"/>
    <xf numFmtId="0" fontId="101" fillId="0" borderId="15" xfId="0" applyFont="1" applyBorder="1" applyAlignment="1">
      <alignment horizontal="center"/>
    </xf>
    <xf numFmtId="0" fontId="101" fillId="0" borderId="17" xfId="0" applyFont="1" applyBorder="1" applyAlignment="1">
      <alignment horizontal="center"/>
    </xf>
    <xf numFmtId="0" fontId="99" fillId="0" borderId="0" xfId="0" applyFont="1"/>
    <xf numFmtId="0" fontId="102" fillId="18" borderId="5" xfId="0" applyFont="1" applyFill="1" applyBorder="1" applyAlignment="1">
      <alignment horizontal="centerContinuous" vertical="center"/>
    </xf>
    <xf numFmtId="44" fontId="102" fillId="18" borderId="5" xfId="2" applyFont="1" applyFill="1" applyBorder="1" applyAlignment="1"/>
    <xf numFmtId="0" fontId="101" fillId="0" borderId="0" xfId="0" applyFont="1"/>
    <xf numFmtId="0" fontId="102" fillId="18" borderId="5" xfId="0" applyFont="1" applyFill="1" applyBorder="1" applyAlignment="1">
      <alignment horizontal="left" vertical="center"/>
    </xf>
    <xf numFmtId="0" fontId="101" fillId="0" borderId="20" xfId="0" applyFont="1" applyBorder="1"/>
    <xf numFmtId="0" fontId="101" fillId="0" borderId="20" xfId="0" applyFont="1" applyBorder="1" applyAlignment="1">
      <alignment horizontal="left"/>
    </xf>
    <xf numFmtId="0" fontId="104" fillId="0" borderId="0" xfId="0" applyFont="1"/>
    <xf numFmtId="17" fontId="105" fillId="0" borderId="0" xfId="0" applyNumberFormat="1" applyFont="1" applyAlignment="1">
      <alignment horizontal="left"/>
    </xf>
    <xf numFmtId="0" fontId="104" fillId="0" borderId="0" xfId="0" applyFont="1" applyAlignment="1">
      <alignment horizontal="right"/>
    </xf>
    <xf numFmtId="0" fontId="99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01" fillId="0" borderId="21" xfId="0" applyFont="1" applyBorder="1"/>
    <xf numFmtId="0" fontId="103" fillId="0" borderId="63" xfId="0" applyFont="1" applyBorder="1" applyAlignment="1">
      <alignment vertical="center"/>
    </xf>
    <xf numFmtId="44" fontId="23" fillId="0" borderId="9" xfId="2" applyFont="1" applyBorder="1" applyAlignment="1">
      <alignment horizontal="center" wrapText="1"/>
    </xf>
    <xf numFmtId="0" fontId="17" fillId="0" borderId="9" xfId="2" applyNumberFormat="1" applyFont="1" applyBorder="1" applyAlignment="1">
      <alignment horizontal="center" vertical="center" wrapText="1"/>
    </xf>
    <xf numFmtId="0" fontId="99" fillId="0" borderId="20" xfId="0" applyFont="1" applyBorder="1"/>
    <xf numFmtId="43" fontId="0" fillId="0" borderId="0" xfId="1" applyFont="1"/>
    <xf numFmtId="0" fontId="0" fillId="3" borderId="20" xfId="0" applyFill="1" applyBorder="1" applyAlignment="1">
      <alignment horizontal="center" vertical="center"/>
    </xf>
    <xf numFmtId="44" fontId="58" fillId="0" borderId="20" xfId="2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23" fillId="5" borderId="89" xfId="0" applyFont="1" applyFill="1" applyBorder="1" applyAlignment="1">
      <alignment vertical="center"/>
    </xf>
    <xf numFmtId="0" fontId="23" fillId="5" borderId="90" xfId="0" applyFont="1" applyFill="1" applyBorder="1" applyAlignment="1">
      <alignment vertical="center"/>
    </xf>
    <xf numFmtId="0" fontId="94" fillId="0" borderId="111" xfId="0" applyFont="1" applyBorder="1" applyAlignment="1">
      <alignment horizontal="center" vertical="center" wrapText="1"/>
    </xf>
    <xf numFmtId="44" fontId="46" fillId="0" borderId="0" xfId="2" applyFont="1"/>
    <xf numFmtId="44" fontId="9" fillId="0" borderId="81" xfId="2" applyFont="1" applyBorder="1" applyAlignment="1">
      <alignment horizontal="center"/>
    </xf>
    <xf numFmtId="44" fontId="66" fillId="16" borderId="76" xfId="2" applyFont="1" applyFill="1" applyBorder="1" applyAlignment="1">
      <alignment vertical="center" wrapText="1"/>
    </xf>
    <xf numFmtId="44" fontId="66" fillId="16" borderId="106" xfId="2" applyFont="1" applyFill="1" applyBorder="1" applyAlignment="1">
      <alignment vertical="center" wrapText="1"/>
    </xf>
    <xf numFmtId="44" fontId="66" fillId="16" borderId="77" xfId="2" applyFont="1" applyFill="1" applyBorder="1" applyAlignment="1">
      <alignment vertical="center" wrapText="1"/>
    </xf>
    <xf numFmtId="44" fontId="2" fillId="0" borderId="0" xfId="2" applyFont="1"/>
    <xf numFmtId="44" fontId="9" fillId="0" borderId="0" xfId="2" applyFont="1" applyAlignment="1">
      <alignment horizontal="center"/>
    </xf>
    <xf numFmtId="44" fontId="66" fillId="16" borderId="0" xfId="2" applyFont="1" applyFill="1" applyAlignment="1">
      <alignment vertical="center" wrapText="1"/>
    </xf>
    <xf numFmtId="0" fontId="9" fillId="0" borderId="119" xfId="4" applyFont="1" applyBorder="1" applyAlignment="1">
      <alignment horizontal="center"/>
    </xf>
    <xf numFmtId="164" fontId="66" fillId="16" borderId="120" xfId="0" applyNumberFormat="1" applyFont="1" applyFill="1" applyBorder="1" applyAlignment="1">
      <alignment horizontal="center" vertical="center" wrapText="1"/>
    </xf>
    <xf numFmtId="44" fontId="0" fillId="0" borderId="18" xfId="2" applyFont="1" applyBorder="1"/>
    <xf numFmtId="164" fontId="66" fillId="16" borderId="121" xfId="0" applyNumberFormat="1" applyFont="1" applyFill="1" applyBorder="1" applyAlignment="1">
      <alignment horizontal="center" vertical="center" wrapText="1"/>
    </xf>
    <xf numFmtId="164" fontId="66" fillId="16" borderId="122" xfId="0" applyNumberFormat="1" applyFont="1" applyFill="1" applyBorder="1" applyAlignment="1">
      <alignment horizontal="center" vertical="center" wrapText="1"/>
    </xf>
    <xf numFmtId="164" fontId="66" fillId="16" borderId="123" xfId="0" applyNumberFormat="1" applyFont="1" applyFill="1" applyBorder="1" applyAlignment="1">
      <alignment horizontal="center" vertical="center" wrapText="1"/>
    </xf>
    <xf numFmtId="44" fontId="0" fillId="0" borderId="0" xfId="2" applyFont="1" applyFill="1"/>
    <xf numFmtId="0" fontId="0" fillId="0" borderId="0" xfId="2" applyNumberFormat="1" applyFont="1" applyFill="1"/>
    <xf numFmtId="0" fontId="108" fillId="0" borderId="43" xfId="0" applyFont="1" applyBorder="1" applyAlignment="1">
      <alignment horizontal="center" vertical="center"/>
    </xf>
    <xf numFmtId="0" fontId="108" fillId="0" borderId="43" xfId="0" applyFont="1" applyBorder="1" applyAlignment="1">
      <alignment horizontal="center"/>
    </xf>
    <xf numFmtId="166" fontId="107" fillId="0" borderId="20" xfId="5" applyFont="1" applyFill="1" applyBorder="1" applyProtection="1"/>
    <xf numFmtId="14" fontId="0" fillId="25" borderId="43" xfId="0" applyNumberFormat="1" applyFill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9" fillId="0" borderId="0" xfId="0" applyFont="1"/>
    <xf numFmtId="171" fontId="27" fillId="0" borderId="0" xfId="0" applyNumberFormat="1" applyFont="1"/>
    <xf numFmtId="171" fontId="0" fillId="0" borderId="0" xfId="0" applyNumberFormat="1"/>
    <xf numFmtId="171" fontId="27" fillId="0" borderId="20" xfId="1" applyNumberFormat="1" applyFont="1" applyFill="1" applyBorder="1" applyAlignment="1">
      <alignment horizontal="center" vertical="center" wrapText="1"/>
    </xf>
    <xf numFmtId="171" fontId="26" fillId="0" borderId="0" xfId="1" applyNumberFormat="1" applyFont="1" applyFill="1" applyBorder="1" applyAlignment="1">
      <alignment horizontal="center" vertical="center" wrapText="1"/>
    </xf>
    <xf numFmtId="171" fontId="23" fillId="0" borderId="0" xfId="0" applyNumberFormat="1" applyFont="1"/>
    <xf numFmtId="171" fontId="48" fillId="0" borderId="0" xfId="0" applyNumberFormat="1" applyFont="1"/>
    <xf numFmtId="171" fontId="7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Continuous" vertical="center"/>
    </xf>
    <xf numFmtId="1" fontId="100" fillId="3" borderId="0" xfId="4" applyNumberFormat="1" applyFont="1" applyFill="1" applyAlignment="1">
      <alignment horizontal="center"/>
    </xf>
    <xf numFmtId="0" fontId="100" fillId="3" borderId="0" xfId="4" applyFont="1" applyFill="1" applyAlignment="1">
      <alignment horizontal="center" vertical="center"/>
    </xf>
    <xf numFmtId="0" fontId="31" fillId="0" borderId="20" xfId="4" applyFont="1" applyBorder="1" applyAlignment="1">
      <alignment horizontal="left" vertical="center"/>
    </xf>
    <xf numFmtId="0" fontId="27" fillId="0" borderId="43" xfId="0" applyFont="1" applyBorder="1" applyAlignment="1">
      <alignment horizontal="center"/>
    </xf>
    <xf numFmtId="14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44" fontId="27" fillId="0" borderId="22" xfId="2" applyFont="1" applyFill="1" applyBorder="1" applyAlignment="1" applyProtection="1">
      <alignment horizontal="center"/>
    </xf>
    <xf numFmtId="0" fontId="58" fillId="3" borderId="20" xfId="4" applyFont="1" applyFill="1" applyBorder="1" applyAlignment="1">
      <alignment horizontal="left" vertical="center"/>
    </xf>
    <xf numFmtId="14" fontId="24" fillId="3" borderId="0" xfId="0" applyNumberFormat="1" applyFont="1" applyFill="1" applyAlignment="1">
      <alignment horizontal="center" vertical="center"/>
    </xf>
    <xf numFmtId="1" fontId="24" fillId="3" borderId="0" xfId="0" applyNumberFormat="1" applyFont="1" applyFill="1" applyAlignment="1">
      <alignment horizontal="center" vertical="center"/>
    </xf>
    <xf numFmtId="44" fontId="0" fillId="3" borderId="22" xfId="2" applyFont="1" applyFill="1" applyBorder="1" applyAlignment="1" applyProtection="1">
      <alignment horizontal="center"/>
    </xf>
    <xf numFmtId="166" fontId="31" fillId="3" borderId="20" xfId="5" applyFont="1" applyFill="1" applyBorder="1" applyProtection="1"/>
    <xf numFmtId="0" fontId="94" fillId="26" borderId="0" xfId="0" applyFont="1" applyFill="1" applyAlignment="1">
      <alignment horizontal="center" vertical="center" wrapText="1"/>
    </xf>
    <xf numFmtId="0" fontId="2" fillId="0" borderId="124" xfId="4" applyBorder="1" applyAlignment="1">
      <alignment horizontal="center"/>
    </xf>
    <xf numFmtId="0" fontId="2" fillId="0" borderId="58" xfId="4" applyBorder="1" applyAlignment="1">
      <alignment horizontal="center"/>
    </xf>
    <xf numFmtId="1" fontId="44" fillId="0" borderId="0" xfId="0" applyNumberFormat="1" applyFont="1" applyAlignment="1">
      <alignment horizontal="left" vertical="center" wrapText="1"/>
    </xf>
    <xf numFmtId="44" fontId="2" fillId="0" borderId="0" xfId="4" applyNumberFormat="1"/>
    <xf numFmtId="0" fontId="58" fillId="2" borderId="20" xfId="4" applyFont="1" applyFill="1" applyBorder="1" applyAlignment="1">
      <alignment horizontal="left" vertical="center"/>
    </xf>
    <xf numFmtId="0" fontId="0" fillId="2" borderId="43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24" fillId="2" borderId="0" xfId="0" applyNumberFormat="1" applyFont="1" applyFill="1" applyAlignment="1">
      <alignment horizontal="center" vertical="center"/>
    </xf>
    <xf numFmtId="1" fontId="24" fillId="2" borderId="0" xfId="0" applyNumberFormat="1" applyFont="1" applyFill="1" applyAlignment="1">
      <alignment horizontal="center" vertical="center"/>
    </xf>
    <xf numFmtId="44" fontId="0" fillId="2" borderId="22" xfId="2" applyFont="1" applyFill="1" applyBorder="1" applyAlignment="1" applyProtection="1">
      <alignment horizontal="center"/>
    </xf>
    <xf numFmtId="166" fontId="31" fillId="2" borderId="20" xfId="5" applyFont="1" applyFill="1" applyBorder="1" applyProtection="1"/>
    <xf numFmtId="166" fontId="31" fillId="2" borderId="20" xfId="5" applyFont="1" applyFill="1" applyBorder="1" applyAlignment="1" applyProtection="1">
      <alignment horizontal="center"/>
    </xf>
    <xf numFmtId="1" fontId="27" fillId="2" borderId="87" xfId="0" applyNumberFormat="1" applyFont="1" applyFill="1" applyBorder="1" applyAlignment="1">
      <alignment horizontal="center" vertical="center"/>
    </xf>
    <xf numFmtId="49" fontId="58" fillId="0" borderId="20" xfId="4" applyNumberFormat="1" applyFont="1" applyBorder="1" applyAlignment="1">
      <alignment horizontal="center" vertical="center"/>
    </xf>
    <xf numFmtId="49" fontId="24" fillId="0" borderId="20" xfId="1" applyNumberFormat="1" applyFont="1" applyFill="1" applyBorder="1" applyAlignment="1">
      <alignment horizontal="center" vertical="center" wrapText="1"/>
    </xf>
    <xf numFmtId="44" fontId="0" fillId="0" borderId="22" xfId="2" applyFont="1" applyFill="1" applyBorder="1" applyAlignment="1" applyProtection="1">
      <alignment horizontal="center"/>
    </xf>
    <xf numFmtId="0" fontId="13" fillId="0" borderId="21" xfId="2" applyNumberFormat="1" applyFont="1" applyBorder="1" applyAlignment="1">
      <alignment horizontal="center" vertical="center"/>
    </xf>
    <xf numFmtId="166" fontId="71" fillId="2" borderId="20" xfId="5" applyFont="1" applyFill="1" applyBorder="1" applyAlignment="1" applyProtection="1">
      <alignment horizontal="center"/>
    </xf>
    <xf numFmtId="17" fontId="105" fillId="0" borderId="0" xfId="0" applyNumberFormat="1" applyFont="1" applyAlignment="1">
      <alignment horizontal="center" vertical="center"/>
    </xf>
    <xf numFmtId="0" fontId="71" fillId="2" borderId="20" xfId="4" applyFont="1" applyFill="1" applyBorder="1" applyAlignment="1">
      <alignment horizontal="left" vertical="center"/>
    </xf>
    <xf numFmtId="0" fontId="67" fillId="2" borderId="43" xfId="0" applyFont="1" applyFill="1" applyBorder="1" applyAlignment="1">
      <alignment horizontal="center" vertical="center"/>
    </xf>
    <xf numFmtId="0" fontId="67" fillId="2" borderId="43" xfId="0" applyFont="1" applyFill="1" applyBorder="1" applyAlignment="1">
      <alignment horizontal="center"/>
    </xf>
    <xf numFmtId="0" fontId="67" fillId="2" borderId="0" xfId="0" applyFont="1" applyFill="1" applyAlignment="1">
      <alignment horizontal="center"/>
    </xf>
    <xf numFmtId="14" fontId="111" fillId="2" borderId="0" xfId="0" applyNumberFormat="1" applyFont="1" applyFill="1" applyAlignment="1">
      <alignment horizontal="center" vertical="center"/>
    </xf>
    <xf numFmtId="1" fontId="111" fillId="2" borderId="0" xfId="0" applyNumberFormat="1" applyFont="1" applyFill="1" applyAlignment="1">
      <alignment horizontal="center" vertical="center"/>
    </xf>
    <xf numFmtId="44" fontId="67" fillId="2" borderId="22" xfId="2" applyFont="1" applyFill="1" applyBorder="1" applyAlignment="1" applyProtection="1">
      <alignment horizontal="center"/>
    </xf>
    <xf numFmtId="166" fontId="71" fillId="2" borderId="20" xfId="5" applyFont="1" applyFill="1" applyBorder="1" applyProtection="1"/>
    <xf numFmtId="0" fontId="27" fillId="0" borderId="43" xfId="0" applyFont="1" applyBorder="1" applyAlignment="1">
      <alignment horizontal="center" vertical="center"/>
    </xf>
    <xf numFmtId="46" fontId="112" fillId="2" borderId="20" xfId="0" applyNumberFormat="1" applyFont="1" applyFill="1" applyBorder="1" applyAlignment="1">
      <alignment horizontal="center" vertical="center" wrapText="1"/>
    </xf>
    <xf numFmtId="9" fontId="93" fillId="0" borderId="0" xfId="0" applyNumberFormat="1" applyFont="1" applyAlignment="1">
      <alignment horizontal="left" vertical="center" wrapText="1"/>
    </xf>
    <xf numFmtId="4" fontId="24" fillId="0" borderId="0" xfId="0" applyNumberFormat="1" applyFont="1"/>
    <xf numFmtId="0" fontId="13" fillId="0" borderId="0" xfId="0" applyFont="1" applyAlignment="1">
      <alignment horizontal="left" wrapText="1"/>
    </xf>
    <xf numFmtId="0" fontId="106" fillId="3" borderId="0" xfId="4" applyFont="1" applyFill="1" applyAlignment="1">
      <alignment horizontal="left" wrapText="1"/>
    </xf>
    <xf numFmtId="0" fontId="35" fillId="0" borderId="0" xfId="0" applyFont="1" applyAlignment="1">
      <alignment horizontal="left" wrapText="1"/>
    </xf>
    <xf numFmtId="0" fontId="16" fillId="9" borderId="0" xfId="0" applyFont="1" applyFill="1" applyAlignment="1">
      <alignment horizontal="left" wrapText="1"/>
    </xf>
    <xf numFmtId="0" fontId="1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58" fillId="0" borderId="0" xfId="4" applyFont="1" applyAlignment="1">
      <alignment horizontal="left" vertical="center"/>
    </xf>
    <xf numFmtId="44" fontId="27" fillId="3" borderId="21" xfId="2" applyFont="1" applyFill="1" applyBorder="1" applyAlignment="1">
      <alignment vertical="center"/>
    </xf>
    <xf numFmtId="44" fontId="26" fillId="3" borderId="0" xfId="2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6" fontId="31" fillId="3" borderId="22" xfId="5" applyFont="1" applyFill="1" applyBorder="1" applyProtection="1"/>
    <xf numFmtId="166" fontId="31" fillId="3" borderId="20" xfId="5" applyFont="1" applyFill="1" applyBorder="1" applyAlignment="1" applyProtection="1">
      <alignment horizontal="center"/>
    </xf>
    <xf numFmtId="44" fontId="0" fillId="3" borderId="0" xfId="2" applyFont="1" applyFill="1"/>
    <xf numFmtId="0" fontId="0" fillId="3" borderId="0" xfId="2" applyNumberFormat="1" applyFont="1" applyFill="1"/>
    <xf numFmtId="0" fontId="58" fillId="3" borderId="20" xfId="4" applyNumberFormat="1" applyFont="1" applyFill="1" applyBorder="1" applyAlignment="1">
      <alignment horizontal="left" vertical="center"/>
    </xf>
    <xf numFmtId="166" fontId="31" fillId="3" borderId="21" xfId="5" applyFont="1" applyFill="1" applyBorder="1" applyProtection="1"/>
    <xf numFmtId="0" fontId="71" fillId="3" borderId="20" xfId="4" applyFont="1" applyFill="1" applyBorder="1" applyAlignment="1">
      <alignment horizontal="left" vertical="center"/>
    </xf>
    <xf numFmtId="0" fontId="67" fillId="3" borderId="43" xfId="0" applyFont="1" applyFill="1" applyBorder="1" applyAlignment="1">
      <alignment horizontal="center" vertical="center"/>
    </xf>
    <xf numFmtId="0" fontId="67" fillId="3" borderId="43" xfId="0" applyFont="1" applyFill="1" applyBorder="1" applyAlignment="1">
      <alignment horizontal="center"/>
    </xf>
    <xf numFmtId="14" fontId="111" fillId="3" borderId="0" xfId="0" applyNumberFormat="1" applyFont="1" applyFill="1" applyAlignment="1">
      <alignment horizontal="center" vertical="center"/>
    </xf>
    <xf numFmtId="1" fontId="111" fillId="3" borderId="0" xfId="0" applyNumberFormat="1" applyFont="1" applyFill="1" applyAlignment="1">
      <alignment horizontal="center" vertical="center"/>
    </xf>
    <xf numFmtId="44" fontId="67" fillId="3" borderId="22" xfId="2" applyFont="1" applyFill="1" applyBorder="1" applyAlignment="1" applyProtection="1">
      <alignment horizontal="center"/>
    </xf>
    <xf numFmtId="0" fontId="71" fillId="0" borderId="20" xfId="4" applyFont="1" applyBorder="1" applyAlignment="1">
      <alignment horizontal="left" vertical="center"/>
    </xf>
    <xf numFmtId="0" fontId="67" fillId="0" borderId="65" xfId="0" applyFont="1" applyBorder="1" applyAlignment="1">
      <alignment horizontal="center" vertical="center"/>
    </xf>
    <xf numFmtId="0" fontId="67" fillId="0" borderId="65" xfId="0" applyFont="1" applyBorder="1" applyAlignment="1">
      <alignment horizontal="center"/>
    </xf>
    <xf numFmtId="14" fontId="67" fillId="0" borderId="65" xfId="0" applyNumberFormat="1" applyFont="1" applyBorder="1" applyAlignment="1">
      <alignment horizontal="center"/>
    </xf>
    <xf numFmtId="14" fontId="111" fillId="0" borderId="0" xfId="0" applyNumberFormat="1" applyFont="1" applyAlignment="1">
      <alignment horizontal="center" vertical="center"/>
    </xf>
    <xf numFmtId="1" fontId="111" fillId="0" borderId="0" xfId="0" applyNumberFormat="1" applyFont="1" applyAlignment="1">
      <alignment horizontal="center" vertical="center"/>
    </xf>
    <xf numFmtId="44" fontId="67" fillId="0" borderId="22" xfId="2" applyFont="1" applyBorder="1" applyAlignment="1" applyProtection="1">
      <alignment horizontal="center"/>
    </xf>
    <xf numFmtId="43" fontId="0" fillId="5" borderId="21" xfId="1" applyFont="1" applyFill="1" applyBorder="1" applyAlignment="1">
      <alignment horizontal="center" vertical="center"/>
    </xf>
    <xf numFmtId="44" fontId="23" fillId="0" borderId="0" xfId="2" applyFont="1" applyFill="1" applyAlignment="1">
      <alignment horizontal="center"/>
    </xf>
    <xf numFmtId="44" fontId="0" fillId="0" borderId="0" xfId="2" applyFont="1" applyAlignment="1">
      <alignment horizontal="center"/>
    </xf>
    <xf numFmtId="0" fontId="48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9" fillId="0" borderId="20" xfId="0" applyFont="1" applyBorder="1" applyAlignment="1">
      <alignment horizontal="center" vertical="center" wrapText="1"/>
    </xf>
    <xf numFmtId="0" fontId="25" fillId="8" borderId="10" xfId="0" applyFont="1" applyFill="1" applyBorder="1" applyAlignment="1">
      <alignment horizontal="center"/>
    </xf>
    <xf numFmtId="0" fontId="25" fillId="8" borderId="11" xfId="0" applyFont="1" applyFill="1" applyBorder="1" applyAlignment="1">
      <alignment horizontal="center"/>
    </xf>
    <xf numFmtId="0" fontId="25" fillId="8" borderId="12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44" fontId="15" fillId="0" borderId="1" xfId="2" applyFont="1" applyFill="1" applyBorder="1" applyAlignment="1">
      <alignment horizontal="center" vertical="center" wrapText="1"/>
    </xf>
    <xf numFmtId="44" fontId="15" fillId="0" borderId="7" xfId="2" applyFont="1" applyFill="1" applyBorder="1" applyAlignment="1">
      <alignment horizontal="center" vertical="center" wrapText="1"/>
    </xf>
    <xf numFmtId="44" fontId="15" fillId="0" borderId="2" xfId="2" applyFont="1" applyFill="1" applyBorder="1" applyAlignment="1">
      <alignment horizontal="center" vertical="center" wrapText="1"/>
    </xf>
    <xf numFmtId="44" fontId="15" fillId="0" borderId="19" xfId="2" applyFont="1" applyFill="1" applyBorder="1" applyAlignment="1">
      <alignment horizontal="center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9" fontId="15" fillId="0" borderId="7" xfId="0" applyNumberFormat="1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5" fillId="17" borderId="7" xfId="0" applyFont="1" applyFill="1" applyBorder="1" applyAlignment="1">
      <alignment horizontal="center" vertical="center" wrapText="1"/>
    </xf>
    <xf numFmtId="0" fontId="43" fillId="0" borderId="5" xfId="0" applyFont="1" applyBorder="1" applyAlignment="1">
      <alignment horizontal="center"/>
    </xf>
    <xf numFmtId="44" fontId="25" fillId="7" borderId="10" xfId="2" applyFont="1" applyFill="1" applyBorder="1" applyAlignment="1">
      <alignment horizontal="center"/>
    </xf>
    <xf numFmtId="44" fontId="25" fillId="7" borderId="11" xfId="2" applyFont="1" applyFill="1" applyBorder="1" applyAlignment="1">
      <alignment horizontal="center"/>
    </xf>
    <xf numFmtId="44" fontId="25" fillId="7" borderId="12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171" fontId="20" fillId="0" borderId="1" xfId="0" applyNumberFormat="1" applyFont="1" applyBorder="1" applyAlignment="1">
      <alignment horizontal="center" vertical="center" wrapText="1"/>
    </xf>
    <xf numFmtId="171" fontId="20" fillId="0" borderId="7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54" fillId="0" borderId="5" xfId="0" applyFont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 wrapText="1"/>
    </xf>
    <xf numFmtId="0" fontId="15" fillId="17" borderId="19" xfId="0" applyFont="1" applyFill="1" applyBorder="1" applyAlignment="1">
      <alignment horizontal="center" vertical="center" wrapText="1"/>
    </xf>
    <xf numFmtId="170" fontId="54" fillId="0" borderId="5" xfId="0" applyNumberFormat="1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53" fillId="0" borderId="0" xfId="4" applyFont="1" applyAlignment="1">
      <alignment horizontal="right"/>
    </xf>
    <xf numFmtId="0" fontId="5" fillId="3" borderId="0" xfId="4" applyFont="1" applyFill="1" applyAlignment="1">
      <alignment horizontal="right"/>
    </xf>
    <xf numFmtId="0" fontId="5" fillId="3" borderId="0" xfId="4" applyFont="1" applyFill="1" applyAlignment="1">
      <alignment horizontal="center"/>
    </xf>
    <xf numFmtId="0" fontId="5" fillId="3" borderId="0" xfId="4" applyFont="1" applyFill="1" applyAlignment="1">
      <alignment horizontal="center" vertical="center"/>
    </xf>
    <xf numFmtId="0" fontId="53" fillId="0" borderId="0" xfId="4" applyFont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10" fillId="0" borderId="2" xfId="0" applyFont="1" applyBorder="1" applyAlignment="1">
      <alignment horizontal="center" vertical="center" wrapText="1"/>
    </xf>
    <xf numFmtId="0" fontId="110" fillId="0" borderId="19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44" fontId="26" fillId="0" borderId="1" xfId="2" applyFont="1" applyFill="1" applyBorder="1" applyAlignment="1">
      <alignment horizontal="center" vertical="center" wrapText="1"/>
    </xf>
    <xf numFmtId="44" fontId="26" fillId="0" borderId="7" xfId="2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7" borderId="0" xfId="0" applyFont="1" applyFill="1" applyAlignment="1">
      <alignment horizontal="center"/>
    </xf>
    <xf numFmtId="0" fontId="61" fillId="13" borderId="0" xfId="0" applyFont="1" applyFill="1" applyAlignment="1">
      <alignment horizontal="center" vertical="center"/>
    </xf>
    <xf numFmtId="0" fontId="45" fillId="7" borderId="0" xfId="0" applyFont="1" applyFill="1" applyAlignment="1">
      <alignment horizontal="center"/>
    </xf>
    <xf numFmtId="0" fontId="62" fillId="13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9" fontId="15" fillId="0" borderId="3" xfId="0" applyNumberFormat="1" applyFont="1" applyBorder="1" applyAlignment="1">
      <alignment horizontal="center" vertical="center" wrapText="1"/>
    </xf>
    <xf numFmtId="9" fontId="15" fillId="0" borderId="8" xfId="0" applyNumberFormat="1" applyFont="1" applyBorder="1" applyAlignment="1">
      <alignment horizontal="center" vertical="center" wrapText="1"/>
    </xf>
    <xf numFmtId="9" fontId="15" fillId="0" borderId="2" xfId="0" applyNumberFormat="1" applyFont="1" applyBorder="1" applyAlignment="1">
      <alignment horizontal="center" vertical="center" wrapText="1"/>
    </xf>
    <xf numFmtId="9" fontId="15" fillId="0" borderId="19" xfId="0" applyNumberFormat="1" applyFont="1" applyBorder="1" applyAlignment="1">
      <alignment horizontal="center" vertical="center" wrapText="1"/>
    </xf>
    <xf numFmtId="0" fontId="59" fillId="18" borderId="15" xfId="0" applyFont="1" applyFill="1" applyBorder="1" applyAlignment="1">
      <alignment horizontal="center" vertical="center"/>
    </xf>
    <xf numFmtId="0" fontId="59" fillId="18" borderId="17" xfId="0" applyFont="1" applyFill="1" applyBorder="1" applyAlignment="1">
      <alignment horizontal="center" vertical="center"/>
    </xf>
    <xf numFmtId="0" fontId="101" fillId="0" borderId="20" xfId="0" applyFont="1" applyBorder="1" applyAlignment="1">
      <alignment horizontal="left"/>
    </xf>
    <xf numFmtId="0" fontId="104" fillId="0" borderId="0" xfId="0" applyFont="1" applyAlignment="1">
      <alignment horizontal="center" vertical="center"/>
    </xf>
    <xf numFmtId="0" fontId="101" fillId="0" borderId="5" xfId="0" applyFont="1" applyBorder="1" applyAlignment="1">
      <alignment horizontal="left"/>
    </xf>
    <xf numFmtId="0" fontId="99" fillId="0" borderId="15" xfId="0" applyFont="1" applyBorder="1" applyAlignment="1">
      <alignment horizontal="left"/>
    </xf>
    <xf numFmtId="0" fontId="99" fillId="0" borderId="17" xfId="0" applyFont="1" applyBorder="1" applyAlignment="1">
      <alignment horizontal="left"/>
    </xf>
    <xf numFmtId="0" fontId="101" fillId="0" borderId="15" xfId="0" applyFont="1" applyBorder="1" applyAlignment="1">
      <alignment horizontal="left" vertical="center"/>
    </xf>
    <xf numFmtId="0" fontId="101" fillId="0" borderId="17" xfId="0" applyFont="1" applyBorder="1" applyAlignment="1">
      <alignment horizontal="left" vertical="center"/>
    </xf>
    <xf numFmtId="0" fontId="101" fillId="0" borderId="15" xfId="0" applyFont="1" applyBorder="1" applyAlignment="1">
      <alignment horizontal="left"/>
    </xf>
    <xf numFmtId="0" fontId="101" fillId="0" borderId="17" xfId="0" applyFont="1" applyBorder="1" applyAlignment="1">
      <alignment horizontal="left"/>
    </xf>
    <xf numFmtId="0" fontId="101" fillId="0" borderId="15" xfId="0" applyFont="1" applyBorder="1" applyAlignment="1">
      <alignment horizontal="center"/>
    </xf>
    <xf numFmtId="0" fontId="101" fillId="0" borderId="17" xfId="0" applyFont="1" applyBorder="1" applyAlignment="1">
      <alignment horizontal="center"/>
    </xf>
    <xf numFmtId="0" fontId="102" fillId="18" borderId="15" xfId="0" applyFont="1" applyFill="1" applyBorder="1" applyAlignment="1">
      <alignment horizontal="left" vertical="center"/>
    </xf>
    <xf numFmtId="0" fontId="102" fillId="18" borderId="17" xfId="0" applyFont="1" applyFill="1" applyBorder="1" applyAlignment="1">
      <alignment horizontal="left" vertical="center"/>
    </xf>
    <xf numFmtId="0" fontId="102" fillId="18" borderId="14" xfId="0" applyFont="1" applyFill="1" applyBorder="1" applyAlignment="1">
      <alignment horizontal="center" vertical="center"/>
    </xf>
    <xf numFmtId="0" fontId="102" fillId="18" borderId="69" xfId="0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5" xfId="0" applyFont="1" applyBorder="1" applyAlignment="1">
      <alignment horizontal="center" vertical="center"/>
    </xf>
    <xf numFmtId="171" fontId="0" fillId="0" borderId="5" xfId="0" applyNumberFormat="1" applyBorder="1" applyAlignment="1">
      <alignment horizontal="center"/>
    </xf>
    <xf numFmtId="44" fontId="0" fillId="0" borderId="5" xfId="2" applyFont="1" applyBorder="1" applyAlignment="1">
      <alignment horizontal="center"/>
    </xf>
    <xf numFmtId="0" fontId="76" fillId="21" borderId="49" xfId="0" applyFont="1" applyFill="1" applyBorder="1" applyAlignment="1">
      <alignment horizontal="center" vertical="center"/>
    </xf>
    <xf numFmtId="0" fontId="76" fillId="21" borderId="52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76" fillId="21" borderId="56" xfId="0" applyFont="1" applyFill="1" applyBorder="1" applyAlignment="1">
      <alignment horizontal="center" vertical="center"/>
    </xf>
    <xf numFmtId="0" fontId="76" fillId="21" borderId="58" xfId="0" applyFont="1" applyFill="1" applyBorder="1" applyAlignment="1">
      <alignment horizontal="center" vertical="center"/>
    </xf>
    <xf numFmtId="0" fontId="76" fillId="21" borderId="47" xfId="0" applyFont="1" applyFill="1" applyBorder="1" applyAlignment="1">
      <alignment horizontal="center" vertical="center"/>
    </xf>
    <xf numFmtId="0" fontId="73" fillId="21" borderId="10" xfId="0" applyFont="1" applyFill="1" applyBorder="1" applyAlignment="1">
      <alignment horizontal="center" vertical="center"/>
    </xf>
    <xf numFmtId="0" fontId="73" fillId="21" borderId="11" xfId="0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61" fillId="20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/>
    </xf>
    <xf numFmtId="9" fontId="18" fillId="12" borderId="33" xfId="3" applyFont="1" applyFill="1" applyBorder="1" applyAlignment="1">
      <alignment horizontal="center" vertical="center"/>
    </xf>
    <xf numFmtId="9" fontId="18" fillId="12" borderId="72" xfId="3" applyFont="1" applyFill="1" applyBorder="1" applyAlignment="1">
      <alignment horizontal="center" vertical="center"/>
    </xf>
    <xf numFmtId="9" fontId="18" fillId="12" borderId="34" xfId="3" applyFont="1" applyFill="1" applyBorder="1" applyAlignment="1">
      <alignment horizontal="center" vertical="center"/>
    </xf>
    <xf numFmtId="0" fontId="18" fillId="13" borderId="35" xfId="0" applyFont="1" applyFill="1" applyBorder="1" applyAlignment="1">
      <alignment horizontal="center" vertical="center" wrapText="1"/>
    </xf>
    <xf numFmtId="0" fontId="18" fillId="13" borderId="38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62" fillId="21" borderId="47" xfId="0" applyFont="1" applyFill="1" applyBorder="1" applyAlignment="1">
      <alignment horizontal="center" vertical="center"/>
    </xf>
    <xf numFmtId="0" fontId="62" fillId="21" borderId="48" xfId="0" applyFont="1" applyFill="1" applyBorder="1" applyAlignment="1">
      <alignment horizontal="center" vertical="center"/>
    </xf>
    <xf numFmtId="0" fontId="62" fillId="21" borderId="49" xfId="0" applyFont="1" applyFill="1" applyBorder="1" applyAlignment="1">
      <alignment horizontal="center" vertical="center"/>
    </xf>
    <xf numFmtId="0" fontId="62" fillId="21" borderId="50" xfId="0" applyFont="1" applyFill="1" applyBorder="1" applyAlignment="1">
      <alignment horizontal="center" vertical="center"/>
    </xf>
    <xf numFmtId="0" fontId="62" fillId="21" borderId="51" xfId="0" applyFont="1" applyFill="1" applyBorder="1" applyAlignment="1">
      <alignment horizontal="center" vertical="center"/>
    </xf>
    <xf numFmtId="0" fontId="62" fillId="21" borderId="52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right"/>
    </xf>
    <xf numFmtId="14" fontId="0" fillId="0" borderId="12" xfId="0" applyNumberFormat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167" fontId="0" fillId="0" borderId="10" xfId="6" applyFont="1" applyBorder="1" applyAlignment="1">
      <alignment horizontal="right" vertical="center"/>
    </xf>
    <xf numFmtId="167" fontId="0" fillId="0" borderId="12" xfId="6" applyFont="1" applyBorder="1" applyAlignment="1">
      <alignment horizontal="right" vertical="center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49" fontId="27" fillId="0" borderId="10" xfId="1" applyNumberFormat="1" applyFont="1" applyFill="1" applyBorder="1" applyAlignment="1">
      <alignment horizontal="right" vertical="center" wrapText="1"/>
    </xf>
    <xf numFmtId="49" fontId="27" fillId="0" borderId="12" xfId="1" applyNumberFormat="1" applyFont="1" applyFill="1" applyBorder="1" applyAlignment="1">
      <alignment horizontal="right" vertical="center" wrapText="1"/>
    </xf>
    <xf numFmtId="0" fontId="23" fillId="0" borderId="47" xfId="0" applyFont="1" applyBorder="1" applyAlignment="1">
      <alignment horizontal="left"/>
    </xf>
    <xf numFmtId="0" fontId="23" fillId="0" borderId="48" xfId="0" applyFont="1" applyBorder="1" applyAlignment="1">
      <alignment horizontal="left"/>
    </xf>
    <xf numFmtId="0" fontId="73" fillId="21" borderId="12" xfId="0" applyFont="1" applyFill="1" applyBorder="1" applyAlignment="1">
      <alignment horizontal="center" vertical="center"/>
    </xf>
    <xf numFmtId="0" fontId="23" fillId="0" borderId="54" xfId="0" applyFont="1" applyBorder="1" applyAlignment="1">
      <alignment horizontal="left"/>
    </xf>
    <xf numFmtId="0" fontId="23" fillId="0" borderId="55" xfId="0" applyFont="1" applyBorder="1" applyAlignment="1">
      <alignment horizontal="left"/>
    </xf>
    <xf numFmtId="0" fontId="23" fillId="0" borderId="10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62" fillId="21" borderId="53" xfId="0" applyFont="1" applyFill="1" applyBorder="1" applyAlignment="1">
      <alignment horizontal="center" vertical="center"/>
    </xf>
    <xf numFmtId="0" fontId="62" fillId="21" borderId="0" xfId="0" applyFont="1" applyFill="1" applyAlignment="1">
      <alignment horizontal="center" vertical="center"/>
    </xf>
    <xf numFmtId="0" fontId="62" fillId="21" borderId="18" xfId="0" applyFont="1" applyFill="1" applyBorder="1" applyAlignment="1">
      <alignment horizontal="center" vertical="center"/>
    </xf>
    <xf numFmtId="167" fontId="42" fillId="0" borderId="56" xfId="6" applyFont="1" applyFill="1" applyBorder="1" applyAlignment="1">
      <alignment horizontal="center" vertical="center"/>
    </xf>
    <xf numFmtId="167" fontId="42" fillId="0" borderId="57" xfId="6" applyFont="1" applyFill="1" applyBorder="1" applyAlignment="1">
      <alignment horizontal="center" vertical="center"/>
    </xf>
    <xf numFmtId="167" fontId="42" fillId="0" borderId="58" xfId="6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top"/>
    </xf>
    <xf numFmtId="14" fontId="23" fillId="0" borderId="12" xfId="0" applyNumberFormat="1" applyFont="1" applyBorder="1" applyAlignment="1">
      <alignment horizontal="center" vertical="top"/>
    </xf>
    <xf numFmtId="0" fontId="23" fillId="0" borderId="1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5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0" xfId="0" applyAlignment="1">
      <alignment horizontal="left"/>
    </xf>
    <xf numFmtId="9" fontId="18" fillId="12" borderId="33" xfId="3" applyFont="1" applyFill="1" applyBorder="1" applyAlignment="1" applyProtection="1">
      <alignment horizontal="center" vertical="center"/>
    </xf>
    <xf numFmtId="9" fontId="18" fillId="12" borderId="34" xfId="3" applyFont="1" applyFill="1" applyBorder="1" applyAlignment="1" applyProtection="1">
      <alignment horizontal="center" vertical="center"/>
    </xf>
    <xf numFmtId="0" fontId="98" fillId="15" borderId="13" xfId="0" applyFont="1" applyFill="1" applyBorder="1" applyAlignment="1">
      <alignment horizontal="center" vertical="center" wrapText="1"/>
    </xf>
    <xf numFmtId="0" fontId="63" fillId="13" borderId="0" xfId="4" applyFont="1" applyFill="1" applyAlignment="1">
      <alignment horizontal="center"/>
    </xf>
    <xf numFmtId="0" fontId="36" fillId="11" borderId="0" xfId="0" applyFont="1" applyFill="1" applyAlignment="1">
      <alignment horizontal="center" vertical="center"/>
    </xf>
    <xf numFmtId="0" fontId="64" fillId="20" borderId="0" xfId="0" applyFont="1" applyFill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14" fontId="27" fillId="0" borderId="10" xfId="1" applyNumberFormat="1" applyFont="1" applyFill="1" applyBorder="1" applyAlignment="1">
      <alignment horizontal="right" vertical="center" wrapText="1"/>
    </xf>
    <xf numFmtId="14" fontId="27" fillId="0" borderId="12" xfId="1" applyNumberFormat="1" applyFont="1" applyFill="1" applyBorder="1" applyAlignment="1">
      <alignment horizontal="right" vertical="center" wrapText="1"/>
    </xf>
    <xf numFmtId="1" fontId="0" fillId="0" borderId="10" xfId="0" applyNumberForma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0" fontId="85" fillId="0" borderId="0" xfId="9" applyFont="1" applyAlignment="1">
      <alignment horizontal="center" vertical="center" wrapText="1" readingOrder="1"/>
    </xf>
    <xf numFmtId="0" fontId="89" fillId="0" borderId="108" xfId="0" applyFont="1" applyBorder="1" applyAlignment="1">
      <alignment horizontal="right" vertical="center" wrapText="1" readingOrder="1"/>
    </xf>
    <xf numFmtId="0" fontId="90" fillId="0" borderId="109" xfId="0" applyFont="1" applyBorder="1" applyAlignment="1">
      <alignment vertical="top" wrapText="1"/>
    </xf>
  </cellXfs>
  <cellStyles count="11">
    <cellStyle name="Millares" xfId="1" builtinId="3"/>
    <cellStyle name="Moneda" xfId="2" builtinId="4"/>
    <cellStyle name="Moneda 2" xfId="5" xr:uid="{A279680B-9481-4171-A1C0-1FE14EBA60C4}"/>
    <cellStyle name="Moneda 2 2" xfId="6" xr:uid="{45DFC95B-E116-4A3D-8FBA-F30662C8D2A2}"/>
    <cellStyle name="Moneda 3" xfId="8" xr:uid="{2377EE8D-DB1C-4BFC-B0D0-A179831C867B}"/>
    <cellStyle name="Moneda 4" xfId="10" xr:uid="{FE5FD950-C8A1-4A42-B4FE-0667AB22DBC8}"/>
    <cellStyle name="Normal" xfId="0" builtinId="0"/>
    <cellStyle name="Normal 2" xfId="4" xr:uid="{00000000-0005-0000-0000-000003000000}"/>
    <cellStyle name="Normal 3" xfId="7" xr:uid="{953B486B-1339-451D-9802-26C2B5D00D90}"/>
    <cellStyle name="Normal 4" xfId="9" xr:uid="{6D9C4DE4-014C-483C-9159-538183BF16C0}"/>
    <cellStyle name="Porcentaje" xfId="3" builtinId="5"/>
  </cellStyles>
  <dxfs count="103">
    <dxf>
      <font>
        <b/>
        <i val="0"/>
        <color theme="5" tint="-0.24994659260841701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FF8B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4" formatCode="_ &quot;$&quot;* #,##0.00_ ;_ &quot;$&quot;* \-#,##0.00_ ;_ &quot;$&quot;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protection locked="1" hidden="0"/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4" formatCode="_ &quot;$&quot;* #,##0.00_ ;_ &quot;$&quot;* \-#,##0.00_ ;_ &quot;$&quot;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4" formatCode="_ &quot;$&quot;* #,##0.00_ ;_ &quot;$&quot;* \-#,##0.00_ ;_ &quot;$&quot;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4" formatCode="_ &quot;$&quot;* #,##0.00_ ;_ &quot;$&quot;* \-#,##0.00_ ;_ &quot;$&quot;* &quot;-&quot;??_ ;_ @_ "/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medium">
          <color theme="0" tint="-0.499984740745262"/>
        </top>
      </border>
    </dxf>
    <dxf>
      <border diagonalUp="0" diagonalDown="0">
        <left style="medium">
          <color theme="0" tint="-0.499984740745262"/>
        </left>
        <right style="medium">
          <color theme="0" tint="-0.499984740745262"/>
        </right>
        <top/>
        <bottom/>
        <vertical style="medium">
          <color theme="0" tint="-0.499984740745262"/>
        </vertical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26862F"/>
      <color rgb="FF266624"/>
      <color rgb="FF345525"/>
      <color rgb="FFD363BB"/>
      <color rgb="FF3D5E2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10.png"/><Relationship Id="rId1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3" Type="http://schemas.microsoft.com/office/2007/relationships/hdphoto" Target="../media/hdphoto3.wdp"/><Relationship Id="rId2" Type="http://schemas.openxmlformats.org/officeDocument/2006/relationships/image" Target="../media/image11.png"/><Relationship Id="rId1" Type="http://schemas.openxmlformats.org/officeDocument/2006/relationships/image" Target="../media/image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17</xdr:row>
      <xdr:rowOff>130629</xdr:rowOff>
    </xdr:from>
    <xdr:to>
      <xdr:col>9</xdr:col>
      <xdr:colOff>185057</xdr:colOff>
      <xdr:row>24</xdr:row>
      <xdr:rowOff>21772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05C3AEE-5CDC-FF83-DAB7-208469CEC768}"/>
            </a:ext>
          </a:extLst>
        </xdr:cNvPr>
        <xdr:cNvSpPr txBox="1"/>
      </xdr:nvSpPr>
      <xdr:spPr>
        <a:xfrm>
          <a:off x="2439761" y="17907000"/>
          <a:ext cx="2469696" cy="1883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TNLGO.</a:t>
          </a:r>
          <a:r>
            <a:rPr lang="es-EC" sz="1200" b="1" baseline="0">
              <a:latin typeface="Baskerville Old Face" panose="02020602080505020303" pitchFamily="18" charset="0"/>
            </a:rPr>
            <a:t> JOSÉ LLUMI GUAMBO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PDTE. CONSEJO ADMINISTRACIÓN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12</xdr:col>
      <xdr:colOff>372834</xdr:colOff>
      <xdr:row>16</xdr:row>
      <xdr:rowOff>40822</xdr:rowOff>
    </xdr:from>
    <xdr:to>
      <xdr:col>17</xdr:col>
      <xdr:colOff>576942</xdr:colOff>
      <xdr:row>22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C2A3B5C-DCAB-400F-B981-A59DFF7EB58C}"/>
            </a:ext>
          </a:extLst>
        </xdr:cNvPr>
        <xdr:cNvSpPr txBox="1"/>
      </xdr:nvSpPr>
      <xdr:spPr>
        <a:xfrm>
          <a:off x="7668984" y="17928772"/>
          <a:ext cx="3737883" cy="1483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ING.</a:t>
          </a:r>
          <a:r>
            <a:rPr lang="es-EC" sz="1200" b="1" baseline="0">
              <a:latin typeface="Baskerville Old Face" panose="02020602080505020303" pitchFamily="18" charset="0"/>
            </a:rPr>
            <a:t> ALFREDO PILATAXI Y.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GERENTE GENERAL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20</xdr:col>
      <xdr:colOff>618315</xdr:colOff>
      <xdr:row>16</xdr:row>
      <xdr:rowOff>40821</xdr:rowOff>
    </xdr:from>
    <xdr:to>
      <xdr:col>28</xdr:col>
      <xdr:colOff>685809</xdr:colOff>
      <xdr:row>22</xdr:row>
      <xdr:rowOff>171450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EEB2DD2-8B20-4F35-BC92-08BE203E1226}"/>
            </a:ext>
          </a:extLst>
        </xdr:cNvPr>
        <xdr:cNvSpPr txBox="1"/>
      </xdr:nvSpPr>
      <xdr:spPr>
        <a:xfrm>
          <a:off x="17572815" y="17528721"/>
          <a:ext cx="3763194" cy="1502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CPA.</a:t>
          </a:r>
          <a:r>
            <a:rPr lang="es-EC" sz="1200" b="1" baseline="0">
              <a:latin typeface="Baskerville Old Face" panose="02020602080505020303" pitchFamily="18" charset="0"/>
            </a:rPr>
            <a:t> MA. TERESA YUNDA C.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CONTADORA GENERAL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32</xdr:col>
      <xdr:colOff>419100</xdr:colOff>
      <xdr:row>16</xdr:row>
      <xdr:rowOff>38100</xdr:rowOff>
    </xdr:from>
    <xdr:to>
      <xdr:col>36</xdr:col>
      <xdr:colOff>1028700</xdr:colOff>
      <xdr:row>22</xdr:row>
      <xdr:rowOff>171450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786E03E-F5DF-4BC5-BD2B-2476A77B1D12}"/>
            </a:ext>
          </a:extLst>
        </xdr:cNvPr>
        <xdr:cNvSpPr txBox="1"/>
      </xdr:nvSpPr>
      <xdr:spPr>
        <a:xfrm>
          <a:off x="24060150" y="17526000"/>
          <a:ext cx="3733800" cy="150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ING.</a:t>
          </a:r>
          <a:r>
            <a:rPr lang="es-EC" sz="1200" b="1" baseline="0">
              <a:latin typeface="Baskerville Old Face" panose="02020602080505020303" pitchFamily="18" charset="0"/>
            </a:rPr>
            <a:t> MAGALY MOROCHO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TALENTO HUMANO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40</xdr:col>
      <xdr:colOff>1080654</xdr:colOff>
      <xdr:row>0</xdr:row>
      <xdr:rowOff>0</xdr:rowOff>
    </xdr:from>
    <xdr:to>
      <xdr:col>40</xdr:col>
      <xdr:colOff>1918447</xdr:colOff>
      <xdr:row>3</xdr:row>
      <xdr:rowOff>83128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188843B-8836-4AF9-A677-7928952DF40F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0707" r="80821" b="25679"/>
        <a:stretch/>
      </xdr:blipFill>
      <xdr:spPr>
        <a:xfrm>
          <a:off x="31704089" y="0"/>
          <a:ext cx="837793" cy="773410"/>
        </a:xfrm>
        <a:prstGeom prst="rect">
          <a:avLst/>
        </a:prstGeom>
      </xdr:spPr>
    </xdr:pic>
    <xdr:clientData/>
  </xdr:twoCellAnchor>
  <xdr:twoCellAnchor>
    <xdr:from>
      <xdr:col>6</xdr:col>
      <xdr:colOff>564077</xdr:colOff>
      <xdr:row>0</xdr:row>
      <xdr:rowOff>0</xdr:rowOff>
    </xdr:from>
    <xdr:to>
      <xdr:col>8</xdr:col>
      <xdr:colOff>1921</xdr:colOff>
      <xdr:row>3</xdr:row>
      <xdr:rowOff>83128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146921A3-C207-4E22-8CC1-00D28D785C55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0707" r="81510" b="25679"/>
        <a:stretch/>
      </xdr:blipFill>
      <xdr:spPr>
        <a:xfrm>
          <a:off x="7313220" y="0"/>
          <a:ext cx="798558" cy="779814"/>
        </a:xfrm>
        <a:prstGeom prst="rect">
          <a:avLst/>
        </a:prstGeom>
      </xdr:spPr>
    </xdr:pic>
    <xdr:clientData/>
  </xdr:twoCellAnchor>
  <xdr:twoCellAnchor editAs="oneCell">
    <xdr:from>
      <xdr:col>22</xdr:col>
      <xdr:colOff>301174</xdr:colOff>
      <xdr:row>112</xdr:row>
      <xdr:rowOff>68944</xdr:rowOff>
    </xdr:from>
    <xdr:to>
      <xdr:col>27</xdr:col>
      <xdr:colOff>224588</xdr:colOff>
      <xdr:row>119</xdr:row>
      <xdr:rowOff>23889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0BB92B1-69ED-46AB-A824-72B6BEDA5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64934" y="35593384"/>
          <a:ext cx="4798037" cy="12351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62752</xdr:colOff>
      <xdr:row>4</xdr:row>
      <xdr:rowOff>35858</xdr:rowOff>
    </xdr:from>
    <xdr:to>
      <xdr:col>16</xdr:col>
      <xdr:colOff>396055</xdr:colOff>
      <xdr:row>7</xdr:row>
      <xdr:rowOff>105245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AB9998-462D-E6EF-E039-EDBA18A09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9764" y="842682"/>
          <a:ext cx="5066667" cy="723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252454</xdr:colOff>
      <xdr:row>3</xdr:row>
      <xdr:rowOff>41744</xdr:rowOff>
    </xdr:from>
    <xdr:to>
      <xdr:col>4</xdr:col>
      <xdr:colOff>700047</xdr:colOff>
      <xdr:row>5</xdr:row>
      <xdr:rowOff>108004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66A12-A0FE-4379-B13B-F62878D035D8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8780" b="31140"/>
        <a:stretch/>
      </xdr:blipFill>
      <xdr:spPr>
        <a:xfrm>
          <a:off x="374374" y="498944"/>
          <a:ext cx="2977433" cy="424400"/>
        </a:xfrm>
        <a:prstGeom prst="rect">
          <a:avLst/>
        </a:prstGeom>
      </xdr:spPr>
    </xdr:pic>
    <xdr:clientData/>
  </xdr:twoCellAnchor>
  <xdr:twoCellAnchor>
    <xdr:from>
      <xdr:col>5</xdr:col>
      <xdr:colOff>523461</xdr:colOff>
      <xdr:row>29</xdr:row>
      <xdr:rowOff>105237</xdr:rowOff>
    </xdr:from>
    <xdr:to>
      <xdr:col>7</xdr:col>
      <xdr:colOff>520343</xdr:colOff>
      <xdr:row>29</xdr:row>
      <xdr:rowOff>105627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3FC18F2A-32BF-4D96-8693-765BCEF333EF}"/>
            </a:ext>
          </a:extLst>
        </xdr:cNvPr>
        <xdr:cNvCxnSpPr/>
      </xdr:nvCxnSpPr>
      <xdr:spPr>
        <a:xfrm flipV="1">
          <a:off x="3912120" y="5304766"/>
          <a:ext cx="1610529" cy="3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229496</xdr:colOff>
      <xdr:row>28</xdr:row>
      <xdr:rowOff>47514</xdr:rowOff>
    </xdr:from>
    <xdr:to>
      <xdr:col>3</xdr:col>
      <xdr:colOff>308629</xdr:colOff>
      <xdr:row>29</xdr:row>
      <xdr:rowOff>152141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982006-6056-559C-1646-D2F581C42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16" y="4870974"/>
          <a:ext cx="1359293" cy="424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252454</xdr:colOff>
      <xdr:row>3</xdr:row>
      <xdr:rowOff>41744</xdr:rowOff>
    </xdr:from>
    <xdr:to>
      <xdr:col>4</xdr:col>
      <xdr:colOff>700047</xdr:colOff>
      <xdr:row>5</xdr:row>
      <xdr:rowOff>108004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C5C527-6004-4908-A0FB-AFD5637D4A37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8780" b="31140"/>
        <a:stretch/>
      </xdr:blipFill>
      <xdr:spPr>
        <a:xfrm>
          <a:off x="374374" y="498944"/>
          <a:ext cx="2977433" cy="424400"/>
        </a:xfrm>
        <a:prstGeom prst="rect">
          <a:avLst/>
        </a:prstGeom>
      </xdr:spPr>
    </xdr:pic>
    <xdr:clientData/>
  </xdr:twoCellAnchor>
  <xdr:twoCellAnchor>
    <xdr:from>
      <xdr:col>5</xdr:col>
      <xdr:colOff>523461</xdr:colOff>
      <xdr:row>29</xdr:row>
      <xdr:rowOff>105237</xdr:rowOff>
    </xdr:from>
    <xdr:to>
      <xdr:col>7</xdr:col>
      <xdr:colOff>520343</xdr:colOff>
      <xdr:row>29</xdr:row>
      <xdr:rowOff>105627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CE07BBE-1245-465F-BA5F-CA65655E384A}"/>
            </a:ext>
          </a:extLst>
        </xdr:cNvPr>
        <xdr:cNvCxnSpPr/>
      </xdr:nvCxnSpPr>
      <xdr:spPr>
        <a:xfrm flipV="1">
          <a:off x="3914361" y="5248737"/>
          <a:ext cx="1612322" cy="3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229496</xdr:colOff>
      <xdr:row>28</xdr:row>
      <xdr:rowOff>62754</xdr:rowOff>
    </xdr:from>
    <xdr:to>
      <xdr:col>3</xdr:col>
      <xdr:colOff>308629</xdr:colOff>
      <xdr:row>30</xdr:row>
      <xdr:rowOff>14981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6E54F6-EB33-4A9A-8AB5-92DB67B09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16" y="4886214"/>
          <a:ext cx="1359293" cy="424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5890FD8F-3C0C-413D-868B-B06D2E3C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7A719965-1CC7-4173-8A7F-70B2274E6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E3E03AF5-3030-46DB-9715-1312D16E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56CC4467-2C21-4EC9-9CF6-0BA0B0933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457200</xdr:colOff>
      <xdr:row>15</xdr:row>
      <xdr:rowOff>91440</xdr:rowOff>
    </xdr:from>
    <xdr:to>
      <xdr:col>25</xdr:col>
      <xdr:colOff>199105</xdr:colOff>
      <xdr:row>26</xdr:row>
      <xdr:rowOff>45899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67F7FF-31A9-48EB-9713-ACBDD1A5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7740" y="2522220"/>
          <a:ext cx="11370025" cy="2065199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0</xdr:row>
      <xdr:rowOff>0</xdr:rowOff>
    </xdr:from>
    <xdr:to>
      <xdr:col>24</xdr:col>
      <xdr:colOff>374375</xdr:colOff>
      <xdr:row>30</xdr:row>
      <xdr:rowOff>69037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7DA39F-17E4-48D0-9AF7-FAC6A3033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6220" y="0"/>
          <a:ext cx="11484335" cy="52734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7C4DD8F2-CEC1-4D5E-B41B-5DA646C83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457200</xdr:colOff>
      <xdr:row>15</xdr:row>
      <xdr:rowOff>91440</xdr:rowOff>
    </xdr:from>
    <xdr:to>
      <xdr:col>25</xdr:col>
      <xdr:colOff>199105</xdr:colOff>
      <xdr:row>26</xdr:row>
      <xdr:rowOff>45899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994E21-13B5-459C-A35A-120EDFCAE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7740" y="2522220"/>
          <a:ext cx="11370025" cy="2065199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0</xdr:row>
      <xdr:rowOff>0</xdr:rowOff>
    </xdr:from>
    <xdr:to>
      <xdr:col>24</xdr:col>
      <xdr:colOff>374375</xdr:colOff>
      <xdr:row>30</xdr:row>
      <xdr:rowOff>69037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F8BDE4-BDDF-49B0-BAA6-234ACF601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6220" y="0"/>
          <a:ext cx="11484335" cy="527349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AAF83FC5-36AF-4CAD-9836-83972F584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AAC6A25B-4413-40DD-A9DC-3181046A5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421369</xdr:colOff>
      <xdr:row>1</xdr:row>
      <xdr:rowOff>247636</xdr:rowOff>
    </xdr:from>
    <xdr:to>
      <xdr:col>11</xdr:col>
      <xdr:colOff>62456</xdr:colOff>
      <xdr:row>1</xdr:row>
      <xdr:rowOff>965462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41DB99-EB80-4C6B-A55F-C6851794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8289" y="460996"/>
          <a:ext cx="5729467" cy="71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42809</xdr:colOff>
      <xdr:row>1</xdr:row>
      <xdr:rowOff>19050</xdr:rowOff>
    </xdr:from>
    <xdr:to>
      <xdr:col>2</xdr:col>
      <xdr:colOff>770240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02D4D-00C3-4187-942D-A7974AA69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820" y="190286"/>
          <a:ext cx="1129836" cy="6925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</xdr:colOff>
      <xdr:row>0</xdr:row>
      <xdr:rowOff>76200</xdr:rowOff>
    </xdr:from>
    <xdr:to>
      <xdr:col>6</xdr:col>
      <xdr:colOff>114300</xdr:colOff>
      <xdr:row>5</xdr:row>
      <xdr:rowOff>61380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AE277C8F-E31E-4860-9678-FD475A231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" y="76200"/>
          <a:ext cx="5379720" cy="680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421369</xdr:colOff>
      <xdr:row>1</xdr:row>
      <xdr:rowOff>247636</xdr:rowOff>
    </xdr:from>
    <xdr:to>
      <xdr:col>11</xdr:col>
      <xdr:colOff>62456</xdr:colOff>
      <xdr:row>1</xdr:row>
      <xdr:rowOff>965462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176F74-CC7F-4973-BD80-B07F429F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8289" y="460996"/>
          <a:ext cx="5729467" cy="71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65821</xdr:colOff>
      <xdr:row>39</xdr:row>
      <xdr:rowOff>102548</xdr:rowOff>
    </xdr:from>
    <xdr:to>
      <xdr:col>6</xdr:col>
      <xdr:colOff>167056</xdr:colOff>
      <xdr:row>42</xdr:row>
      <xdr:rowOff>65378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8322D7-380F-19EB-9F15-5510F89D9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211" b="99342" l="9823" r="92497">
                      <a14:foregroundMark x1="14188" y1="29605" x2="17190" y2="50658"/>
                      <a14:foregroundMark x1="17599" y1="34211" x2="46521" y2="73684"/>
                      <a14:foregroundMark x1="55389" y1="32895" x2="75853" y2="74342"/>
                      <a14:foregroundMark x1="75853" y1="74342" x2="89495" y2="77632"/>
                      <a14:foregroundMark x1="75716" y1="45395" x2="54980" y2="60526"/>
                      <a14:foregroundMark x1="54980" y1="60526" x2="92087" y2="71053"/>
                      <a14:foregroundMark x1="14052" y1="30263" x2="15143" y2="77632"/>
                      <a14:foregroundMark x1="81992" y1="41447" x2="90723" y2="71053"/>
                      <a14:foregroundMark x1="88131" y1="55263" x2="92633" y2="73684"/>
                      <a14:foregroundMark x1="30559" y1="86842" x2="31105" y2="98684"/>
                      <a14:foregroundMark x1="31378" y1="86184" x2="31787" y2="99342"/>
                      <a14:foregroundMark x1="41473" y1="66447" x2="55662" y2="34868"/>
                      <a14:foregroundMark x1="77080" y1="46053" x2="87858" y2="51974"/>
                      <a14:foregroundMark x1="14188" y1="30263" x2="15143" y2="7697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00809" y="9757536"/>
          <a:ext cx="2243800" cy="50071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421369</xdr:colOff>
      <xdr:row>1</xdr:row>
      <xdr:rowOff>247636</xdr:rowOff>
    </xdr:from>
    <xdr:to>
      <xdr:col>11</xdr:col>
      <xdr:colOff>62456</xdr:colOff>
      <xdr:row>1</xdr:row>
      <xdr:rowOff>965462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2CE30C-1BB2-47D9-A11A-93D19699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529" y="460996"/>
          <a:ext cx="6057127" cy="71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285873</xdr:colOff>
      <xdr:row>38</xdr:row>
      <xdr:rowOff>93785</xdr:rowOff>
    </xdr:from>
    <xdr:to>
      <xdr:col>5</xdr:col>
      <xdr:colOff>518631</xdr:colOff>
      <xdr:row>42</xdr:row>
      <xdr:rowOff>108608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978A10-4110-FB81-6908-B5737078B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35" b="93805" l="4714" r="89899">
                      <a14:foregroundMark x1="30976" y1="31858" x2="65320" y2="74336"/>
                      <a14:foregroundMark x1="65320" y1="74336" x2="29293" y2="70796"/>
                      <a14:foregroundMark x1="29293" y1="70796" x2="30640" y2="40708"/>
                      <a14:foregroundMark x1="31313" y1="30973" x2="66330" y2="66372"/>
                      <a14:foregroundMark x1="66330" y1="66372" x2="53464" y2="80864"/>
                      <a14:foregroundMark x1="4714" y1="65487" x2="21549" y2="65487"/>
                      <a14:foregroundMark x1="6397" y1="62832" x2="31650" y2="61062"/>
                      <a14:foregroundMark x1="12458" y1="61062" x2="37037" y2="59292"/>
                      <a14:foregroundMark x1="9428" y1="60177" x2="29293" y2="52212"/>
                      <a14:foregroundMark x1="10438" y1="58407" x2="5724" y2="64602"/>
                      <a14:foregroundMark x1="9091" y1="76106" x2="27716" y2="80111"/>
                      <a14:foregroundMark x1="20539" y1="83186" x2="13131" y2="93805"/>
                      <a14:foregroundMark x1="7407" y1="64602" x2="11785" y2="58407"/>
                      <a14:foregroundMark x1="28283" y1="46903" x2="28283" y2="46903"/>
                      <a14:foregroundMark x1="31650" y1="29204" x2="30640" y2="46018"/>
                      <a14:foregroundMark x1="30640" y1="37168" x2="28956" y2="44248"/>
                      <a14:foregroundMark x1="30640" y1="35398" x2="36027" y2="36283"/>
                      <a14:foregroundMark x1="33588" y1="24023" x2="34343" y2="30973"/>
                      <a14:foregroundMark x1="34046" y1="22394" x2="35690" y2="33628"/>
                      <a14:foregroundMark x1="34343" y1="21239" x2="35017" y2="28319"/>
                      <a14:foregroundMark x1="68013" y1="66372" x2="70034" y2="72566"/>
                      <a14:foregroundMark x1="34680" y1="21239" x2="33495" y2="24354"/>
                      <a14:foregroundMark x1="31779" y1="29094" x2="31650" y2="34513"/>
                      <a14:foregroundMark x1="35017" y1="21239" x2="35354" y2="31858"/>
                      <a14:foregroundMark x1="30672" y1="28448" x2="30640" y2="29204"/>
                      <a14:backgroundMark x1="18855" y1="15929" x2="29966" y2="13274"/>
                      <a14:backgroundMark x1="32660" y1="14159" x2="32997" y2="17699"/>
                      <a14:backgroundMark x1="35017" y1="15044" x2="35017" y2="15044"/>
                      <a14:backgroundMark x1="33333" y1="12389" x2="36364" y2="14159"/>
                      <a14:backgroundMark x1="56902" y1="92035" x2="49158" y2="99115"/>
                      <a14:backgroundMark x1="24579" y1="92035" x2="46128" y2="99115"/>
                    </a14:backgroundRemoval>
                  </a14:imgEffect>
                </a14:imgLayer>
              </a14:imgProps>
            </a:ext>
          </a:extLst>
        </a:blip>
        <a:srcRect r="8146"/>
        <a:stretch/>
      </xdr:blipFill>
      <xdr:spPr>
        <a:xfrm>
          <a:off x="2325688" y="9659816"/>
          <a:ext cx="1815374" cy="7416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544286</xdr:colOff>
      <xdr:row>56</xdr:row>
      <xdr:rowOff>111034</xdr:rowOff>
    </xdr:from>
    <xdr:to>
      <xdr:col>4</xdr:col>
      <xdr:colOff>617220</xdr:colOff>
      <xdr:row>56</xdr:row>
      <xdr:rowOff>706482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A0CC90BE-7921-4C16-8F1C-682D33B2DBD2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5312" r="2313" b="28750"/>
        <a:stretch/>
      </xdr:blipFill>
      <xdr:spPr>
        <a:xfrm>
          <a:off x="1153886" y="17147177"/>
          <a:ext cx="4851763" cy="5954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12</xdr:col>
      <xdr:colOff>35596</xdr:colOff>
      <xdr:row>15</xdr:row>
      <xdr:rowOff>131291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279274-9C0B-4C20-B83B-1BB317AF9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4880" y="1645920"/>
          <a:ext cx="4790476" cy="122857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297179</xdr:colOff>
      <xdr:row>1</xdr:row>
      <xdr:rowOff>144780</xdr:rowOff>
    </xdr:from>
    <xdr:to>
      <xdr:col>3</xdr:col>
      <xdr:colOff>784860</xdr:colOff>
      <xdr:row>4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30188-2A54-40A2-8D22-F6CCF3089954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0707" r="80821" b="25679"/>
        <a:stretch/>
      </xdr:blipFill>
      <xdr:spPr>
        <a:xfrm>
          <a:off x="2278379" y="327660"/>
          <a:ext cx="487681" cy="533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4.530997800925" createdVersion="8" refreshedVersion="8" minRefreshableVersion="3" recordCount="20" xr:uid="{513E9E2F-8368-407E-9781-3AA767FA32B0}">
  <cacheSource type="worksheet">
    <worksheetSource ref="B7:F29" sheet="PQ"/>
  </cacheSource>
  <cacheFields count="5">
    <cacheField name="NO" numFmtId="0">
      <sharedItems containsString="0" containsBlank="1" containsNumber="1" containsInteger="1" minValue="1" maxValue="19"/>
    </cacheField>
    <cacheField name="CEDULA" numFmtId="164">
      <sharedItems containsBlank="1" containsMixedTypes="1" containsNumber="1" containsInteger="1" minValue="918741448" maxValue="1750873604"/>
    </cacheField>
    <cacheField name="NOMBRES Y APELLIDOS" numFmtId="0">
      <sharedItems containsBlank="1" count="14">
        <s v="GARCIA VERA HENRY LUIS"/>
        <s v="GUAYANLEMA RUIZ EDINSON DAVID"/>
        <s v="MALAN DELGADO JOSE ALBERTO"/>
        <s v="MARSHALL VEGA YULIANA LISSETT"/>
        <s v="MOREIRA ESPINOZA LINDA ELIZABETH"/>
        <s v="PERALTA MENDEZ LINA LISSETTE"/>
        <s v="RECALDE NARANJO ANGEL ALEXIS"/>
        <s v="SANISACA MITE ISRAEL BENJAMIN"/>
        <s v="TADAY GUAMAN NESTOR ALONSO"/>
        <s v="DEFAS CHICAIZA JOEL ALBERTO"/>
        <s v="MUÑOZ MOLINA VERONICA PATRICIA"/>
        <m/>
        <s v="VERA GUEVARA PAOLA KARINA" u="1"/>
        <s v="BARAHONA ZAMBRANO DAYANA NICOLE" u="1"/>
      </sharedItems>
    </cacheField>
    <cacheField name="NUT" numFmtId="168">
      <sharedItems containsString="0" containsBlank="1" containsNumber="1" containsInteger="1" minValue="9936669" maxValue="18644981"/>
    </cacheField>
    <cacheField name="VALOR" numFmtId="44">
      <sharedItems containsString="0" containsBlank="1" containsNumber="1" minValue="10.97" maxValue="261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0950929232"/>
    <x v="0"/>
    <n v="14750228"/>
    <n v="19.829999999999998"/>
  </r>
  <r>
    <n v="2"/>
    <s v="0950929232"/>
    <x v="0"/>
    <n v="16294333"/>
    <n v="16.82"/>
  </r>
  <r>
    <n v="3"/>
    <s v="0950929232"/>
    <x v="0"/>
    <n v="15496427"/>
    <n v="13.32"/>
  </r>
  <r>
    <n v="4"/>
    <s v="0950929232"/>
    <x v="0"/>
    <n v="17091341"/>
    <n v="26.06"/>
  </r>
  <r>
    <n v="5"/>
    <s v="0950929232"/>
    <x v="0"/>
    <n v="13715336"/>
    <n v="11.63"/>
  </r>
  <r>
    <n v="6"/>
    <s v="0956796767"/>
    <x v="1"/>
    <n v="16038686"/>
    <n v="20.96"/>
  </r>
  <r>
    <n v="7"/>
    <s v="0603838657"/>
    <x v="2"/>
    <n v="16785149"/>
    <n v="36.130000000000003"/>
  </r>
  <r>
    <n v="8"/>
    <s v="0954520599"/>
    <x v="3"/>
    <n v="17678636"/>
    <n v="11.69"/>
  </r>
  <r>
    <n v="9"/>
    <s v="0954520599"/>
    <x v="3"/>
    <n v="18644981"/>
    <n v="15.48"/>
  </r>
  <r>
    <n v="10"/>
    <s v="0941235376"/>
    <x v="4"/>
    <n v="17447992"/>
    <n v="35.22"/>
  </r>
  <r>
    <n v="11"/>
    <s v="0925830689"/>
    <x v="5"/>
    <n v="18546441"/>
    <n v="80.94"/>
  </r>
  <r>
    <n v="12"/>
    <s v="0924232804"/>
    <x v="6"/>
    <n v="18385843"/>
    <n v="37.33"/>
  </r>
  <r>
    <n v="13"/>
    <s v="0924232804"/>
    <x v="6"/>
    <n v="17552082"/>
    <n v="33.72"/>
  </r>
  <r>
    <n v="14"/>
    <s v="0927257576"/>
    <x v="7"/>
    <n v="17321972"/>
    <n v="21.82"/>
  </r>
  <r>
    <n v="15"/>
    <s v="0927257576"/>
    <x v="7"/>
    <n v="16124684"/>
    <n v="22.78"/>
  </r>
  <r>
    <n v="16"/>
    <s v="0927257576"/>
    <x v="7"/>
    <n v="14534491"/>
    <n v="10.97"/>
  </r>
  <r>
    <n v="17"/>
    <s v="0928901800"/>
    <x v="8"/>
    <n v="14576862"/>
    <n v="84.3"/>
  </r>
  <r>
    <m/>
    <n v="918741448"/>
    <x v="9"/>
    <n v="10070196"/>
    <n v="261.63"/>
  </r>
  <r>
    <n v="19"/>
    <n v="1750873604"/>
    <x v="10"/>
    <n v="9936669"/>
    <n v="161.05000000000001"/>
  </r>
  <r>
    <m/>
    <m/>
    <x v="1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393BB-DA6B-4AA6-BFE3-9FEB05BDCCD7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0:J23" firstHeaderRow="1" firstDataRow="1" firstDataCol="1"/>
  <pivotFields count="5">
    <pivotField showAll="0"/>
    <pivotField showAll="0"/>
    <pivotField axis="axisRow" showAll="0" sortType="ascending">
      <items count="15">
        <item m="1" x="13"/>
        <item x="9"/>
        <item x="0"/>
        <item x="1"/>
        <item x="2"/>
        <item x="3"/>
        <item x="4"/>
        <item x="10"/>
        <item x="5"/>
        <item x="6"/>
        <item x="7"/>
        <item x="8"/>
        <item m="1" x="12"/>
        <item x="11"/>
        <item t="default"/>
      </items>
    </pivotField>
    <pivotField showAll="0"/>
    <pivotField dataField="1"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Items count="1">
    <i/>
  </colItems>
  <dataFields count="1">
    <dataField name="Suma de VALO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3227C-E130-4153-91E6-5891E646A7ED}" name="Tabla15" displayName="Tabla15" ref="B6:K25" totalsRowCount="1" headerRowDxfId="102" totalsRowDxfId="99" headerRowBorderDxfId="101" tableBorderDxfId="100" totalsRowBorderDxfId="98">
  <autoFilter ref="B6:K24" xr:uid="{1E6EADB2-4CFE-47F6-8745-421B6903D5D3}"/>
  <tableColumns count="10">
    <tableColumn id="1" xr3:uid="{10EB9936-0CC5-4AB7-85B3-CD0AD4A63AE3}" name="No." dataDxfId="97" totalsRowDxfId="96"/>
    <tableColumn id="2" xr3:uid="{797B41E5-8504-4957-8B6A-D712B5245E5A}" name="CEDULA" dataDxfId="95" totalsRowDxfId="94"/>
    <tableColumn id="3" xr3:uid="{85945D67-8980-44F9-B04C-627697E5C7A6}" name="NOMBRE " totalsRowLabel="TOTALES" dataDxfId="93" totalsRowDxfId="92"/>
    <tableColumn id="4" xr3:uid="{5C5343CB-E629-4426-82DF-D4830C15EBB8}" name="FECHA DE INGRESO" dataDxfId="91" totalsRowDxfId="90" dataCellStyle="Millares"/>
    <tableColumn id="5" xr3:uid="{B687372E-A6F6-4687-A173-0A4B1FAA0A04}" name="CARGO" dataDxfId="89" totalsRowDxfId="88" dataCellStyle="Millares"/>
    <tableColumn id="6" xr3:uid="{82DA6474-1618-4D2E-AB0B-ECB2C613D159}" name="AGENCIA" dataDxfId="87" totalsRowDxfId="86"/>
    <tableColumn id="7" xr3:uid="{2298AFAD-466D-4D2A-A0EA-A3D94A976B12}" name="DIAS TRABAJADOS" dataDxfId="85" totalsRowDxfId="84" dataCellStyle="Millares"/>
    <tableColumn id="8" xr3:uid="{34962E0D-EAB3-4F32-854E-135543D7F4A3}" name="SUELDO " dataDxfId="83" totalsRowDxfId="82" dataCellStyle="Moneda"/>
    <tableColumn id="9" xr3:uid="{060DDEB2-F86C-467F-BFF6-2F595D18F40B}" name="BONO VEHICULAR" totalsRowFunction="custom" dataDxfId="81" totalsRowDxfId="80" dataCellStyle="Moneda">
      <totalsRowFormula>SUM(Tabla15[BONO VEHICULAR])</totalsRowFormula>
    </tableColumn>
    <tableColumn id="10" xr3:uid="{1AC2F945-19A9-476B-9D41-BF4BB72B242B}" name="Columna1" dataDxfId="79" totalsRowDxfId="7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97C262-622B-43AA-A84D-0D10FFFF2EEB}" name="Tabla335" displayName="Tabla335" ref="B7:K59" totalsRowCount="1" dataDxfId="77" tableBorderDxfId="76" dataCellStyle="Millares">
  <autoFilter ref="B7:K58" xr:uid="{55BDF1B0-6645-4BA5-9C81-FFEF9FEBCE9E}"/>
  <tableColumns count="10">
    <tableColumn id="1" xr3:uid="{292D79C2-5BB6-4656-8313-266C1F3AF365}" name="NO" dataDxfId="75" totalsRowDxfId="74"/>
    <tableColumn id="2" xr3:uid="{1F8CC06A-6ABB-4F4F-8166-40BDC4A7D1DC}" name="CEDULA " dataDxfId="73" totalsRowDxfId="72"/>
    <tableColumn id="3" xr3:uid="{48A4555D-2762-4834-A6E6-3F9CCA78A603}" name="NOMBRE " totalsRowLabel="TOTALES" dataDxfId="71" totalsRowDxfId="70" dataCellStyle="Normal 2"/>
    <tableColumn id="4" xr3:uid="{7D38687E-E7E9-46A1-AE25-6E0A08AACEB5}" name="CARGO" dataDxfId="69" totalsRowDxfId="68" dataCellStyle="Normal 2"/>
    <tableColumn id="5" xr3:uid="{EDD34B06-4256-4AE4-8D07-03BA32EB35D4}" name="Agencia" dataDxfId="67" totalsRowDxfId="66" dataCellStyle="Normal 2"/>
    <tableColumn id="6" xr3:uid="{934F5B44-5352-4390-819B-0FD0D1865F23}" name="SUELDO" totalsRowFunction="sum" dataDxfId="65" totalsRowDxfId="64" dataCellStyle="Moneda"/>
    <tableColumn id="7" xr3:uid="{7A4ED2F1-6B4A-4ED6-8F3F-4163740B896F}" name="BONO BOLETOS" totalsRowFunction="sum" dataDxfId="63" totalsRowDxfId="62" dataCellStyle="Millares"/>
    <tableColumn id="9" xr3:uid="{40AB5507-BAFF-443F-B14F-AC7DDD76303D}" name="COM. POR CARGO" totalsRowFunction="sum" dataDxfId="61" totalsRowDxfId="60" dataCellStyle="Moneda"/>
    <tableColumn id="8" xr3:uid="{B9E49F13-4DCB-4553-99D2-1A96EE767C72}" name="BONO CUMP" totalsRowFunction="sum" dataDxfId="59" totalsRowDxfId="58" dataCellStyle="Moneda"/>
    <tableColumn id="11" xr3:uid="{AF5721FA-55C7-4FF6-BD02-6E1D95104E97}" name="US$,," totalsRowFunction="sum" dataDxfId="57" totalsRowDxfId="56" dataCellStyle="Millares">
      <calculatedColumnFormula>+Tabla335[[#This Row],[BONO BOLETOS]]+Tabla335[[#This Row],[COM. POR CARGO]]+Tabla335[[#This Row],[BONO CUMP]]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310D9-66BF-4A08-92A9-C2B1222674C9}" name="Tabla33" displayName="Tabla33" ref="B7:L59" totalsRowCount="1" dataDxfId="55" tableBorderDxfId="54" dataCellStyle="Millares">
  <autoFilter ref="B7:L58" xr:uid="{55BDF1B0-6645-4BA5-9C81-FFEF9FEBCE9E}"/>
  <tableColumns count="11">
    <tableColumn id="1" xr3:uid="{46426979-385D-48C5-8319-EF15026B011E}" name="NO" dataDxfId="53" totalsRowDxfId="52"/>
    <tableColumn id="2" xr3:uid="{67B6110E-56DF-48D1-94B1-F220CB15809D}" name="CEDULA " dataDxfId="51" totalsRowDxfId="50"/>
    <tableColumn id="3" xr3:uid="{90287A23-81F0-45B9-B805-73F4F60B7B0D}" name="NOMBRE " totalsRowLabel="TOTALES" dataDxfId="49" totalsRowDxfId="48" dataCellStyle="Normal 2"/>
    <tableColumn id="4" xr3:uid="{70A4EE71-A411-4557-BBDB-E11B9E3E82BC}" name="CARGO" dataDxfId="47" totalsRowDxfId="46" dataCellStyle="Normal 2"/>
    <tableColumn id="5" xr3:uid="{25565A30-0C55-445B-9B46-A5CA6958BCE1}" name="Agencia" dataDxfId="45" totalsRowDxfId="44" dataCellStyle="Normal 2"/>
    <tableColumn id="6" xr3:uid="{A96C3023-3E00-4C69-A918-C17092A75EA7}" name="SUELDO" totalsRowFunction="sum" dataDxfId="43" totalsRowDxfId="42" dataCellStyle="Moneda"/>
    <tableColumn id="7" xr3:uid="{F42B2B08-EFE8-41CD-AFC8-8DCAEE74208D}" name="Cantidad" dataDxfId="41" totalsRowDxfId="40" dataCellStyle="Millares"/>
    <tableColumn id="8" xr3:uid="{44938BF6-6101-49FC-86CA-ACF2312E14C6}" name="Cantidad2" dataDxfId="39" totalsRowDxfId="38" dataCellStyle="Millares"/>
    <tableColumn id="9" xr3:uid="{F0275155-321B-4457-A738-886F4012922D}" name="US$" totalsRowFunction="sum" dataDxfId="37" totalsRowDxfId="36" dataCellStyle="Millares">
      <calculatedColumnFormula>+Tabla33[[#This Row],[Cantidad]]*$J$6</calculatedColumnFormula>
    </tableColumn>
    <tableColumn id="10" xr3:uid="{8E9E90FC-D66B-4398-AB29-F328C8E0E652}" name="US$," totalsRowFunction="sum" dataDxfId="35" totalsRowDxfId="34" dataCellStyle="Millares">
      <calculatedColumnFormula>+Tabla33[[#This Row],[Cantidad2]]*$K$6</calculatedColumnFormula>
    </tableColumn>
    <tableColumn id="11" xr3:uid="{3C120CE9-B680-43F6-8DD3-76BE841009B3}" name="US$,," totalsRowFunction="sum" dataDxfId="33" totalsRowDxfId="32" dataCellStyle="Millares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C0486-806B-4399-BB86-90946FAF1954}" name="Tabla3" displayName="Tabla3" ref="B7:L59" totalsRowCount="1" headerRowDxfId="31" dataDxfId="30" totalsRowDxfId="28" tableBorderDxfId="29" dataCellStyle="Millares">
  <autoFilter ref="B7:L58" xr:uid="{55BDF1B0-6645-4BA5-9C81-FFEF9FEBCE9E}"/>
  <tableColumns count="11">
    <tableColumn id="1" xr3:uid="{FE61A586-0877-4976-98A8-D6ED9F90319A}" name="NO" dataDxfId="27" totalsRowDxfId="26"/>
    <tableColumn id="2" xr3:uid="{44F1E24E-104F-4344-A8BD-C7C0CBFFC443}" name="CEDULA " dataDxfId="25" totalsRowDxfId="24"/>
    <tableColumn id="3" xr3:uid="{7AA83633-AB0E-48AE-8A98-A78A5DAA966B}" name="NOMBRE " totalsRowLabel="TOTALES" dataDxfId="23" totalsRowDxfId="22" dataCellStyle="Normal 2"/>
    <tableColumn id="4" xr3:uid="{A696FD92-A93D-47F7-85CC-4B0A52369270}" name="CARGO" dataDxfId="21" totalsRowDxfId="20" dataCellStyle="Normal 2"/>
    <tableColumn id="5" xr3:uid="{70EA5AD4-FA59-4077-B175-EDAEBD5E7ECB}" name="Agencia" dataDxfId="19" totalsRowDxfId="18" dataCellStyle="Normal 2"/>
    <tableColumn id="6" xr3:uid="{34865651-BB6A-42C6-B6BE-EDC3E1E93644}" name="SUELDO" totalsRowFunction="sum" dataDxfId="17" totalsRowDxfId="16" dataCellStyle="Moneda"/>
    <tableColumn id="7" xr3:uid="{030C3D11-FC45-4459-9F4F-12BC9646E330}" name="Cantidad" totalsRowFunction="sum" dataDxfId="15" totalsRowDxfId="14" dataCellStyle="Millares">
      <calculatedColumnFormula>+VLOOKUP(Tabla3[[#This Row],[CEDULA ]],'Conversión-HE'!$C$20:$I$70,6,0)</calculatedColumnFormula>
    </tableColumn>
    <tableColumn id="8" xr3:uid="{B7B0E813-57A4-4479-B28F-C2B4344B9E0B}" name="Cantidad2" totalsRowFunction="sum" dataDxfId="13" totalsRowDxfId="12" dataCellStyle="Millares"/>
    <tableColumn id="9" xr3:uid="{6FA44A89-8476-4D1E-B0A2-A496D2566576}" name="US$" totalsRowFunction="sum" dataDxfId="11" totalsRowDxfId="10" dataCellStyle="Millares">
      <calculatedColumnFormula>((G8/240)*1.5)*H8</calculatedColumnFormula>
    </tableColumn>
    <tableColumn id="10" xr3:uid="{3DEC0C62-C6DF-4A4E-A272-9C091B3F89C1}" name="US$," totalsRowFunction="sum" dataDxfId="9" totalsRowDxfId="8" dataCellStyle="Millares">
      <calculatedColumnFormula>+((G8/240)*2)*I8</calculatedColumnFormula>
    </tableColumn>
    <tableColumn id="11" xr3:uid="{8310D586-BB60-4835-AE70-1ECBF4E97AFB}" name="US$,," totalsRowFunction="sum" dataDxfId="7" totalsRowDxfId="6" dataCellStyle="Millares">
      <calculatedColumnFormula>+Tabla3[[#This Row],[US$]]+Tabla3[[#This Row],[US$,]]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7FA4-F656-4013-B4B7-BE63AC53DBFD}">
  <sheetPr codeName="Hoja1">
    <tabColor rgb="FF345525"/>
    <pageSetUpPr fitToPage="1"/>
  </sheetPr>
  <dimension ref="A1:BF66"/>
  <sheetViews>
    <sheetView showGridLines="0" topLeftCell="B1" zoomScale="70" zoomScaleNormal="70" zoomScaleSheetLayoutView="25" workbookViewId="0">
      <pane xSplit="8" ySplit="7" topLeftCell="J8" activePane="bottomRight" state="frozen"/>
      <selection activeCell="B1" sqref="B1"/>
      <selection pane="topRight" activeCell="J1" sqref="J1"/>
      <selection pane="bottomLeft" activeCell="B8" sqref="B8"/>
      <selection pane="bottomRight" activeCell="C8" sqref="C8"/>
    </sheetView>
  </sheetViews>
  <sheetFormatPr baseColWidth="10" defaultColWidth="9.109375" defaultRowHeight="14.4"/>
  <cols>
    <col min="1" max="1" width="3.44140625" hidden="1" customWidth="1"/>
    <col min="2" max="2" width="3.6640625" customWidth="1"/>
    <col min="3" max="3" width="13.33203125" customWidth="1"/>
    <col min="4" max="4" width="30.88671875" style="725" customWidth="1"/>
    <col min="5" max="5" width="16.77734375" style="671" customWidth="1"/>
    <col min="6" max="6" width="29.88671875" style="664" customWidth="1"/>
    <col min="7" max="7" width="10.44140625" customWidth="1"/>
    <col min="8" max="8" width="11.88671875" style="189" customWidth="1"/>
    <col min="9" max="9" width="14.21875" customWidth="1"/>
    <col min="10" max="10" width="14.5546875" customWidth="1"/>
    <col min="11" max="11" width="11.88671875" customWidth="1"/>
    <col min="12" max="12" width="12.5546875" customWidth="1"/>
    <col min="13" max="13" width="14.5546875" style="18" customWidth="1"/>
    <col min="14" max="14" width="12.109375" customWidth="1"/>
    <col min="15" max="15" width="14.88671875" customWidth="1"/>
    <col min="16" max="16" width="14.44140625" customWidth="1"/>
    <col min="17" max="17" width="10.109375" customWidth="1"/>
    <col min="18" max="18" width="12.77734375" customWidth="1"/>
    <col min="19" max="19" width="15.77734375" customWidth="1"/>
    <col min="20" max="20" width="17.88671875" customWidth="1"/>
    <col min="21" max="21" width="12.88671875" style="17" customWidth="1"/>
    <col min="22" max="22" width="12.88671875" hidden="1" customWidth="1"/>
    <col min="23" max="23" width="11.77734375" customWidth="1"/>
    <col min="24" max="24" width="11.21875" customWidth="1"/>
    <col min="25" max="25" width="15.5546875" customWidth="1"/>
    <col min="26" max="26" width="19.6640625" customWidth="1"/>
    <col min="27" max="28" width="12.88671875" customWidth="1"/>
    <col min="29" max="29" width="17.33203125" customWidth="1"/>
    <col min="30" max="30" width="13.77734375" customWidth="1"/>
    <col min="31" max="31" width="11.6640625" customWidth="1"/>
    <col min="32" max="32" width="10.77734375" customWidth="1"/>
    <col min="33" max="33" width="8.6640625" customWidth="1"/>
    <col min="34" max="34" width="11.5546875" customWidth="1"/>
    <col min="35" max="35" width="15.88671875" customWidth="1"/>
    <col min="36" max="36" width="16.6640625" style="155" customWidth="1"/>
    <col min="37" max="37" width="20.6640625" customWidth="1"/>
    <col min="38" max="38" width="2.5546875" style="155" customWidth="1"/>
    <col min="39" max="39" width="11.44140625" customWidth="1"/>
    <col min="40" max="40" width="4.44140625" style="18" bestFit="1" customWidth="1"/>
    <col min="41" max="41" width="45" style="18" bestFit="1" customWidth="1"/>
    <col min="42" max="42" width="19.44140625" style="370" customWidth="1"/>
    <col min="43" max="44" width="13.6640625" style="18" customWidth="1"/>
    <col min="45" max="45" width="21.88671875" style="18" customWidth="1"/>
    <col min="46" max="46" width="14.6640625" style="18" customWidth="1"/>
    <col min="47" max="47" width="13" style="18" customWidth="1"/>
    <col min="48" max="48" width="14.21875" style="18" hidden="1" customWidth="1"/>
    <col min="49" max="49" width="17.109375" style="18" customWidth="1"/>
    <col min="50" max="50" width="13.33203125" style="18" bestFit="1" customWidth="1"/>
    <col min="51" max="51" width="16.88671875" style="18" bestFit="1" customWidth="1"/>
    <col min="52" max="52" width="16.5546875" style="18" bestFit="1" customWidth="1"/>
    <col min="53" max="53" width="10" style="18" bestFit="1" customWidth="1"/>
    <col min="54" max="54" width="15.5546875" style="18" customWidth="1"/>
    <col min="55" max="55" width="9.109375" customWidth="1"/>
  </cols>
  <sheetData>
    <row r="1" spans="1:55" s="164" customFormat="1" ht="6.6" customHeight="1">
      <c r="D1" s="723"/>
      <c r="E1" s="670"/>
      <c r="F1" s="663"/>
      <c r="G1" s="279"/>
      <c r="H1" s="52"/>
      <c r="J1" s="280"/>
      <c r="M1" s="15"/>
      <c r="U1" s="279"/>
      <c r="AJ1" s="165"/>
      <c r="AL1" s="165"/>
      <c r="AN1" s="15"/>
      <c r="AO1" s="15"/>
      <c r="AP1" s="364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</row>
    <row r="2" spans="1:55" s="164" customFormat="1" ht="24.75" customHeight="1">
      <c r="B2" s="811" t="s">
        <v>0</v>
      </c>
      <c r="C2" s="811"/>
      <c r="D2" s="811"/>
      <c r="E2" s="811"/>
      <c r="F2" s="811"/>
      <c r="G2" s="811"/>
      <c r="H2" s="812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244"/>
      <c r="AM2" s="244"/>
      <c r="AN2" s="813" t="s">
        <v>0</v>
      </c>
      <c r="AO2" s="813"/>
      <c r="AP2" s="813"/>
      <c r="AQ2" s="813"/>
      <c r="AR2" s="813"/>
      <c r="AS2" s="813"/>
      <c r="AT2" s="813"/>
      <c r="AU2" s="813"/>
      <c r="AV2" s="813"/>
      <c r="AW2" s="813"/>
      <c r="AX2" s="813"/>
      <c r="AY2" s="813"/>
      <c r="AZ2" s="813"/>
      <c r="BA2" s="813"/>
      <c r="BB2" s="813"/>
      <c r="BC2" s="2"/>
    </row>
    <row r="3" spans="1:55" s="164" customFormat="1" ht="26.4" customHeight="1" thickBot="1">
      <c r="A3" s="164" t="s">
        <v>192</v>
      </c>
      <c r="B3" s="810" t="s">
        <v>367</v>
      </c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244" t="s">
        <v>458</v>
      </c>
      <c r="S3" s="244"/>
      <c r="T3" s="244"/>
      <c r="U3" s="202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4"/>
      <c r="AJ3" s="244"/>
      <c r="AK3" s="244"/>
      <c r="AL3" s="244"/>
      <c r="AM3" s="244"/>
      <c r="AN3" s="809" t="s">
        <v>366</v>
      </c>
      <c r="AO3" s="809"/>
      <c r="AP3" s="809"/>
      <c r="AQ3" s="809"/>
      <c r="AR3" s="809"/>
      <c r="AS3" s="809"/>
      <c r="AT3" s="809"/>
      <c r="AU3" s="609" t="str">
        <f>+R3</f>
        <v xml:space="preserve"> MES DE OCTUBRE 2025</v>
      </c>
      <c r="AV3" s="609"/>
      <c r="AW3" s="609"/>
      <c r="AX3" s="609"/>
      <c r="AY3" s="609"/>
      <c r="AZ3" s="609"/>
      <c r="BA3" s="609"/>
      <c r="BB3" s="609"/>
      <c r="BC3" s="2"/>
    </row>
    <row r="4" spans="1:55" s="164" customFormat="1" ht="24" hidden="1" thickBot="1">
      <c r="B4" s="202"/>
      <c r="C4" s="612">
        <v>1</v>
      </c>
      <c r="D4" s="724">
        <v>2</v>
      </c>
      <c r="E4" s="678">
        <v>3</v>
      </c>
      <c r="F4" s="679">
        <v>4</v>
      </c>
      <c r="G4" s="612">
        <v>5</v>
      </c>
      <c r="H4" s="612">
        <v>6</v>
      </c>
      <c r="I4" s="612">
        <v>7</v>
      </c>
      <c r="J4" s="612">
        <v>8</v>
      </c>
      <c r="K4" s="612">
        <v>9</v>
      </c>
      <c r="L4" s="612">
        <v>10</v>
      </c>
      <c r="M4" s="612">
        <v>11</v>
      </c>
      <c r="N4" s="612">
        <v>12</v>
      </c>
      <c r="O4" s="612">
        <v>13</v>
      </c>
      <c r="P4" s="612">
        <v>14</v>
      </c>
      <c r="Q4" s="612">
        <v>15</v>
      </c>
      <c r="R4" s="612">
        <v>16</v>
      </c>
      <c r="S4" s="612">
        <v>17</v>
      </c>
      <c r="T4" s="612">
        <v>18</v>
      </c>
      <c r="U4" s="612">
        <v>19</v>
      </c>
      <c r="V4" s="612">
        <v>20</v>
      </c>
      <c r="W4" s="612">
        <v>21</v>
      </c>
      <c r="X4" s="612">
        <v>22</v>
      </c>
      <c r="Y4" s="612">
        <v>23</v>
      </c>
      <c r="Z4" s="612">
        <v>24</v>
      </c>
      <c r="AA4" s="612">
        <v>25</v>
      </c>
      <c r="AB4" s="612">
        <v>26</v>
      </c>
      <c r="AC4" s="612">
        <v>27</v>
      </c>
      <c r="AD4" s="612">
        <v>28</v>
      </c>
      <c r="AE4" s="612">
        <v>29</v>
      </c>
      <c r="AF4" s="612">
        <v>30</v>
      </c>
      <c r="AG4" s="612">
        <v>31</v>
      </c>
      <c r="AH4" s="612">
        <v>32</v>
      </c>
      <c r="AI4" s="612">
        <v>33</v>
      </c>
      <c r="AJ4" s="202"/>
      <c r="AK4" s="202"/>
      <c r="AL4" s="202"/>
      <c r="AM4" s="202"/>
      <c r="AN4" s="203"/>
      <c r="AO4" s="203"/>
      <c r="AP4" s="365"/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"/>
    </row>
    <row r="5" spans="1:55" ht="16.2" thickBot="1">
      <c r="G5" s="17"/>
      <c r="I5" s="282"/>
      <c r="J5" s="781" t="s">
        <v>86</v>
      </c>
      <c r="K5" s="782"/>
      <c r="L5" s="782"/>
      <c r="M5" s="782"/>
      <c r="N5" s="782"/>
      <c r="O5" s="782"/>
      <c r="P5" s="782"/>
      <c r="Q5" s="782"/>
      <c r="R5" s="782"/>
      <c r="S5" s="782"/>
      <c r="T5" s="782"/>
      <c r="U5" s="782"/>
      <c r="V5" s="782"/>
      <c r="W5" s="782"/>
      <c r="X5" s="782"/>
      <c r="Y5" s="783"/>
      <c r="Z5" s="763" t="s">
        <v>113</v>
      </c>
      <c r="AA5" s="764"/>
      <c r="AB5" s="764"/>
      <c r="AC5" s="764"/>
      <c r="AD5" s="764"/>
      <c r="AE5" s="764"/>
      <c r="AF5" s="764"/>
      <c r="AG5" s="764"/>
      <c r="AH5" s="764"/>
      <c r="AI5" s="765"/>
      <c r="AN5" s="19"/>
      <c r="AO5" s="19"/>
      <c r="AP5" s="366"/>
      <c r="AQ5" s="20"/>
      <c r="AR5" s="20"/>
      <c r="AS5" s="19"/>
      <c r="AT5" s="21"/>
      <c r="AU5" s="21"/>
      <c r="AV5" s="21"/>
      <c r="AW5" s="21"/>
      <c r="AX5" s="21"/>
      <c r="AY5" s="21"/>
      <c r="AZ5" s="21"/>
      <c r="BA5" s="19"/>
      <c r="BB5" s="19"/>
      <c r="BC5" s="2"/>
    </row>
    <row r="6" spans="1:55" ht="42.75" customHeight="1">
      <c r="B6" s="786" t="s">
        <v>1</v>
      </c>
      <c r="C6" s="788" t="s">
        <v>84</v>
      </c>
      <c r="D6" s="790" t="s">
        <v>2</v>
      </c>
      <c r="E6" s="792" t="s">
        <v>114</v>
      </c>
      <c r="F6" s="794" t="s">
        <v>103</v>
      </c>
      <c r="G6" s="820" t="s">
        <v>74</v>
      </c>
      <c r="H6" s="820" t="s">
        <v>75</v>
      </c>
      <c r="I6" s="768" t="s">
        <v>115</v>
      </c>
      <c r="J6" s="822" t="s">
        <v>471</v>
      </c>
      <c r="K6" s="768" t="s">
        <v>117</v>
      </c>
      <c r="L6" s="824" t="s">
        <v>369</v>
      </c>
      <c r="M6" s="768" t="s">
        <v>57</v>
      </c>
      <c r="N6" s="768" t="s">
        <v>249</v>
      </c>
      <c r="O6" s="770" t="s">
        <v>5</v>
      </c>
      <c r="P6" s="772" t="s">
        <v>67</v>
      </c>
      <c r="Q6" s="768" t="s">
        <v>64</v>
      </c>
      <c r="R6" s="768"/>
      <c r="S6" s="804" t="s">
        <v>188</v>
      </c>
      <c r="T6" s="774" t="s">
        <v>118</v>
      </c>
      <c r="U6" s="776" t="s">
        <v>45</v>
      </c>
      <c r="V6" s="807" t="s">
        <v>398</v>
      </c>
      <c r="W6" s="776" t="s">
        <v>44</v>
      </c>
      <c r="X6" s="776" t="s">
        <v>41</v>
      </c>
      <c r="Y6" s="778" t="s">
        <v>119</v>
      </c>
      <c r="Z6" s="16" t="s">
        <v>6</v>
      </c>
      <c r="AA6" s="766" t="s">
        <v>401</v>
      </c>
      <c r="AB6" s="638" t="s">
        <v>409</v>
      </c>
      <c r="AC6" s="766" t="s">
        <v>258</v>
      </c>
      <c r="AD6" s="814" t="s">
        <v>193</v>
      </c>
      <c r="AE6" s="814" t="s">
        <v>189</v>
      </c>
      <c r="AF6" s="816" t="s">
        <v>190</v>
      </c>
      <c r="AG6" s="768" t="s">
        <v>338</v>
      </c>
      <c r="AH6" s="768" t="s">
        <v>8</v>
      </c>
      <c r="AI6" s="818" t="s">
        <v>9</v>
      </c>
      <c r="AJ6" s="799" t="s">
        <v>10</v>
      </c>
      <c r="AK6" s="801" t="s">
        <v>11</v>
      </c>
      <c r="AL6" s="156"/>
      <c r="AN6" s="803" t="s">
        <v>1</v>
      </c>
      <c r="AO6" s="803" t="s">
        <v>2</v>
      </c>
      <c r="AP6" s="806" t="s">
        <v>221</v>
      </c>
      <c r="AQ6" s="796" t="s">
        <v>115</v>
      </c>
      <c r="AR6" s="796" t="s">
        <v>75</v>
      </c>
      <c r="AS6" s="796" t="s">
        <v>42</v>
      </c>
      <c r="AT6" s="161" t="s">
        <v>13</v>
      </c>
      <c r="AU6" s="161" t="s">
        <v>219</v>
      </c>
      <c r="AV6" s="161" t="s">
        <v>15</v>
      </c>
      <c r="AW6" s="161" t="s">
        <v>15</v>
      </c>
      <c r="AX6" s="161" t="s">
        <v>7</v>
      </c>
      <c r="AY6" s="797" t="s">
        <v>16</v>
      </c>
      <c r="AZ6" s="796" t="s">
        <v>17</v>
      </c>
      <c r="BA6" s="796"/>
      <c r="BB6" s="796"/>
      <c r="BC6" s="2"/>
    </row>
    <row r="7" spans="1:55" s="189" customFormat="1" ht="15" customHeight="1" thickBot="1">
      <c r="B7" s="787"/>
      <c r="C7" s="789"/>
      <c r="D7" s="791"/>
      <c r="E7" s="793"/>
      <c r="F7" s="795"/>
      <c r="G7" s="821"/>
      <c r="H7" s="821"/>
      <c r="I7" s="769"/>
      <c r="J7" s="823"/>
      <c r="K7" s="769"/>
      <c r="L7" s="825"/>
      <c r="M7" s="769"/>
      <c r="N7" s="769"/>
      <c r="O7" s="771"/>
      <c r="P7" s="773"/>
      <c r="Q7" s="283">
        <v>0.5</v>
      </c>
      <c r="R7" s="283">
        <v>1</v>
      </c>
      <c r="S7" s="805"/>
      <c r="T7" s="775"/>
      <c r="U7" s="777"/>
      <c r="V7" s="808"/>
      <c r="W7" s="777"/>
      <c r="X7" s="777"/>
      <c r="Y7" s="779"/>
      <c r="Z7" s="22">
        <v>9.4500000000000001E-2</v>
      </c>
      <c r="AA7" s="767"/>
      <c r="AB7" s="639"/>
      <c r="AC7" s="767"/>
      <c r="AD7" s="815"/>
      <c r="AE7" s="815"/>
      <c r="AF7" s="817"/>
      <c r="AG7" s="769"/>
      <c r="AH7" s="769"/>
      <c r="AI7" s="819"/>
      <c r="AJ7" s="800"/>
      <c r="AK7" s="802"/>
      <c r="AL7" s="156"/>
      <c r="AN7" s="803"/>
      <c r="AO7" s="803"/>
      <c r="AP7" s="806"/>
      <c r="AQ7" s="796"/>
      <c r="AR7" s="796"/>
      <c r="AS7" s="796"/>
      <c r="AT7" s="160">
        <v>12</v>
      </c>
      <c r="AU7" s="162">
        <v>8.3299999999999999E-2</v>
      </c>
      <c r="AV7" s="160" t="s">
        <v>18</v>
      </c>
      <c r="AW7" s="163">
        <v>470</v>
      </c>
      <c r="AX7" s="160">
        <v>24</v>
      </c>
      <c r="AY7" s="797"/>
      <c r="AZ7" s="162" t="s">
        <v>19</v>
      </c>
      <c r="BA7" s="162" t="s">
        <v>20</v>
      </c>
      <c r="BB7" s="162" t="s">
        <v>21</v>
      </c>
      <c r="BC7" s="188"/>
    </row>
    <row r="8" spans="1:55" ht="24.6" customHeight="1">
      <c r="B8" s="169" t="e">
        <f>+#REF!+1</f>
        <v>#REF!</v>
      </c>
      <c r="C8" s="730">
        <v>923837991</v>
      </c>
      <c r="D8" s="730" t="s">
        <v>245</v>
      </c>
      <c r="E8" s="672">
        <v>41426</v>
      </c>
      <c r="F8" s="284" t="s">
        <v>112</v>
      </c>
      <c r="G8" s="23" t="s">
        <v>35</v>
      </c>
      <c r="H8" s="23" t="s">
        <v>104</v>
      </c>
      <c r="I8" s="243">
        <v>30</v>
      </c>
      <c r="J8" s="285">
        <v>1022.2</v>
      </c>
      <c r="K8" s="286">
        <f>IFERROR(VLOOKUP(C8,Tabla15[[CEDULA]:[BONO VEHICULAR]],8,0),0)</f>
        <v>0</v>
      </c>
      <c r="L8" s="610">
        <v>100</v>
      </c>
      <c r="M8" s="287">
        <f>+VLOOKUP(C8,Tabla335[[CEDULA ]:[US$,,]],9,0)</f>
        <v>0</v>
      </c>
      <c r="N8" s="288"/>
      <c r="O8" s="288"/>
      <c r="P8" s="319">
        <f>+VLOOKUP(C8,'COMISIONES-SOCIOS'!$C$8:$L$57,10,0)</f>
        <v>0</v>
      </c>
      <c r="Q8" s="289">
        <f>+VLOOKUP(C8,Tabla3[[CEDULA ]:[US$,]],8,0)</f>
        <v>0</v>
      </c>
      <c r="R8" s="289">
        <f>+VLOOKUP($C8,Tabla3[[CEDULA ]:[US$,]],9,0)</f>
        <v>0</v>
      </c>
      <c r="S8" s="31">
        <f t="shared" ref="S8:S10" si="0">SUM(K8:R8)</f>
        <v>100</v>
      </c>
      <c r="T8" s="28">
        <f t="shared" ref="T8:T10" si="1">+J8+S8</f>
        <v>1122.2</v>
      </c>
      <c r="U8" s="755">
        <f>VLOOKUP(C8,FR!$C$6:$M$55,11,0)</f>
        <v>93.479259999999996</v>
      </c>
      <c r="V8" s="29"/>
      <c r="W8" s="30"/>
      <c r="X8" s="30"/>
      <c r="Y8" s="31">
        <f t="shared" ref="Y8:Y10" si="2">SUM(T8:X8)</f>
        <v>1215.6792600000001</v>
      </c>
      <c r="Z8" s="32">
        <f t="shared" ref="Z8:Z10" si="3">T8*9.45%</f>
        <v>106.04789999999998</v>
      </c>
      <c r="AA8" s="32"/>
      <c r="AB8" s="32"/>
      <c r="AC8" s="277">
        <f>IFERROR(+VLOOKUP(D8,PQ!$D$35:$E$45,2,0),0)</f>
        <v>0</v>
      </c>
      <c r="AD8" s="277">
        <v>0</v>
      </c>
      <c r="AE8" s="277"/>
      <c r="AF8" s="277"/>
      <c r="AG8" s="277"/>
      <c r="AH8" s="277">
        <v>850</v>
      </c>
      <c r="AI8" s="359">
        <f t="shared" ref="AI8:AI10" si="4">SUM(Z8:AH8)</f>
        <v>956.04790000000003</v>
      </c>
      <c r="AJ8" s="732">
        <f t="shared" ref="AJ8:AJ10" si="5">+Y8-AI8</f>
        <v>259.63136000000009</v>
      </c>
      <c r="AK8" s="26">
        <v>600101004961</v>
      </c>
      <c r="AL8" s="157"/>
      <c r="AN8" s="195" t="e">
        <f>+#REF!+1</f>
        <v>#REF!</v>
      </c>
      <c r="AO8" s="25" t="str">
        <f t="shared" ref="AO8:AO11" si="6">+D8</f>
        <v>YUNDA CUJILEMA MARIA TERESA</v>
      </c>
      <c r="AP8" s="367">
        <f t="shared" ref="AP8:AP10" si="7">+E8</f>
        <v>41426</v>
      </c>
      <c r="AQ8" s="27">
        <f t="shared" ref="AQ8:AQ10" si="8">+I8</f>
        <v>30</v>
      </c>
      <c r="AR8" s="23" t="str">
        <f t="shared" ref="AR8:AR10" si="9">+H8</f>
        <v>Matriz</v>
      </c>
      <c r="AS8" s="196">
        <f>T8</f>
        <v>1122.2</v>
      </c>
      <c r="AT8" s="196">
        <f t="shared" ref="AT8:AT10" si="10">+AS8/12</f>
        <v>93.516666666666666</v>
      </c>
      <c r="AU8" s="196">
        <v>0</v>
      </c>
      <c r="AV8" s="196"/>
      <c r="AW8" s="196">
        <f t="shared" ref="AW8:AW10" si="11">($AW$7/360)*AQ8</f>
        <v>39.166666666666664</v>
      </c>
      <c r="AX8" s="196">
        <f t="shared" ref="AX8:AX10" si="12">+AS8/24</f>
        <v>46.758333333333333</v>
      </c>
      <c r="AY8" s="197">
        <f t="shared" ref="AY8:AY10" si="13">SUM(AS8:AX8)</f>
        <v>1301.6416666666669</v>
      </c>
      <c r="AZ8" s="196">
        <f t="shared" ref="AZ8:AZ11" si="14">+AS8*11.15%</f>
        <v>125.12530000000001</v>
      </c>
      <c r="BA8" s="196">
        <f t="shared" ref="BA8:BA11" si="15">+AS8*1%</f>
        <v>11.222000000000001</v>
      </c>
      <c r="BB8" s="196">
        <f t="shared" ref="BB8:BB10" si="16">SUM(AZ8:BA8)</f>
        <v>136.34730000000002</v>
      </c>
      <c r="BC8" s="198"/>
    </row>
    <row r="9" spans="1:55" ht="24.6" customHeight="1">
      <c r="B9" s="169" t="e">
        <f t="shared" ref="B9:B10" si="17">+B8+1</f>
        <v>#REF!</v>
      </c>
      <c r="C9" s="730">
        <v>941508905</v>
      </c>
      <c r="D9" s="730" t="s">
        <v>28</v>
      </c>
      <c r="E9" s="672">
        <v>43567</v>
      </c>
      <c r="F9" s="284" t="s">
        <v>457</v>
      </c>
      <c r="G9" s="23" t="s">
        <v>36</v>
      </c>
      <c r="H9" s="23" t="s">
        <v>104</v>
      </c>
      <c r="I9" s="243">
        <v>30</v>
      </c>
      <c r="J9" s="285">
        <v>511.1</v>
      </c>
      <c r="K9" s="286">
        <f>IFERROR(VLOOKUP(C9,Tabla15[[CEDULA]:[BONO VEHICULAR]],8,0),0)</f>
        <v>100</v>
      </c>
      <c r="L9" s="610">
        <v>11.11</v>
      </c>
      <c r="M9" s="287">
        <f>+VLOOKUP(C9,Tabla335[[CEDULA ]:[US$,,]],9,0)</f>
        <v>0</v>
      </c>
      <c r="N9" s="288"/>
      <c r="O9" s="288"/>
      <c r="P9" s="319">
        <f>+VLOOKUP(C9,'COMISIONES-SOCIOS'!$C$8:$L$57,10,0)</f>
        <v>0</v>
      </c>
      <c r="Q9" s="289">
        <f>+VLOOKUP(C9,Tabla3[[CEDULA ]:[US$,]],8,0)</f>
        <v>0</v>
      </c>
      <c r="R9" s="289">
        <f>+VLOOKUP($C9,Tabla3[[CEDULA ]:[US$,]],9,0)</f>
        <v>0</v>
      </c>
      <c r="S9" s="31">
        <f t="shared" si="0"/>
        <v>111.11</v>
      </c>
      <c r="T9" s="28">
        <f t="shared" si="1"/>
        <v>622.21</v>
      </c>
      <c r="U9" s="755">
        <f>VLOOKUP(C9,FR!$C$6:$M$55,11,0)</f>
        <v>51.830093000000005</v>
      </c>
      <c r="V9" s="29"/>
      <c r="W9" s="30"/>
      <c r="X9" s="30"/>
      <c r="Y9" s="31">
        <f t="shared" si="2"/>
        <v>674.04009300000007</v>
      </c>
      <c r="Z9" s="32">
        <f t="shared" si="3"/>
        <v>58.798844999999993</v>
      </c>
      <c r="AA9" s="32"/>
      <c r="AB9" s="32"/>
      <c r="AC9" s="277">
        <f>IFERROR(+VLOOKUP(D9,PQ!$D$35:$E$45,2,0),0)</f>
        <v>0</v>
      </c>
      <c r="AD9" s="277"/>
      <c r="AE9" s="277"/>
      <c r="AF9" s="277"/>
      <c r="AG9" s="277"/>
      <c r="AH9" s="277">
        <v>500</v>
      </c>
      <c r="AI9" s="359">
        <f t="shared" si="4"/>
        <v>558.79884500000003</v>
      </c>
      <c r="AJ9" s="732">
        <f t="shared" si="5"/>
        <v>115.24124800000004</v>
      </c>
      <c r="AK9" s="26">
        <v>600101008981</v>
      </c>
      <c r="AL9" s="157"/>
      <c r="AN9" s="195" t="e">
        <f t="shared" ref="AN9:AN10" si="18">+AN8+1</f>
        <v>#REF!</v>
      </c>
      <c r="AO9" s="25" t="str">
        <f t="shared" si="6"/>
        <v>YUQUILEMA CACUANGO ANGEL JOSE</v>
      </c>
      <c r="AP9" s="367">
        <f t="shared" si="7"/>
        <v>43567</v>
      </c>
      <c r="AQ9" s="27">
        <f t="shared" si="8"/>
        <v>30</v>
      </c>
      <c r="AR9" s="23" t="str">
        <f t="shared" si="9"/>
        <v>Matriz</v>
      </c>
      <c r="AS9" s="196">
        <f t="shared" ref="AS9:AS10" si="19">T9</f>
        <v>622.21</v>
      </c>
      <c r="AT9" s="196">
        <f t="shared" si="10"/>
        <v>51.850833333333334</v>
      </c>
      <c r="AU9" s="196">
        <v>0</v>
      </c>
      <c r="AV9" s="196"/>
      <c r="AW9" s="196">
        <f t="shared" si="11"/>
        <v>39.166666666666664</v>
      </c>
      <c r="AX9" s="196">
        <f t="shared" si="12"/>
        <v>25.925416666666667</v>
      </c>
      <c r="AY9" s="197">
        <f t="shared" si="13"/>
        <v>739.15291666666667</v>
      </c>
      <c r="AZ9" s="196">
        <f t="shared" si="14"/>
        <v>69.376415000000009</v>
      </c>
      <c r="BA9" s="196">
        <f t="shared" si="15"/>
        <v>6.2221000000000002</v>
      </c>
      <c r="BB9" s="196">
        <f t="shared" si="16"/>
        <v>75.598515000000006</v>
      </c>
      <c r="BC9" s="198"/>
    </row>
    <row r="10" spans="1:55" ht="24.6" customHeight="1">
      <c r="A10" s="33"/>
      <c r="B10" s="169" t="e">
        <f t="shared" si="17"/>
        <v>#REF!</v>
      </c>
      <c r="C10" s="730">
        <v>604154575</v>
      </c>
      <c r="D10" s="730" t="s">
        <v>30</v>
      </c>
      <c r="E10" s="672">
        <v>43379</v>
      </c>
      <c r="F10" s="284" t="s">
        <v>246</v>
      </c>
      <c r="G10" s="23" t="s">
        <v>36</v>
      </c>
      <c r="H10" s="23" t="s">
        <v>107</v>
      </c>
      <c r="I10" s="243">
        <v>30</v>
      </c>
      <c r="J10" s="285">
        <v>1022.2</v>
      </c>
      <c r="K10" s="286">
        <f>IFERROR(VLOOKUP(C10,Tabla15[[CEDULA]:[BONO VEHICULAR]],8,0),0)</f>
        <v>0</v>
      </c>
      <c r="L10" s="610">
        <v>0</v>
      </c>
      <c r="M10" s="287">
        <f>+VLOOKUP(C10,Tabla335[[CEDULA ]:[US$,,]],9,0)</f>
        <v>0</v>
      </c>
      <c r="N10" s="288"/>
      <c r="O10" s="288"/>
      <c r="P10" s="319">
        <f>+VLOOKUP(C10,'COMISIONES-SOCIOS'!$C$8:$L$57,10,0)</f>
        <v>0</v>
      </c>
      <c r="Q10" s="289">
        <f>+VLOOKUP(C10,Tabla3[[CEDULA ]:[US$,]],8,0)</f>
        <v>0</v>
      </c>
      <c r="R10" s="289">
        <f>+VLOOKUP($C10,Tabla3[[CEDULA ]:[US$,]],9,0)</f>
        <v>0</v>
      </c>
      <c r="S10" s="31">
        <f t="shared" si="0"/>
        <v>0</v>
      </c>
      <c r="T10" s="28">
        <f t="shared" si="1"/>
        <v>1022.2</v>
      </c>
      <c r="U10" s="755">
        <f>VLOOKUP(C10,FR!$C$6:$M$55,11,0)</f>
        <v>85.149259999999998</v>
      </c>
      <c r="V10" s="29"/>
      <c r="W10" s="30"/>
      <c r="X10" s="30"/>
      <c r="Y10" s="31">
        <f t="shared" si="2"/>
        <v>1107.34926</v>
      </c>
      <c r="Z10" s="32">
        <f t="shared" si="3"/>
        <v>96.597899999999996</v>
      </c>
      <c r="AA10" s="32"/>
      <c r="AB10" s="32">
        <v>0</v>
      </c>
      <c r="AC10" s="277">
        <f>IFERROR(+VLOOKUP(D10,PQ!$D$35:$E$45,2,0),0)</f>
        <v>0</v>
      </c>
      <c r="AD10" s="277"/>
      <c r="AE10" s="277"/>
      <c r="AF10" s="277"/>
      <c r="AG10" s="277">
        <v>0</v>
      </c>
      <c r="AH10" s="277">
        <v>800</v>
      </c>
      <c r="AI10" s="359">
        <f t="shared" si="4"/>
        <v>896.59789999999998</v>
      </c>
      <c r="AJ10" s="732">
        <f t="shared" si="5"/>
        <v>210.75135999999998</v>
      </c>
      <c r="AK10" s="194">
        <v>600101003932</v>
      </c>
      <c r="AL10" s="157"/>
      <c r="AN10" s="195" t="e">
        <f t="shared" si="18"/>
        <v>#REF!</v>
      </c>
      <c r="AO10" s="25" t="str">
        <f t="shared" si="6"/>
        <v>YUQUILEMA DELGADO PEDRO ANTONIO</v>
      </c>
      <c r="AP10" s="367">
        <f t="shared" si="7"/>
        <v>43379</v>
      </c>
      <c r="AQ10" s="27">
        <f t="shared" si="8"/>
        <v>30</v>
      </c>
      <c r="AR10" s="23" t="str">
        <f t="shared" si="9"/>
        <v>Durán</v>
      </c>
      <c r="AS10" s="196">
        <f t="shared" si="19"/>
        <v>1022.2</v>
      </c>
      <c r="AT10" s="196">
        <f t="shared" si="10"/>
        <v>85.183333333333337</v>
      </c>
      <c r="AU10" s="196">
        <v>0</v>
      </c>
      <c r="AV10" s="196"/>
      <c r="AW10" s="196">
        <f t="shared" si="11"/>
        <v>39.166666666666664</v>
      </c>
      <c r="AX10" s="196">
        <f t="shared" si="12"/>
        <v>42.591666666666669</v>
      </c>
      <c r="AY10" s="197">
        <f t="shared" si="13"/>
        <v>1189.1416666666669</v>
      </c>
      <c r="AZ10" s="196">
        <f t="shared" si="14"/>
        <v>113.9753</v>
      </c>
      <c r="BA10" s="196">
        <f t="shared" si="15"/>
        <v>10.222000000000001</v>
      </c>
      <c r="BB10" s="196">
        <f t="shared" si="16"/>
        <v>124.19730000000001</v>
      </c>
      <c r="BC10" s="198"/>
    </row>
    <row r="11" spans="1:55" ht="22.2" customHeight="1">
      <c r="B11" s="153"/>
      <c r="C11" s="154"/>
      <c r="D11" s="726" t="s">
        <v>32</v>
      </c>
      <c r="E11" s="673"/>
      <c r="F11" s="290"/>
      <c r="G11" s="291"/>
      <c r="H11" s="291"/>
      <c r="I11" s="292"/>
      <c r="J11" s="293">
        <f>SUBTOTAL(9,J8:J10)</f>
        <v>2555.5</v>
      </c>
      <c r="K11" s="293">
        <f>SUBTOTAL(9,K8:K10)</f>
        <v>100</v>
      </c>
      <c r="L11" s="293">
        <f>SUBTOTAL(9,L8:L10)</f>
        <v>111.11</v>
      </c>
      <c r="M11" s="293">
        <f>SUBTOTAL(9,M8:M10)</f>
        <v>0</v>
      </c>
      <c r="N11" s="293">
        <f>SUBTOTAL(9,N8:N10)</f>
        <v>0</v>
      </c>
      <c r="O11" s="293">
        <f>SUBTOTAL(9,O8:O10)</f>
        <v>0</v>
      </c>
      <c r="P11" s="293">
        <f>SUBTOTAL(9,P8:P10)</f>
        <v>0</v>
      </c>
      <c r="Q11" s="293">
        <f>SUBTOTAL(9,Q8:Q10)</f>
        <v>0</v>
      </c>
      <c r="R11" s="293">
        <f>SUBTOTAL(9,R8:R10)</f>
        <v>0</v>
      </c>
      <c r="S11" s="149">
        <f>SUBTOTAL(9,S8:S10)</f>
        <v>211.11</v>
      </c>
      <c r="T11" s="149">
        <f>SUBTOTAL(9,T8:T10)</f>
        <v>2766.61</v>
      </c>
      <c r="U11" s="571">
        <f>SUBTOTAL(9,U8:U10)</f>
        <v>230.45861299999999</v>
      </c>
      <c r="V11" s="571">
        <f>SUBTOTAL(9,V8:V10)</f>
        <v>0</v>
      </c>
      <c r="W11" s="149">
        <f>SUBTOTAL(9,W8:W10)</f>
        <v>0</v>
      </c>
      <c r="X11" s="149">
        <f>SUBTOTAL(9,X8:X10)</f>
        <v>0</v>
      </c>
      <c r="Y11" s="149">
        <f>SUBTOTAL(9,Y8:Y10)</f>
        <v>2997.0686130000004</v>
      </c>
      <c r="Z11" s="149">
        <f>T11*9.45%</f>
        <v>261.44464499999998</v>
      </c>
      <c r="AA11" s="149">
        <f>+SUBTOTAL(9,AA8:AA10)</f>
        <v>0</v>
      </c>
      <c r="AB11" s="149">
        <f>SUBTOTAL(9,AB8:AB10)</f>
        <v>0</v>
      </c>
      <c r="AC11" s="149">
        <f>SUBTOTAL(9,AC8:AC10)</f>
        <v>0</v>
      </c>
      <c r="AD11" s="571">
        <f>SUBTOTAL(9,AD8:AD10)</f>
        <v>0</v>
      </c>
      <c r="AE11" s="149">
        <f>SUBTOTAL(9,AE8:AE10)</f>
        <v>0</v>
      </c>
      <c r="AF11" s="149">
        <f>SUBTOTAL(9,AF8:AF10)</f>
        <v>0</v>
      </c>
      <c r="AG11" s="149">
        <f>SUBTOTAL(9,AG8:AG10)</f>
        <v>0</v>
      </c>
      <c r="AH11" s="149">
        <f>SUBTOTAL(9,AH8:AH10)</f>
        <v>2150</v>
      </c>
      <c r="AI11" s="149">
        <f>SUBTOTAL(9,AI8:AI10)</f>
        <v>2411.444645</v>
      </c>
      <c r="AJ11" s="733">
        <f>SUBTOTAL(9,AJ8:AJ10)</f>
        <v>585.6239680000001</v>
      </c>
      <c r="AK11" s="53"/>
      <c r="AL11" s="157"/>
      <c r="AN11" s="199"/>
      <c r="AO11" s="25" t="str">
        <f t="shared" si="6"/>
        <v>TOTALES</v>
      </c>
      <c r="AP11" s="368"/>
      <c r="AQ11" s="200"/>
      <c r="AR11" s="200"/>
      <c r="AS11" s="201">
        <f>SUBTOTAL(9,AS8:AS10)</f>
        <v>2766.61</v>
      </c>
      <c r="AT11" s="201">
        <f>SUBTOTAL(9,AT8:AT10)</f>
        <v>230.55083333333334</v>
      </c>
      <c r="AU11" s="201">
        <f>SUBTOTAL(9,AU8:AU10)</f>
        <v>0</v>
      </c>
      <c r="AV11" s="201">
        <f>SUBTOTAL(9,AV8:AV10)</f>
        <v>0</v>
      </c>
      <c r="AW11" s="201">
        <f>SUBTOTAL(9,AW8:AW10)</f>
        <v>117.5</v>
      </c>
      <c r="AX11" s="201">
        <f>SUBTOTAL(9,AX8:AX10)</f>
        <v>115.27541666666667</v>
      </c>
      <c r="AY11" s="197">
        <f>SUM(AS11:AX11)</f>
        <v>3229.9362500000002</v>
      </c>
      <c r="AZ11" s="196">
        <f t="shared" si="14"/>
        <v>308.47701499999999</v>
      </c>
      <c r="BA11" s="196">
        <f t="shared" si="15"/>
        <v>27.6661</v>
      </c>
      <c r="BB11" s="196">
        <f t="shared" ref="BB11" si="20">SUM(AZ11:BA11)</f>
        <v>336.14311499999997</v>
      </c>
      <c r="BC11" s="198"/>
    </row>
    <row r="12" spans="1:55">
      <c r="D12" s="727"/>
      <c r="E12" s="674"/>
      <c r="F12" s="665"/>
      <c r="G12" s="51"/>
      <c r="H12" s="361"/>
      <c r="I12" s="51"/>
      <c r="J12" s="193"/>
      <c r="K12" s="193"/>
      <c r="L12" s="193"/>
      <c r="M12" s="294"/>
      <c r="N12" s="193"/>
      <c r="O12" s="193"/>
      <c r="P12" s="193"/>
      <c r="Q12" s="193"/>
      <c r="R12" s="193"/>
      <c r="S12" s="193"/>
      <c r="T12" s="193"/>
      <c r="U12" s="756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50"/>
      <c r="AK12" s="150"/>
      <c r="AL12" s="150"/>
      <c r="AN12"/>
      <c r="AO12"/>
      <c r="AP12" s="369"/>
      <c r="AQ12"/>
      <c r="AR12"/>
      <c r="AS12" s="66"/>
      <c r="AT12" s="66">
        <v>45011005</v>
      </c>
      <c r="AU12" s="232">
        <v>450135</v>
      </c>
      <c r="AV12" s="152"/>
      <c r="AW12" s="66">
        <v>45011010</v>
      </c>
      <c r="AX12" s="66">
        <v>45019020</v>
      </c>
      <c r="AY12" s="66"/>
      <c r="AZ12" s="66">
        <v>45012005</v>
      </c>
      <c r="BA12" s="66">
        <v>45012015</v>
      </c>
      <c r="BB12" s="66"/>
    </row>
    <row r="13" spans="1:55">
      <c r="J13" s="66">
        <v>45010505</v>
      </c>
      <c r="K13" s="798">
        <v>45019005</v>
      </c>
      <c r="L13" s="798"/>
      <c r="M13" s="798"/>
      <c r="N13" s="798"/>
      <c r="O13" s="798"/>
      <c r="P13" s="798"/>
      <c r="Q13" s="798">
        <v>45019015</v>
      </c>
      <c r="R13" s="798"/>
      <c r="S13" s="66"/>
      <c r="T13" s="66"/>
      <c r="U13" s="66">
        <v>450135</v>
      </c>
      <c r="V13" s="66"/>
      <c r="W13" s="66">
        <v>45011005</v>
      </c>
      <c r="X13" s="66">
        <v>45011010</v>
      </c>
      <c r="Y13" s="66"/>
      <c r="Z13" s="66">
        <v>25031505</v>
      </c>
      <c r="AA13" s="66">
        <v>25040505</v>
      </c>
      <c r="AB13" s="66"/>
      <c r="AC13" s="133">
        <v>25039001</v>
      </c>
      <c r="AD13" s="66">
        <v>45010505</v>
      </c>
      <c r="AE13" s="66">
        <v>25039002</v>
      </c>
      <c r="AF13" s="66">
        <v>25039003</v>
      </c>
      <c r="AG13" s="151">
        <v>16909005</v>
      </c>
      <c r="AH13" s="66">
        <v>169005</v>
      </c>
      <c r="AI13" s="66"/>
      <c r="AJ13" s="734">
        <v>250305</v>
      </c>
      <c r="AS13" s="151"/>
      <c r="AT13" s="151">
        <v>25031005</v>
      </c>
      <c r="AU13" s="151">
        <v>250320</v>
      </c>
      <c r="AV13" s="151"/>
      <c r="AW13" s="151">
        <v>25031010</v>
      </c>
      <c r="AX13" s="151">
        <v>25031025</v>
      </c>
      <c r="AY13" s="151"/>
      <c r="AZ13" s="151">
        <v>25031510</v>
      </c>
      <c r="BA13" s="151">
        <v>25031510</v>
      </c>
      <c r="BB13" s="151"/>
    </row>
    <row r="14" spans="1:55">
      <c r="M14" s="295"/>
      <c r="R14" s="80"/>
    </row>
    <row r="15" spans="1:55">
      <c r="R15" s="80"/>
      <c r="Y15" s="80"/>
      <c r="AG15" s="80"/>
      <c r="AK15" s="397"/>
    </row>
    <row r="16" spans="1:55">
      <c r="I16" s="80"/>
      <c r="J16" s="80"/>
      <c r="K16" s="34"/>
      <c r="L16" s="34"/>
      <c r="M16" s="395"/>
      <c r="N16" s="34"/>
      <c r="O16" s="34"/>
      <c r="P16" s="34"/>
      <c r="Q16" s="34"/>
      <c r="R16" s="34"/>
      <c r="S16" s="34"/>
      <c r="T16" s="34"/>
      <c r="U16" s="757"/>
      <c r="V16" s="34"/>
      <c r="AF16" s="80"/>
    </row>
    <row r="17" spans="3:58" ht="10.95" customHeight="1">
      <c r="J17" s="80"/>
      <c r="N17" s="80"/>
      <c r="R17" s="80"/>
    </row>
    <row r="18" spans="3:58" ht="10.95" customHeight="1">
      <c r="K18" s="80"/>
      <c r="L18" s="80"/>
      <c r="R18" s="80"/>
      <c r="AZ18" s="722"/>
      <c r="BA18" s="15"/>
      <c r="BB18" s="15"/>
      <c r="BC18" s="164"/>
      <c r="BD18" s="164"/>
      <c r="BE18" s="164"/>
      <c r="BF18" s="164"/>
    </row>
    <row r="19" spans="3:58" s="143" customFormat="1">
      <c r="C19" s="144"/>
      <c r="D19" s="145"/>
      <c r="E19" s="675"/>
      <c r="F19" s="666"/>
      <c r="H19" s="362"/>
      <c r="J19" s="296"/>
      <c r="K19" s="467"/>
      <c r="L19" s="467"/>
      <c r="M19" s="146"/>
      <c r="U19" s="758"/>
      <c r="AJ19" s="158"/>
      <c r="AL19" s="158"/>
      <c r="AN19" s="146"/>
      <c r="AO19" s="146"/>
      <c r="AP19" s="371"/>
      <c r="AQ19" s="146"/>
      <c r="AR19" s="146"/>
      <c r="AS19" s="146"/>
      <c r="AY19" s="146"/>
      <c r="AZ19" s="146"/>
      <c r="BA19" s="15"/>
      <c r="BB19" s="15"/>
      <c r="BC19" s="164"/>
      <c r="BD19" s="164"/>
      <c r="BE19" s="164"/>
      <c r="BF19" s="164"/>
    </row>
    <row r="20" spans="3:58" ht="71.400000000000006" customHeight="1">
      <c r="AU20" s="722"/>
      <c r="BA20" s="15"/>
      <c r="BB20" s="15"/>
      <c r="BC20" s="164"/>
      <c r="BD20" s="164"/>
      <c r="BE20" s="164"/>
      <c r="BF20" s="164"/>
    </row>
    <row r="21" spans="3:58">
      <c r="D21" s="728"/>
      <c r="E21" s="676"/>
      <c r="F21" s="667"/>
      <c r="G21" s="1"/>
      <c r="H21" s="363"/>
      <c r="I21" s="4"/>
      <c r="J21" s="4"/>
      <c r="K21" s="4"/>
      <c r="L21" s="4"/>
      <c r="M21" s="297"/>
      <c r="N21" s="4"/>
      <c r="O21" s="4"/>
      <c r="P21" s="4"/>
      <c r="Q21" s="4"/>
      <c r="R21" s="4"/>
      <c r="S21" s="246"/>
      <c r="T21" s="4"/>
      <c r="U21" s="245"/>
      <c r="V21" s="245"/>
      <c r="W21" s="245"/>
      <c r="X21" s="246"/>
      <c r="Y21" s="246"/>
      <c r="AU21" s="295"/>
      <c r="BA21" s="15"/>
      <c r="BB21" s="15"/>
      <c r="BC21" s="164"/>
      <c r="BD21" s="164"/>
      <c r="BE21" s="164"/>
      <c r="BF21" s="164"/>
    </row>
    <row r="22" spans="3:58" s="167" customFormat="1" ht="15.6">
      <c r="D22" s="729"/>
      <c r="E22" s="677"/>
      <c r="F22" s="668"/>
      <c r="G22" s="278"/>
      <c r="H22" s="360"/>
      <c r="I22" s="784"/>
      <c r="J22" s="784"/>
      <c r="K22" s="784"/>
      <c r="L22" s="784"/>
      <c r="M22" s="784"/>
      <c r="N22" s="784"/>
      <c r="O22" s="784"/>
      <c r="P22" s="784"/>
      <c r="Q22" s="9"/>
      <c r="R22" s="9"/>
      <c r="S22" s="9"/>
      <c r="T22" s="784"/>
      <c r="U22" s="784"/>
      <c r="V22" s="784"/>
      <c r="W22" s="784"/>
      <c r="X22" s="784"/>
      <c r="Y22" s="784"/>
      <c r="AJ22" s="168"/>
      <c r="AL22" s="168"/>
      <c r="AP22" s="372"/>
      <c r="BA22" s="260"/>
      <c r="BB22" s="260"/>
      <c r="BC22" s="260"/>
      <c r="BD22" s="260"/>
      <c r="BE22" s="260"/>
      <c r="BF22" s="260"/>
    </row>
    <row r="23" spans="3:58" s="167" customFormat="1" ht="15.6">
      <c r="D23" s="729"/>
      <c r="E23" s="677"/>
      <c r="F23" s="668"/>
      <c r="G23" s="298"/>
      <c r="H23" s="360"/>
      <c r="I23" s="784"/>
      <c r="J23" s="784"/>
      <c r="K23" s="784"/>
      <c r="L23" s="784"/>
      <c r="M23" s="784"/>
      <c r="N23" s="784"/>
      <c r="O23" s="784"/>
      <c r="P23" s="784"/>
      <c r="Q23" s="9"/>
      <c r="R23" s="9"/>
      <c r="S23" s="9"/>
      <c r="T23" s="785"/>
      <c r="U23" s="785"/>
      <c r="V23" s="785"/>
      <c r="W23" s="785"/>
      <c r="X23" s="785"/>
      <c r="Y23" s="785"/>
      <c r="AJ23" s="168"/>
      <c r="AL23" s="168"/>
      <c r="AP23" s="372"/>
      <c r="BA23" s="260"/>
      <c r="BB23" s="260"/>
      <c r="BC23" s="260"/>
      <c r="BD23" s="260"/>
      <c r="BE23" s="260"/>
      <c r="BF23" s="260"/>
    </row>
    <row r="27" spans="3:58">
      <c r="I27" s="299" t="s">
        <v>33</v>
      </c>
      <c r="J27" s="300">
        <f>J11</f>
        <v>2555.5</v>
      </c>
      <c r="K27" s="5"/>
      <c r="L27" s="5"/>
      <c r="M27" s="5"/>
      <c r="N27" s="5"/>
      <c r="O27" s="301" t="s">
        <v>34</v>
      </c>
      <c r="P27" s="300">
        <f>+S11</f>
        <v>211.11</v>
      </c>
      <c r="Q27" s="302"/>
      <c r="R27" s="302"/>
      <c r="S27" s="7"/>
      <c r="T27" s="7"/>
      <c r="U27" s="759"/>
      <c r="V27" s="7"/>
      <c r="W27" s="7"/>
      <c r="X27" s="7"/>
      <c r="Y27" s="7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59"/>
      <c r="AK27" s="18"/>
      <c r="AL27" s="159"/>
      <c r="AM27" s="18"/>
    </row>
    <row r="28" spans="3:58">
      <c r="I28" s="303">
        <v>9.4500000000000001E-2</v>
      </c>
      <c r="J28" s="304">
        <f>+J27*I28</f>
        <v>241.49475000000001</v>
      </c>
      <c r="K28" s="5"/>
      <c r="L28" s="5"/>
      <c r="M28" s="5"/>
      <c r="N28" s="5"/>
      <c r="O28" s="305">
        <v>9.4500000000000001E-2</v>
      </c>
      <c r="P28" s="304">
        <f>+P27*O28</f>
        <v>19.949895000000001</v>
      </c>
      <c r="Q28" s="306"/>
      <c r="R28" s="306"/>
      <c r="S28" s="5"/>
      <c r="T28" s="5"/>
      <c r="U28" s="760"/>
      <c r="V28" s="5"/>
      <c r="W28" s="5"/>
      <c r="X28" s="5"/>
      <c r="Y28" s="5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59"/>
      <c r="AK28" s="18"/>
      <c r="AL28" s="159"/>
      <c r="AM28" s="18"/>
    </row>
    <row r="29" spans="3:58">
      <c r="I29" s="303">
        <v>0.1215</v>
      </c>
      <c r="J29" s="304">
        <f>+J27*I29</f>
        <v>310.49324999999999</v>
      </c>
      <c r="K29" s="5"/>
      <c r="L29" s="5"/>
      <c r="M29" s="5"/>
      <c r="N29" s="5"/>
      <c r="O29" s="305">
        <v>0.1215</v>
      </c>
      <c r="P29" s="304">
        <f>+P27*O29</f>
        <v>25.649865000000002</v>
      </c>
      <c r="Q29" s="5"/>
      <c r="R29" s="5"/>
      <c r="S29" s="5"/>
      <c r="T29" s="5"/>
      <c r="U29" s="760"/>
      <c r="V29" s="5"/>
      <c r="W29" s="5"/>
      <c r="X29" s="5"/>
      <c r="Y29" s="5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59"/>
      <c r="AK29" s="18"/>
      <c r="AL29" s="159"/>
      <c r="AM29" s="18"/>
      <c r="AT29" s="66">
        <v>45011005</v>
      </c>
      <c r="AU29" s="67" t="s">
        <v>206</v>
      </c>
      <c r="AV29" s="231" t="e">
        <f>+#REF!</f>
        <v>#REF!</v>
      </c>
      <c r="AW29" s="234">
        <f>+AT11</f>
        <v>230.55083333333334</v>
      </c>
      <c r="AX29" s="235"/>
    </row>
    <row r="30" spans="3:58">
      <c r="I30" s="307" t="s">
        <v>21</v>
      </c>
      <c r="J30" s="308">
        <f>SUM(J28:J29)</f>
        <v>551.98800000000006</v>
      </c>
      <c r="K30" s="5"/>
      <c r="L30" s="5"/>
      <c r="M30" s="5"/>
      <c r="N30" s="5"/>
      <c r="O30" s="301" t="s">
        <v>21</v>
      </c>
      <c r="P30" s="308">
        <f>SUM(P28:P29)</f>
        <v>45.599760000000003</v>
      </c>
      <c r="Q30" s="5"/>
      <c r="R30" s="5"/>
      <c r="S30" s="5"/>
      <c r="T30" s="5"/>
      <c r="U30" s="760"/>
      <c r="V30" s="5"/>
      <c r="W30" s="5"/>
      <c r="X30" s="5"/>
      <c r="Y30" s="5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59"/>
      <c r="AK30" s="18"/>
      <c r="AL30" s="159"/>
      <c r="AM30" s="18"/>
      <c r="AT30" s="151">
        <v>450135</v>
      </c>
      <c r="AU30" s="233" t="s">
        <v>207</v>
      </c>
      <c r="AV30" s="233"/>
      <c r="AW30" s="236">
        <f>+AU11</f>
        <v>0</v>
      </c>
      <c r="AX30" s="236"/>
    </row>
    <row r="31" spans="3:58">
      <c r="I31" s="309"/>
      <c r="J31" s="309"/>
      <c r="K31" s="309"/>
      <c r="L31" s="309"/>
      <c r="M31" s="302"/>
      <c r="N31" s="147"/>
      <c r="O31" s="5"/>
      <c r="P31" s="5"/>
      <c r="Q31" s="5"/>
      <c r="R31" s="5"/>
      <c r="S31" s="5"/>
      <c r="T31" s="5"/>
      <c r="U31" s="760"/>
      <c r="V31" s="5"/>
      <c r="W31" s="5"/>
      <c r="X31" s="5"/>
      <c r="Y31" s="5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59"/>
      <c r="AK31" s="18"/>
      <c r="AL31" s="159"/>
      <c r="AM31" s="18"/>
      <c r="AT31" s="66">
        <v>45011010</v>
      </c>
      <c r="AU31" s="67" t="s">
        <v>205</v>
      </c>
      <c r="AV31" s="231" t="e">
        <f>SUM(#REF!)</f>
        <v>#REF!</v>
      </c>
      <c r="AW31" s="234">
        <f>+AW11</f>
        <v>117.5</v>
      </c>
      <c r="AX31" s="236"/>
    </row>
    <row r="32" spans="3:58" ht="15.6">
      <c r="I32" s="147"/>
      <c r="J32" s="302"/>
      <c r="K32" s="302"/>
      <c r="L32" s="302"/>
      <c r="M32" s="302"/>
      <c r="N32" s="147"/>
      <c r="O32" s="5"/>
      <c r="P32" s="5"/>
      <c r="Q32" s="5"/>
      <c r="R32" s="5"/>
      <c r="S32" s="5"/>
      <c r="T32" s="5"/>
      <c r="U32" s="760"/>
      <c r="V32" s="5"/>
      <c r="AA32" s="18"/>
      <c r="AB32" s="18"/>
      <c r="AC32" s="18"/>
      <c r="AD32" s="18"/>
      <c r="AE32" s="18"/>
      <c r="AF32" s="18"/>
      <c r="AG32" s="18"/>
      <c r="AH32" s="18"/>
      <c r="AI32" s="18"/>
      <c r="AJ32" s="159"/>
      <c r="AK32" s="18"/>
      <c r="AL32" s="159"/>
      <c r="AM32" s="18"/>
      <c r="AT32" s="66">
        <v>45019020</v>
      </c>
      <c r="AU32" s="67" t="s">
        <v>216</v>
      </c>
      <c r="AV32" s="231" t="e">
        <f>SUM(#REF!)</f>
        <v>#REF!</v>
      </c>
      <c r="AW32" s="234">
        <f>+AX11</f>
        <v>115.27541666666667</v>
      </c>
      <c r="AX32" s="237"/>
    </row>
    <row r="33" spans="9:51" ht="15.6">
      <c r="I33" s="147"/>
      <c r="J33" s="302"/>
      <c r="K33" s="302"/>
      <c r="L33" s="302"/>
      <c r="M33" s="302"/>
      <c r="N33" s="147"/>
      <c r="O33" s="5"/>
      <c r="P33" s="5"/>
      <c r="Q33" s="5"/>
      <c r="R33" s="5"/>
      <c r="S33" s="5"/>
      <c r="T33" s="5"/>
      <c r="U33" s="759"/>
      <c r="V33" s="7"/>
      <c r="AA33" s="18"/>
      <c r="AB33" s="18"/>
      <c r="AC33" s="18"/>
      <c r="AD33" s="18"/>
      <c r="AE33" s="18"/>
      <c r="AF33" s="18"/>
      <c r="AG33" s="18"/>
      <c r="AH33" s="18"/>
      <c r="AI33" s="18"/>
      <c r="AJ33" s="159"/>
      <c r="AK33" s="18"/>
      <c r="AL33" s="159"/>
      <c r="AM33" s="18"/>
      <c r="AT33" s="66">
        <v>45012005</v>
      </c>
      <c r="AU33" s="67" t="s">
        <v>217</v>
      </c>
      <c r="AV33" s="231" t="e">
        <f>+#REF!</f>
        <v>#REF!</v>
      </c>
      <c r="AW33" s="234">
        <f>+AZ11</f>
        <v>308.47701499999999</v>
      </c>
      <c r="AX33" s="237"/>
    </row>
    <row r="34" spans="9:51">
      <c r="I34" s="310">
        <v>25031505</v>
      </c>
      <c r="J34" s="311" t="s">
        <v>50</v>
      </c>
      <c r="K34" s="311">
        <v>2910.88</v>
      </c>
      <c r="L34" s="311"/>
      <c r="M34" s="311"/>
      <c r="N34" s="147"/>
      <c r="O34" s="310">
        <v>25031505</v>
      </c>
      <c r="P34" s="311" t="s">
        <v>50</v>
      </c>
      <c r="Q34" s="311">
        <v>657.98</v>
      </c>
      <c r="R34" s="148"/>
      <c r="S34" s="8">
        <f>+K34+Q34</f>
        <v>3568.86</v>
      </c>
      <c r="T34" s="18"/>
      <c r="U34" s="761"/>
      <c r="V34" s="18"/>
      <c r="W34" s="640" t="s">
        <v>346</v>
      </c>
      <c r="X34" s="574" t="s">
        <v>347</v>
      </c>
      <c r="Y34" s="574" t="s">
        <v>348</v>
      </c>
      <c r="Z34" s="574" t="s">
        <v>349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59"/>
      <c r="AK34" s="18"/>
      <c r="AL34" s="159"/>
      <c r="AM34" s="18"/>
      <c r="AT34" s="66">
        <v>45012015</v>
      </c>
      <c r="AU34" s="67" t="s">
        <v>218</v>
      </c>
      <c r="AV34" s="231" t="e">
        <f>+#REF!</f>
        <v>#REF!</v>
      </c>
      <c r="AW34" s="234">
        <f>+BA11</f>
        <v>27.6661</v>
      </c>
      <c r="AX34" s="236"/>
    </row>
    <row r="35" spans="9:51">
      <c r="I35" s="310">
        <v>25031510</v>
      </c>
      <c r="J35" s="311" t="s">
        <v>51</v>
      </c>
      <c r="K35" s="311">
        <v>3742.58</v>
      </c>
      <c r="L35" s="311"/>
      <c r="M35" s="311"/>
      <c r="N35" s="6"/>
      <c r="O35" s="310">
        <v>25031510</v>
      </c>
      <c r="P35" s="311" t="s">
        <v>51</v>
      </c>
      <c r="Q35" s="311">
        <v>845.91</v>
      </c>
      <c r="R35" s="148"/>
      <c r="S35" s="8">
        <f>+K35+Q35</f>
        <v>4588.49</v>
      </c>
      <c r="T35" s="18"/>
      <c r="U35" s="761"/>
      <c r="V35" s="18"/>
      <c r="W35" s="641"/>
      <c r="X35" s="576">
        <v>25031505</v>
      </c>
      <c r="Y35" s="576">
        <v>25031510</v>
      </c>
      <c r="Z35" s="576">
        <v>250305</v>
      </c>
      <c r="AA35" s="18"/>
      <c r="AB35" s="18"/>
      <c r="AC35" s="18"/>
      <c r="AD35" s="18"/>
      <c r="AE35" s="18"/>
      <c r="AF35" s="18"/>
      <c r="AG35" s="18"/>
      <c r="AH35" s="18"/>
      <c r="AI35" s="18"/>
      <c r="AJ35" s="159"/>
      <c r="AK35" s="18"/>
      <c r="AL35" s="159"/>
      <c r="AM35" s="18"/>
      <c r="AT35" s="66">
        <v>25031005</v>
      </c>
      <c r="AU35" s="67" t="s">
        <v>206</v>
      </c>
      <c r="AV35" s="231"/>
      <c r="AW35" s="234"/>
      <c r="AX35" s="236">
        <f>+AT11</f>
        <v>230.55083333333334</v>
      </c>
    </row>
    <row r="36" spans="9:51">
      <c r="I36" s="310">
        <v>45039005</v>
      </c>
      <c r="J36" s="311" t="s">
        <v>52</v>
      </c>
      <c r="K36" s="311">
        <v>0</v>
      </c>
      <c r="L36" s="311"/>
      <c r="M36" s="572"/>
      <c r="N36" s="6"/>
      <c r="O36" s="310">
        <v>45039005</v>
      </c>
      <c r="P36" s="311" t="s">
        <v>52</v>
      </c>
      <c r="Q36" s="311">
        <v>0</v>
      </c>
      <c r="R36" s="148"/>
      <c r="S36" s="18"/>
      <c r="T36" s="18"/>
      <c r="U36" s="6"/>
      <c r="V36" s="6"/>
      <c r="W36" s="579" t="s">
        <v>268</v>
      </c>
      <c r="X36" s="580">
        <f>+S34</f>
        <v>3568.86</v>
      </c>
      <c r="Y36" s="580">
        <f>+S35</f>
        <v>4588.49</v>
      </c>
      <c r="Z36" s="580">
        <v>22934.41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59"/>
      <c r="AK36" s="18"/>
      <c r="AL36" s="159"/>
      <c r="AM36" s="18"/>
      <c r="AT36" s="66">
        <v>250320</v>
      </c>
      <c r="AU36" s="67" t="s">
        <v>207</v>
      </c>
      <c r="AV36" s="67"/>
      <c r="AW36" s="234"/>
      <c r="AX36" s="236">
        <f>+AU11</f>
        <v>0</v>
      </c>
    </row>
    <row r="37" spans="9:51">
      <c r="I37" s="310">
        <v>25031505</v>
      </c>
      <c r="J37" s="311" t="s">
        <v>50</v>
      </c>
      <c r="K37" s="311"/>
      <c r="L37" s="311"/>
      <c r="M37" s="572">
        <v>0</v>
      </c>
      <c r="N37" s="6"/>
      <c r="O37" s="310">
        <v>11031020</v>
      </c>
      <c r="P37" s="311" t="s">
        <v>53</v>
      </c>
      <c r="Q37" s="311"/>
      <c r="R37" s="148">
        <v>1503.89</v>
      </c>
      <c r="S37" s="18"/>
      <c r="T37" s="18"/>
      <c r="U37" s="6"/>
      <c r="V37" s="6"/>
      <c r="W37" s="312" t="s">
        <v>104</v>
      </c>
      <c r="X37" s="581">
        <v>2129.96</v>
      </c>
      <c r="Y37" s="581">
        <v>2674.74</v>
      </c>
      <c r="Z37" s="581">
        <v>13492.95</v>
      </c>
      <c r="AA37" s="18"/>
      <c r="AB37" s="18"/>
      <c r="AC37" s="18"/>
      <c r="AD37" s="18"/>
      <c r="AE37" s="18"/>
      <c r="AF37" s="18"/>
      <c r="AG37" s="18"/>
      <c r="AH37" s="18"/>
      <c r="AI37" s="18"/>
      <c r="AJ37" s="159"/>
      <c r="AK37" s="18"/>
      <c r="AL37" s="159"/>
      <c r="AM37" s="18"/>
      <c r="AT37" s="66">
        <v>25031010</v>
      </c>
      <c r="AU37" s="67" t="s">
        <v>205</v>
      </c>
      <c r="AV37" s="67"/>
      <c r="AW37" s="234"/>
      <c r="AX37" s="236">
        <f>+AW11</f>
        <v>117.5</v>
      </c>
    </row>
    <row r="38" spans="9:51">
      <c r="I38" s="310">
        <v>25031510</v>
      </c>
      <c r="J38" s="311" t="s">
        <v>51</v>
      </c>
      <c r="K38" s="311"/>
      <c r="L38" s="311"/>
      <c r="M38" s="311">
        <v>0</v>
      </c>
      <c r="N38" s="6"/>
      <c r="O38" s="5"/>
      <c r="P38" s="5"/>
      <c r="Q38" s="302">
        <f>SUM(Q34:Q37)</f>
        <v>1503.8899999999999</v>
      </c>
      <c r="R38" s="302">
        <f>SUM(R34:R37)</f>
        <v>1503.89</v>
      </c>
      <c r="S38" s="18"/>
      <c r="T38" s="18"/>
      <c r="U38" s="6"/>
      <c r="V38" s="6"/>
      <c r="W38" s="312" t="s">
        <v>105</v>
      </c>
      <c r="X38" s="581">
        <v>866.39</v>
      </c>
      <c r="Y38" s="581">
        <v>1102.8699999999999</v>
      </c>
      <c r="Z38" s="581">
        <v>5495.22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59"/>
      <c r="AK38" s="18"/>
      <c r="AL38" s="159"/>
      <c r="AM38" s="18"/>
      <c r="AT38" s="66">
        <v>25031025</v>
      </c>
      <c r="AU38" s="67" t="s">
        <v>216</v>
      </c>
      <c r="AV38" s="67"/>
      <c r="AW38" s="234"/>
      <c r="AX38" s="236">
        <f>+AX11</f>
        <v>115.27541666666667</v>
      </c>
    </row>
    <row r="39" spans="9:51">
      <c r="I39" s="310">
        <v>11031020</v>
      </c>
      <c r="J39" s="311" t="s">
        <v>53</v>
      </c>
      <c r="K39" s="311"/>
      <c r="L39" s="311"/>
      <c r="M39" s="311">
        <v>6653.46</v>
      </c>
      <c r="N39" s="6"/>
      <c r="O39" s="5"/>
      <c r="P39" s="5"/>
      <c r="Q39" s="5"/>
      <c r="R39" s="8">
        <f>+Q38-R38</f>
        <v>0</v>
      </c>
      <c r="S39" s="18"/>
      <c r="T39" s="18"/>
      <c r="U39" s="760"/>
      <c r="V39" s="5"/>
      <c r="W39" s="312" t="s">
        <v>107</v>
      </c>
      <c r="X39" s="581">
        <v>572.51</v>
      </c>
      <c r="Y39" s="581">
        <v>783.26</v>
      </c>
      <c r="Z39" s="581">
        <v>3946.23</v>
      </c>
      <c r="AA39" s="18"/>
      <c r="AB39" s="18"/>
      <c r="AC39" s="18"/>
      <c r="AD39" s="18"/>
      <c r="AE39" s="18"/>
      <c r="AF39" s="18"/>
      <c r="AG39" s="18"/>
      <c r="AH39" s="18"/>
      <c r="AI39" s="18"/>
      <c r="AJ39" s="159"/>
      <c r="AK39" s="18"/>
      <c r="AL39" s="159"/>
      <c r="AM39" s="18"/>
      <c r="AT39" s="66">
        <v>25031510</v>
      </c>
      <c r="AU39" s="67" t="s">
        <v>217</v>
      </c>
      <c r="AV39" s="67"/>
      <c r="AW39" s="234"/>
      <c r="AX39" s="236">
        <f>+AZ11</f>
        <v>308.47701499999999</v>
      </c>
    </row>
    <row r="40" spans="9:51">
      <c r="I40" s="147"/>
      <c r="J40" s="3"/>
      <c r="K40" s="302">
        <f>SUM(K34:K39)</f>
        <v>6653.46</v>
      </c>
      <c r="L40" s="302"/>
      <c r="M40" s="302">
        <f>SUM(M34:M39)</f>
        <v>6653.46</v>
      </c>
      <c r="N40" s="2"/>
      <c r="O40" s="2"/>
      <c r="P40" s="2"/>
      <c r="Q40" s="6"/>
      <c r="R40" s="6"/>
      <c r="S40" s="6"/>
      <c r="T40" s="6"/>
      <c r="U40" s="6"/>
      <c r="V40" s="6"/>
      <c r="W40" s="582" t="s">
        <v>352</v>
      </c>
      <c r="X40" s="580">
        <f>+X36-X37-X38-X39</f>
        <v>0</v>
      </c>
      <c r="Y40" s="580">
        <f t="shared" ref="Y40:Z40" si="21">+Y36-Y37-Y38-Y39</f>
        <v>27.620000000000118</v>
      </c>
      <c r="Z40" s="580">
        <f t="shared" si="21"/>
        <v>9.9999999988540367E-3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59"/>
      <c r="AK40" s="18"/>
      <c r="AL40" s="159"/>
      <c r="AM40" s="18"/>
      <c r="AT40" s="66">
        <v>25031510</v>
      </c>
      <c r="AU40" s="67" t="s">
        <v>218</v>
      </c>
      <c r="AV40" s="67"/>
      <c r="AW40" s="234"/>
      <c r="AX40" s="236">
        <f>+BA11</f>
        <v>27.6661</v>
      </c>
    </row>
    <row r="41" spans="9:51">
      <c r="I41" s="1"/>
      <c r="J41" s="1"/>
      <c r="K41" s="1"/>
      <c r="L41" s="1"/>
      <c r="M41" s="313">
        <f>+K40-M40</f>
        <v>0</v>
      </c>
      <c r="N41" s="2"/>
      <c r="O41" s="2"/>
      <c r="P41" s="2"/>
      <c r="Q41" s="6"/>
      <c r="R41" s="6"/>
      <c r="S41" s="6"/>
      <c r="T41" s="6"/>
      <c r="U41" s="6"/>
      <c r="V41" s="6"/>
      <c r="W41" s="6"/>
      <c r="X41" s="6"/>
      <c r="Y41" s="2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59"/>
      <c r="AK41" s="18"/>
      <c r="AL41" s="159"/>
      <c r="AM41" s="18"/>
      <c r="AT41" s="66"/>
      <c r="AU41" s="67"/>
      <c r="AV41" s="67"/>
      <c r="AW41" s="234">
        <f>SUM(AW29:AW40)</f>
        <v>799.46936500000004</v>
      </c>
      <c r="AX41" s="234">
        <f>SUM(AX29:AX40)</f>
        <v>799.46936500000004</v>
      </c>
      <c r="AY41" s="238">
        <f>+AW41-AX41</f>
        <v>0</v>
      </c>
    </row>
    <row r="42" spans="9:51">
      <c r="I42" s="18"/>
      <c r="J42" s="18"/>
      <c r="K42" s="18"/>
      <c r="L42" s="18"/>
      <c r="N42" s="2"/>
      <c r="O42" s="2"/>
      <c r="P42" s="2"/>
      <c r="Q42" s="6"/>
      <c r="R42" s="6"/>
      <c r="S42" s="6"/>
      <c r="T42" s="6"/>
      <c r="U42" s="6"/>
      <c r="V42" s="6"/>
      <c r="W42" s="6"/>
      <c r="X42" s="6"/>
      <c r="Y42" s="2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59"/>
      <c r="AK42" s="18"/>
      <c r="AL42" s="159"/>
      <c r="AM42" s="18"/>
    </row>
    <row r="43" spans="9:51"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59"/>
      <c r="AK43" s="18"/>
      <c r="AL43" s="159"/>
      <c r="AM43" s="18"/>
    </row>
    <row r="44" spans="9:51">
      <c r="I44" s="780" t="s">
        <v>345</v>
      </c>
      <c r="J44" s="780"/>
      <c r="K44" s="780"/>
      <c r="L44" s="780"/>
      <c r="M44" s="780"/>
      <c r="N44" s="2"/>
      <c r="S44" s="575"/>
      <c r="T44" s="2"/>
      <c r="U44" s="2"/>
      <c r="V44" s="2"/>
      <c r="W44" s="2"/>
      <c r="X44" s="2"/>
      <c r="Y44" s="2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59"/>
      <c r="AK44" s="18"/>
      <c r="AL44" s="159"/>
      <c r="AM44" s="18"/>
    </row>
    <row r="45" spans="9:51">
      <c r="I45" s="573" t="s">
        <v>350</v>
      </c>
      <c r="J45" s="573" t="s">
        <v>208</v>
      </c>
      <c r="K45" s="573" t="s">
        <v>347</v>
      </c>
      <c r="L45" s="573"/>
      <c r="M45" s="573" t="s">
        <v>348</v>
      </c>
      <c r="N45" s="2"/>
      <c r="S45" s="575"/>
      <c r="T45" s="2"/>
      <c r="U45" s="2"/>
      <c r="V45" s="2"/>
      <c r="W45" s="2"/>
      <c r="X45" s="2"/>
      <c r="Y45" s="2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59"/>
      <c r="AK45" s="18"/>
      <c r="AL45" s="159"/>
      <c r="AM45" s="18"/>
    </row>
    <row r="46" spans="9:51">
      <c r="I46" s="573"/>
      <c r="J46" s="577"/>
      <c r="K46" s="578">
        <v>9.4500000000000001E-2</v>
      </c>
      <c r="L46" s="578"/>
      <c r="M46" s="578">
        <v>0.1115</v>
      </c>
      <c r="N46" s="1"/>
      <c r="S46" s="1"/>
      <c r="T46" s="1"/>
      <c r="U46" s="575"/>
      <c r="V46" s="1"/>
      <c r="W46" s="1"/>
      <c r="X46" s="1"/>
      <c r="Y46" s="1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59"/>
      <c r="AK46" s="18"/>
      <c r="AL46" s="159"/>
      <c r="AM46" s="18"/>
    </row>
    <row r="47" spans="9:51">
      <c r="I47" s="66" t="s">
        <v>351</v>
      </c>
      <c r="J47" s="581">
        <v>0</v>
      </c>
      <c r="K47" s="581">
        <f>+J47*K46</f>
        <v>0</v>
      </c>
      <c r="L47" s="581"/>
      <c r="M47" s="581">
        <f>+J47*M46</f>
        <v>0</v>
      </c>
      <c r="N47" s="1"/>
      <c r="S47" s="1"/>
      <c r="T47" s="1"/>
      <c r="U47" s="575"/>
      <c r="V47" s="1"/>
      <c r="W47" s="1"/>
      <c r="X47" s="1"/>
      <c r="Y47" s="1"/>
    </row>
    <row r="48" spans="9:51">
      <c r="I48" s="1"/>
      <c r="J48" s="1"/>
      <c r="K48" s="1"/>
      <c r="L48" s="1"/>
      <c r="M48" s="1"/>
      <c r="N48" s="1"/>
      <c r="S48" s="1"/>
      <c r="T48" s="1"/>
      <c r="U48" s="575"/>
      <c r="V48" s="1"/>
      <c r="W48" s="1"/>
      <c r="X48" s="1"/>
      <c r="Y48" s="1"/>
    </row>
    <row r="49" spans="9:25">
      <c r="I49" s="1"/>
      <c r="J49" s="1"/>
      <c r="K49" s="1"/>
      <c r="L49" s="1"/>
      <c r="M49" s="1"/>
      <c r="N49" s="1"/>
      <c r="S49" s="1"/>
      <c r="T49" s="1"/>
      <c r="U49" s="575"/>
      <c r="V49" s="1"/>
      <c r="W49" s="1"/>
      <c r="X49" s="1"/>
      <c r="Y49" s="1"/>
    </row>
    <row r="51" spans="9:25">
      <c r="I51" s="66">
        <v>45010505</v>
      </c>
      <c r="J51" s="67" t="s">
        <v>208</v>
      </c>
      <c r="K51" s="234">
        <f>+J11</f>
        <v>2555.5</v>
      </c>
      <c r="L51" s="234"/>
      <c r="M51" s="236"/>
    </row>
    <row r="52" spans="9:25">
      <c r="I52" s="66">
        <v>45019005</v>
      </c>
      <c r="J52" s="67" t="s">
        <v>202</v>
      </c>
      <c r="K52" s="234">
        <f>SUM(K11:P11)</f>
        <v>211.11</v>
      </c>
      <c r="L52" s="234"/>
      <c r="M52" s="236"/>
    </row>
    <row r="53" spans="9:25">
      <c r="I53" s="66">
        <v>45019015</v>
      </c>
      <c r="J53" s="67" t="s">
        <v>203</v>
      </c>
      <c r="K53" s="234">
        <f>SUM(Q11:R11)</f>
        <v>0</v>
      </c>
      <c r="L53" s="234"/>
      <c r="M53" s="236"/>
    </row>
    <row r="54" spans="9:25">
      <c r="I54" s="66">
        <v>450135</v>
      </c>
      <c r="J54" s="67" t="s">
        <v>207</v>
      </c>
      <c r="K54" s="234">
        <f>+U11</f>
        <v>230.45861299999999</v>
      </c>
      <c r="L54" s="234"/>
      <c r="M54" s="236"/>
    </row>
    <row r="55" spans="9:25">
      <c r="I55" s="66">
        <v>45011005</v>
      </c>
      <c r="J55" s="67" t="s">
        <v>206</v>
      </c>
      <c r="K55" s="234">
        <f>+W11</f>
        <v>0</v>
      </c>
      <c r="L55" s="234"/>
      <c r="M55" s="236"/>
    </row>
    <row r="56" spans="9:25">
      <c r="I56" s="66">
        <v>45011010</v>
      </c>
      <c r="J56" s="67" t="s">
        <v>205</v>
      </c>
      <c r="K56" s="234">
        <f>+X11</f>
        <v>0</v>
      </c>
      <c r="L56" s="234"/>
      <c r="M56" s="236"/>
    </row>
    <row r="57" spans="9:25">
      <c r="I57" s="66">
        <v>25031505</v>
      </c>
      <c r="J57" s="67" t="s">
        <v>215</v>
      </c>
      <c r="K57" s="234"/>
      <c r="L57" s="234"/>
      <c r="M57" s="236">
        <f>+Z11</f>
        <v>261.44464499999998</v>
      </c>
    </row>
    <row r="58" spans="9:25">
      <c r="I58" s="66">
        <v>25040505</v>
      </c>
      <c r="J58" s="67" t="s">
        <v>415</v>
      </c>
      <c r="K58" s="234"/>
      <c r="L58" s="234"/>
      <c r="M58" s="236">
        <f>+AA11</f>
        <v>0</v>
      </c>
    </row>
    <row r="59" spans="9:25">
      <c r="I59" s="66">
        <v>25039001</v>
      </c>
      <c r="J59" s="67" t="s">
        <v>353</v>
      </c>
      <c r="K59" s="234"/>
      <c r="L59" s="234"/>
      <c r="M59" s="236">
        <f>+AC11</f>
        <v>0</v>
      </c>
    </row>
    <row r="60" spans="9:25">
      <c r="I60" s="66">
        <v>45010505</v>
      </c>
      <c r="J60" s="67" t="s">
        <v>209</v>
      </c>
      <c r="K60" s="234"/>
      <c r="L60" s="234"/>
      <c r="M60" s="236">
        <f>+AD11</f>
        <v>0</v>
      </c>
    </row>
    <row r="61" spans="9:25">
      <c r="I61" s="66">
        <v>25039002</v>
      </c>
      <c r="J61" s="67" t="s">
        <v>210</v>
      </c>
      <c r="K61" s="234"/>
      <c r="L61" s="234"/>
      <c r="M61" s="236">
        <f>+AE11</f>
        <v>0</v>
      </c>
    </row>
    <row r="62" spans="9:25">
      <c r="I62" s="66">
        <v>25039003</v>
      </c>
      <c r="J62" s="67" t="s">
        <v>211</v>
      </c>
      <c r="K62" s="234"/>
      <c r="L62" s="234"/>
      <c r="M62" s="236">
        <f>+AF11</f>
        <v>0</v>
      </c>
    </row>
    <row r="63" spans="9:25">
      <c r="I63" s="66">
        <v>16909005</v>
      </c>
      <c r="J63" s="67" t="s">
        <v>212</v>
      </c>
      <c r="K63" s="234"/>
      <c r="L63" s="234"/>
      <c r="M63" s="236">
        <f>+AG11</f>
        <v>0</v>
      </c>
    </row>
    <row r="64" spans="9:25">
      <c r="I64" s="66">
        <v>169005</v>
      </c>
      <c r="J64" s="67" t="s">
        <v>213</v>
      </c>
      <c r="K64" s="234"/>
      <c r="L64" s="234"/>
      <c r="M64" s="236">
        <f>+AH11</f>
        <v>2150</v>
      </c>
    </row>
    <row r="65" spans="9:14">
      <c r="I65" s="66">
        <v>250305</v>
      </c>
      <c r="J65" s="67" t="s">
        <v>214</v>
      </c>
      <c r="K65" s="234"/>
      <c r="L65" s="234"/>
      <c r="M65" s="236">
        <f>+AJ11</f>
        <v>585.6239680000001</v>
      </c>
    </row>
    <row r="66" spans="9:14">
      <c r="I66" s="67"/>
      <c r="J66" s="67"/>
      <c r="K66" s="234">
        <f>SUM(K51:K56)</f>
        <v>2997.0686129999999</v>
      </c>
      <c r="L66" s="234"/>
      <c r="M66" s="236">
        <f>SUM(M57:M65)</f>
        <v>2997.0686130000004</v>
      </c>
      <c r="N66" s="80">
        <f>+K66-M66</f>
        <v>0</v>
      </c>
    </row>
  </sheetData>
  <autoFilter ref="A6:BF10" xr:uid="{61407FA4-F656-4013-B4B7-BE63AC53DBFD}">
    <filterColumn colId="16" showButton="0"/>
    <filterColumn colId="51" showButton="0"/>
    <filterColumn colId="52" showButton="0"/>
  </autoFilter>
  <mergeCells count="54">
    <mergeCell ref="AN3:AT3"/>
    <mergeCell ref="B3:Q3"/>
    <mergeCell ref="AR6:AR7"/>
    <mergeCell ref="B2:AK2"/>
    <mergeCell ref="AN2:BB2"/>
    <mergeCell ref="AD6:AD7"/>
    <mergeCell ref="AE6:AE7"/>
    <mergeCell ref="AF6:AF7"/>
    <mergeCell ref="AG6:AG7"/>
    <mergeCell ref="AH6:AH7"/>
    <mergeCell ref="AI6:AI7"/>
    <mergeCell ref="G6:G7"/>
    <mergeCell ref="H6:H7"/>
    <mergeCell ref="I6:I7"/>
    <mergeCell ref="J6:J7"/>
    <mergeCell ref="L6:L7"/>
    <mergeCell ref="AS6:AS7"/>
    <mergeCell ref="AY6:AY7"/>
    <mergeCell ref="AZ6:BB6"/>
    <mergeCell ref="K13:P13"/>
    <mergeCell ref="Q13:R13"/>
    <mergeCell ref="AJ6:AJ7"/>
    <mergeCell ref="AK6:AK7"/>
    <mergeCell ref="AN6:AN7"/>
    <mergeCell ref="S6:S7"/>
    <mergeCell ref="AP6:AP7"/>
    <mergeCell ref="AO6:AO7"/>
    <mergeCell ref="AQ6:AQ7"/>
    <mergeCell ref="AA6:AA7"/>
    <mergeCell ref="K6:K7"/>
    <mergeCell ref="V6:V7"/>
    <mergeCell ref="B6:B7"/>
    <mergeCell ref="C6:C7"/>
    <mergeCell ref="D6:D7"/>
    <mergeCell ref="E6:E7"/>
    <mergeCell ref="F6:F7"/>
    <mergeCell ref="I44:M44"/>
    <mergeCell ref="M6:M7"/>
    <mergeCell ref="J5:Y5"/>
    <mergeCell ref="I23:P23"/>
    <mergeCell ref="T23:Y23"/>
    <mergeCell ref="I22:P22"/>
    <mergeCell ref="T22:Y22"/>
    <mergeCell ref="Z5:AI5"/>
    <mergeCell ref="AC6:AC7"/>
    <mergeCell ref="N6:N7"/>
    <mergeCell ref="O6:O7"/>
    <mergeCell ref="P6:P7"/>
    <mergeCell ref="Q6:R6"/>
    <mergeCell ref="T6:T7"/>
    <mergeCell ref="U6:U7"/>
    <mergeCell ref="W6:W7"/>
    <mergeCell ref="X6:X7"/>
    <mergeCell ref="Y6:Y7"/>
  </mergeCells>
  <conditionalFormatting sqref="K8:K10">
    <cfRule type="cellIs" dxfId="5" priority="2" operator="between">
      <formula>100</formula>
      <formula>300</formula>
    </cfRule>
  </conditionalFormatting>
  <conditionalFormatting sqref="U8:V10">
    <cfRule type="cellIs" dxfId="4" priority="3" operator="between">
      <formula>0</formula>
      <formula>0</formula>
    </cfRule>
  </conditionalFormatting>
  <dataValidations count="2">
    <dataValidation allowBlank="1" showInputMessage="1" showErrorMessage="1" promptTitle="COMISION META" prompt="APLICA PARA RECAUDACION" sqref="N6:N7" xr:uid="{2B97BAF9-EF77-41E4-8F1E-1ABA7D0947E0}"/>
    <dataValidation allowBlank="1" showInputMessage="1" showErrorMessage="1" promptTitle="IESS GRAVABLE" prompt="LA SUMA DE SUELDO + H.E + COMISIONES +BONIFICACIONES_x000a_" sqref="T6:T7" xr:uid="{2FF0F99C-6D6A-40CB-B7C8-3DF4935493CE}"/>
  </dataValidations>
  <pageMargins left="0.12" right="0.12" top="0.48" bottom="0.12" header="0.12" footer="0.3"/>
  <pageSetup scale="1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7200-A414-44D0-9490-413ACE61EB64}">
  <sheetPr codeName="Hoja2">
    <pageSetUpPr fitToPage="1"/>
  </sheetPr>
  <dimension ref="A2:O44"/>
  <sheetViews>
    <sheetView topLeftCell="B1" workbookViewId="0">
      <selection activeCell="J9" sqref="J9"/>
    </sheetView>
  </sheetViews>
  <sheetFormatPr baseColWidth="10" defaultRowHeight="14.4"/>
  <cols>
    <col min="1" max="1" width="2.33203125" customWidth="1"/>
    <col min="2" max="2" width="5.6640625" customWidth="1"/>
    <col min="3" max="3" width="10.33203125" customWidth="1"/>
    <col min="4" max="4" width="30.33203125" customWidth="1"/>
    <col min="5" max="5" width="18.5546875" hidden="1" customWidth="1"/>
    <col min="6" max="6" width="29.5546875" customWidth="1"/>
    <col min="7" max="7" width="12.5546875" style="17" customWidth="1"/>
    <col min="8" max="8" width="11.21875" customWidth="1"/>
    <col min="9" max="9" width="12.44140625" style="17" customWidth="1"/>
    <col min="10" max="10" width="10.88671875" customWidth="1"/>
    <col min="14" max="14" width="35.109375" customWidth="1"/>
  </cols>
  <sheetData>
    <row r="2" spans="1:15" ht="18">
      <c r="B2" s="827" t="s">
        <v>187</v>
      </c>
      <c r="C2" s="827"/>
      <c r="D2" s="827"/>
      <c r="E2" s="827"/>
      <c r="F2" s="827"/>
      <c r="G2" s="827"/>
      <c r="H2" s="827"/>
      <c r="I2" s="827"/>
      <c r="J2" s="827"/>
      <c r="K2" s="136"/>
      <c r="L2" s="136"/>
    </row>
    <row r="3" spans="1:15">
      <c r="B3" s="826" t="s">
        <v>456</v>
      </c>
      <c r="C3" s="826"/>
      <c r="D3" s="826"/>
      <c r="E3" s="826"/>
      <c r="F3" s="826"/>
      <c r="G3" s="826"/>
      <c r="H3" s="826"/>
      <c r="I3" s="826"/>
      <c r="J3" s="826"/>
      <c r="K3" s="137"/>
      <c r="L3" s="137"/>
    </row>
    <row r="4" spans="1:15">
      <c r="B4" s="828"/>
      <c r="C4" s="828"/>
      <c r="D4" s="828"/>
      <c r="E4" s="828"/>
      <c r="F4" s="828"/>
      <c r="G4" s="828"/>
      <c r="H4" s="828"/>
      <c r="I4" s="828"/>
      <c r="J4" s="828"/>
      <c r="K4" s="138"/>
      <c r="L4" s="138"/>
    </row>
    <row r="5" spans="1:15" ht="15" thickBot="1">
      <c r="A5" s="38"/>
    </row>
    <row r="6" spans="1:15" ht="28.5" customHeight="1" thickBot="1">
      <c r="B6" s="39" t="s">
        <v>1</v>
      </c>
      <c r="C6" s="39" t="s">
        <v>84</v>
      </c>
      <c r="D6" s="40" t="s">
        <v>2</v>
      </c>
      <c r="E6" s="39" t="s">
        <v>102</v>
      </c>
      <c r="F6" s="39" t="s">
        <v>103</v>
      </c>
      <c r="G6" s="226" t="s">
        <v>75</v>
      </c>
      <c r="H6" s="41" t="s">
        <v>12</v>
      </c>
      <c r="I6" s="41" t="s">
        <v>3</v>
      </c>
      <c r="J6" s="142" t="s">
        <v>4</v>
      </c>
      <c r="K6" s="190" t="s">
        <v>195</v>
      </c>
      <c r="N6" s="42" t="s">
        <v>120</v>
      </c>
      <c r="O6" s="43" t="s">
        <v>121</v>
      </c>
    </row>
    <row r="7" spans="1:15" ht="17.25" customHeight="1" thickBot="1">
      <c r="B7" s="44">
        <v>1</v>
      </c>
      <c r="C7" s="212">
        <v>955741970</v>
      </c>
      <c r="D7" s="708" t="e">
        <f>+VLOOKUP(Tabla15[[#This Row],[CEDULA]],'OCTUBRE 2025'!$C$8:$J$10,2,0)</f>
        <v>#N/A</v>
      </c>
      <c r="E7" s="213" t="s">
        <v>78</v>
      </c>
      <c r="F7" s="708" t="e">
        <f>+VLOOKUP(Tabla15[[#This Row],[CEDULA]],'OCTUBRE 2025'!$C$8:$J$10,4,0)</f>
        <v>#N/A</v>
      </c>
      <c r="G7" s="215" t="s">
        <v>104</v>
      </c>
      <c r="H7" s="708" t="e">
        <f>+VLOOKUP(Tabla15[[#This Row],[CEDULA]],'OCTUBRE 2025'!$C$8:$J$10,7,0)</f>
        <v>#N/A</v>
      </c>
      <c r="I7" s="216" t="e">
        <f>+VLOOKUP(Tabla15[[#This Row],[CEDULA]],'OCTUBRE 2025'!$C$8:$J$10,8,0)</f>
        <v>#N/A</v>
      </c>
      <c r="J7" s="139">
        <f>100</f>
        <v>100</v>
      </c>
      <c r="N7" s="45" t="s">
        <v>106</v>
      </c>
      <c r="O7" s="34">
        <v>100</v>
      </c>
    </row>
    <row r="8" spans="1:15" ht="15.6" customHeight="1" thickBot="1">
      <c r="B8" s="46">
        <v>2</v>
      </c>
      <c r="C8" s="217">
        <v>944143148</v>
      </c>
      <c r="D8" s="708" t="e">
        <f>+VLOOKUP(Tabla15[[#This Row],[CEDULA]],'OCTUBRE 2025'!$C$8:$J$10,2,0)</f>
        <v>#N/A</v>
      </c>
      <c r="E8" s="170" t="s">
        <v>80</v>
      </c>
      <c r="F8" s="214" t="s">
        <v>194</v>
      </c>
      <c r="G8" s="218" t="s">
        <v>104</v>
      </c>
      <c r="H8" s="708" t="e">
        <f>+VLOOKUP(Tabla15[[#This Row],[CEDULA]],'OCTUBRE 2025'!$C$8:$J$10,7,0)</f>
        <v>#N/A</v>
      </c>
      <c r="I8" s="216" t="e">
        <f>+VLOOKUP(Tabla15[[#This Row],[CEDULA]],'OCTUBRE 2025'!$C$8:$J$10,8,0)</f>
        <v>#N/A</v>
      </c>
      <c r="J8" s="140" t="e">
        <f>+(3.33333333333333)*Tabla15[[#This Row],[DIAS TRABAJADOS]]</f>
        <v>#N/A</v>
      </c>
      <c r="N8" s="45" t="s">
        <v>108</v>
      </c>
      <c r="O8" s="34">
        <v>200</v>
      </c>
    </row>
    <row r="9" spans="1:15" ht="17.25" customHeight="1" thickBot="1">
      <c r="B9" s="46">
        <v>3</v>
      </c>
      <c r="C9" s="217">
        <v>950929232</v>
      </c>
      <c r="D9" s="708" t="e">
        <f>+VLOOKUP(Tabla15[[#This Row],[CEDULA]],'OCTUBRE 2025'!$C$8:$J$10,2,0)</f>
        <v>#N/A</v>
      </c>
      <c r="E9" s="170" t="s">
        <v>63</v>
      </c>
      <c r="F9" s="214" t="s">
        <v>194</v>
      </c>
      <c r="G9" s="218" t="s">
        <v>105</v>
      </c>
      <c r="H9" s="708" t="e">
        <f>+VLOOKUP(Tabla15[[#This Row],[CEDULA]],'OCTUBRE 2025'!$C$8:$J$10,7,0)</f>
        <v>#N/A</v>
      </c>
      <c r="I9" s="216" t="e">
        <f>+VLOOKUP(Tabla15[[#This Row],[CEDULA]],'OCTUBRE 2025'!$C$8:$J$10,8,0)</f>
        <v>#N/A</v>
      </c>
      <c r="J9" s="140">
        <v>0</v>
      </c>
      <c r="N9" s="45" t="s">
        <v>109</v>
      </c>
      <c r="O9" s="34">
        <v>200</v>
      </c>
    </row>
    <row r="10" spans="1:15" ht="17.25" customHeight="1" thickBot="1">
      <c r="B10" s="46">
        <v>4</v>
      </c>
      <c r="C10" s="217">
        <v>953819646</v>
      </c>
      <c r="D10" s="708" t="e">
        <f>+VLOOKUP(Tabla15[[#This Row],[CEDULA]],'OCTUBRE 2025'!$C$8:$J$10,2,0)</f>
        <v>#N/A</v>
      </c>
      <c r="E10" s="170" t="s">
        <v>60</v>
      </c>
      <c r="F10" s="214" t="s">
        <v>194</v>
      </c>
      <c r="G10" s="218" t="s">
        <v>104</v>
      </c>
      <c r="H10" s="708" t="e">
        <f>+VLOOKUP(Tabla15[[#This Row],[CEDULA]],'OCTUBRE 2025'!$C$8:$J$10,7,0)</f>
        <v>#N/A</v>
      </c>
      <c r="I10" s="216" t="e">
        <f>+VLOOKUP(Tabla15[[#This Row],[CEDULA]],'OCTUBRE 2025'!$C$8:$J$10,8,0)</f>
        <v>#N/A</v>
      </c>
      <c r="J10" s="140">
        <f>100</f>
        <v>100</v>
      </c>
      <c r="N10" s="45" t="s">
        <v>111</v>
      </c>
      <c r="O10" s="34">
        <v>300</v>
      </c>
    </row>
    <row r="11" spans="1:15" ht="17.25" customHeight="1" thickBot="1">
      <c r="B11" s="46">
        <v>5</v>
      </c>
      <c r="C11" s="217">
        <v>956796767</v>
      </c>
      <c r="D11" s="708" t="e">
        <f>+VLOOKUP(Tabla15[[#This Row],[CEDULA]],'OCTUBRE 2025'!$C$8:$J$10,2,0)</f>
        <v>#N/A</v>
      </c>
      <c r="E11" s="170" t="s">
        <v>70</v>
      </c>
      <c r="F11" s="214" t="s">
        <v>194</v>
      </c>
      <c r="G11" s="218" t="s">
        <v>105</v>
      </c>
      <c r="H11" s="708" t="e">
        <f>+VLOOKUP(Tabla15[[#This Row],[CEDULA]],'OCTUBRE 2025'!$C$8:$J$10,7,0)</f>
        <v>#N/A</v>
      </c>
      <c r="I11" s="216" t="e">
        <f>+VLOOKUP(Tabla15[[#This Row],[CEDULA]],'OCTUBRE 2025'!$C$8:$J$10,8,0)</f>
        <v>#N/A</v>
      </c>
      <c r="J11" s="140">
        <f>100</f>
        <v>100</v>
      </c>
      <c r="N11" s="45" t="s">
        <v>197</v>
      </c>
      <c r="O11" s="34">
        <v>200</v>
      </c>
    </row>
    <row r="12" spans="1:15" ht="17.25" customHeight="1">
      <c r="B12" s="46">
        <v>6</v>
      </c>
      <c r="C12" s="217">
        <v>957093800</v>
      </c>
      <c r="D12" s="708" t="e">
        <f>+VLOOKUP(Tabla15[[#This Row],[CEDULA]],'OCTUBRE 2025'!$C$8:$J$10,2,0)</f>
        <v>#N/A</v>
      </c>
      <c r="E12" s="170" t="s">
        <v>83</v>
      </c>
      <c r="F12" s="214" t="s">
        <v>194</v>
      </c>
      <c r="G12" s="218" t="s">
        <v>107</v>
      </c>
      <c r="H12" s="708" t="e">
        <f>+VLOOKUP(Tabla15[[#This Row],[CEDULA]],'OCTUBRE 2025'!$C$8:$J$10,7,0)</f>
        <v>#N/A</v>
      </c>
      <c r="I12" s="216" t="e">
        <f>+VLOOKUP(Tabla15[[#This Row],[CEDULA]],'OCTUBRE 2025'!$C$8:$J$10,8,0)</f>
        <v>#N/A</v>
      </c>
      <c r="J12" s="140" t="e">
        <f>+(3.33333333333333)*Tabla15[[#This Row],[DIAS TRABAJADOS]]-60</f>
        <v>#N/A</v>
      </c>
    </row>
    <row r="13" spans="1:15" ht="17.25" customHeight="1">
      <c r="B13" s="44">
        <v>7</v>
      </c>
      <c r="C13" s="217">
        <v>603838657</v>
      </c>
      <c r="D13" s="708" t="e">
        <f>+VLOOKUP(Tabla15[[#This Row],[CEDULA]],'OCTUBRE 2025'!$C$8:$J$10,2,0)</f>
        <v>#N/A</v>
      </c>
      <c r="E13" s="170" t="s">
        <v>71</v>
      </c>
      <c r="F13" s="214" t="s">
        <v>194</v>
      </c>
      <c r="G13" s="218" t="s">
        <v>107</v>
      </c>
      <c r="H13" s="708" t="e">
        <f>+VLOOKUP(Tabla15[[#This Row],[CEDULA]],'OCTUBRE 2025'!$C$8:$J$10,7,0)</f>
        <v>#N/A</v>
      </c>
      <c r="I13" s="216" t="e">
        <f>+VLOOKUP(Tabla15[[#This Row],[CEDULA]],'OCTUBRE 2025'!$C$8:$J$10,8,0)</f>
        <v>#N/A</v>
      </c>
      <c r="J13" s="140">
        <v>200</v>
      </c>
    </row>
    <row r="14" spans="1:15" ht="17.25" customHeight="1">
      <c r="B14" s="46">
        <v>8</v>
      </c>
      <c r="C14" s="217">
        <v>925240525</v>
      </c>
      <c r="D14" s="708" t="e">
        <f>+VLOOKUP(Tabla15[[#This Row],[CEDULA]],'OCTUBRE 2025'!$C$8:$J$10,2,0)</f>
        <v>#N/A</v>
      </c>
      <c r="E14" s="219" t="s">
        <v>24</v>
      </c>
      <c r="F14" s="172" t="s">
        <v>108</v>
      </c>
      <c r="G14" s="220" t="s">
        <v>104</v>
      </c>
      <c r="H14" s="708" t="e">
        <f>+VLOOKUP(Tabla15[[#This Row],[CEDULA]],'OCTUBRE 2025'!$C$8:$J$10,7,0)</f>
        <v>#N/A</v>
      </c>
      <c r="I14" s="216" t="e">
        <f>+VLOOKUP(Tabla15[[#This Row],[CEDULA]],'OCTUBRE 2025'!$C$8:$J$10,8,0)</f>
        <v>#N/A</v>
      </c>
      <c r="J14" s="140">
        <f>200-200</f>
        <v>0</v>
      </c>
    </row>
    <row r="15" spans="1:15" ht="17.25" customHeight="1">
      <c r="B15" s="46"/>
      <c r="C15" s="217" t="s">
        <v>275</v>
      </c>
      <c r="D15" s="708" t="e">
        <f>+VLOOKUP(Tabla15[[#This Row],[CEDULA]],'OCTUBRE 2025'!$C$8:$J$10,2,0)</f>
        <v>#N/A</v>
      </c>
      <c r="E15" s="219"/>
      <c r="F15" s="214" t="s">
        <v>194</v>
      </c>
      <c r="G15" s="220" t="s">
        <v>105</v>
      </c>
      <c r="H15" s="708">
        <v>30</v>
      </c>
      <c r="I15" s="216">
        <v>473.88</v>
      </c>
      <c r="J15" s="140">
        <f>100</f>
        <v>100</v>
      </c>
    </row>
    <row r="16" spans="1:15" ht="17.25" customHeight="1">
      <c r="B16" s="46">
        <v>9</v>
      </c>
      <c r="C16" s="217">
        <v>950703199</v>
      </c>
      <c r="D16" s="708" t="e">
        <f>+VLOOKUP(Tabla15[[#This Row],[CEDULA]],'OCTUBRE 2025'!$C$8:$J$10,2,0)</f>
        <v>#N/A</v>
      </c>
      <c r="E16" s="219" t="s">
        <v>72</v>
      </c>
      <c r="F16" s="214" t="s">
        <v>194</v>
      </c>
      <c r="G16" s="221" t="s">
        <v>104</v>
      </c>
      <c r="H16" s="708" t="e">
        <f>+VLOOKUP(Tabla15[[#This Row],[CEDULA]],'OCTUBRE 2025'!$C$8:$J$10,7,0)</f>
        <v>#N/A</v>
      </c>
      <c r="I16" s="216" t="e">
        <f>+VLOOKUP(Tabla15[[#This Row],[CEDULA]],'OCTUBRE 2025'!$C$8:$J$10,8,0)</f>
        <v>#N/A</v>
      </c>
      <c r="J16" s="140">
        <f>100</f>
        <v>100</v>
      </c>
    </row>
    <row r="17" spans="2:14" ht="17.25" customHeight="1">
      <c r="B17" s="46">
        <v>10</v>
      </c>
      <c r="C17" s="217">
        <v>925830689</v>
      </c>
      <c r="D17" s="708" t="e">
        <f>+VLOOKUP(Tabla15[[#This Row],[CEDULA]],'OCTUBRE 2025'!$C$8:$J$10,2,0)</f>
        <v>#N/A</v>
      </c>
      <c r="E17" s="219" t="s">
        <v>37</v>
      </c>
      <c r="F17" s="172" t="s">
        <v>109</v>
      </c>
      <c r="G17" s="218" t="s">
        <v>104</v>
      </c>
      <c r="H17" s="708" t="e">
        <f>+VLOOKUP(Tabla15[[#This Row],[CEDULA]],'OCTUBRE 2025'!$C$8:$J$10,7,0)</f>
        <v>#N/A</v>
      </c>
      <c r="I17" s="216" t="e">
        <f>+VLOOKUP(Tabla15[[#This Row],[CEDULA]],'OCTUBRE 2025'!$C$8:$J$10,8,0)</f>
        <v>#N/A</v>
      </c>
      <c r="J17" s="140">
        <v>0</v>
      </c>
    </row>
    <row r="18" spans="2:14" ht="17.25" customHeight="1">
      <c r="B18" s="46">
        <v>12</v>
      </c>
      <c r="C18" s="217">
        <v>951340702</v>
      </c>
      <c r="D18" s="708" t="e">
        <f>+VLOOKUP(Tabla15[[#This Row],[CEDULA]],'OCTUBRE 2025'!$C$8:$J$10,2,0)</f>
        <v>#N/A</v>
      </c>
      <c r="E18" s="219" t="s">
        <v>56</v>
      </c>
      <c r="F18" s="172" t="s">
        <v>110</v>
      </c>
      <c r="G18" s="218" t="s">
        <v>104</v>
      </c>
      <c r="H18" s="708" t="e">
        <f>+VLOOKUP(Tabla15[[#This Row],[CEDULA]],'OCTUBRE 2025'!$C$8:$J$10,7,0)</f>
        <v>#N/A</v>
      </c>
      <c r="I18" s="216" t="e">
        <f>+VLOOKUP(Tabla15[[#This Row],[CEDULA]],'OCTUBRE 2025'!$C$8:$J$10,8,0)</f>
        <v>#N/A</v>
      </c>
      <c r="J18" s="140">
        <v>0</v>
      </c>
      <c r="N18" s="47"/>
    </row>
    <row r="19" spans="2:14" ht="17.25" customHeight="1">
      <c r="B19" s="44">
        <v>13</v>
      </c>
      <c r="C19" s="217">
        <v>927257576</v>
      </c>
      <c r="D19" s="708" t="e">
        <f>+VLOOKUP(Tabla15[[#This Row],[CEDULA]],'OCTUBRE 2025'!$C$8:$J$10,2,0)</f>
        <v>#N/A</v>
      </c>
      <c r="E19" s="219" t="s">
        <v>40</v>
      </c>
      <c r="F19" s="172" t="s">
        <v>109</v>
      </c>
      <c r="G19" s="218" t="s">
        <v>105</v>
      </c>
      <c r="H19" s="708" t="e">
        <f>+VLOOKUP(Tabla15[[#This Row],[CEDULA]],'OCTUBRE 2025'!$C$8:$J$10,7,0)</f>
        <v>#N/A</v>
      </c>
      <c r="I19" s="216" t="e">
        <f>+VLOOKUP(Tabla15[[#This Row],[CEDULA]],'OCTUBRE 2025'!$C$8:$J$10,8,0)</f>
        <v>#N/A</v>
      </c>
      <c r="J19" s="140">
        <f>200-200</f>
        <v>0</v>
      </c>
    </row>
    <row r="20" spans="2:14" ht="17.25" customHeight="1">
      <c r="B20" s="46">
        <v>14</v>
      </c>
      <c r="C20" s="217">
        <v>928901800</v>
      </c>
      <c r="D20" s="708" t="e">
        <f>+VLOOKUP(Tabla15[[#This Row],[CEDULA]],'OCTUBRE 2025'!$C$8:$J$10,2,0)</f>
        <v>#N/A</v>
      </c>
      <c r="E20" s="170" t="s">
        <v>22</v>
      </c>
      <c r="F20" s="171" t="s">
        <v>111</v>
      </c>
      <c r="G20" s="218" t="s">
        <v>104</v>
      </c>
      <c r="H20" s="708" t="e">
        <f>+VLOOKUP(Tabla15[[#This Row],[CEDULA]],'OCTUBRE 2025'!$C$8:$J$10,7,0)</f>
        <v>#N/A</v>
      </c>
      <c r="I20" s="216" t="e">
        <f>+VLOOKUP(Tabla15[[#This Row],[CEDULA]],'OCTUBRE 2025'!$C$8:$J$10,8,0)</f>
        <v>#N/A</v>
      </c>
      <c r="J20" s="140">
        <f>300-100-100</f>
        <v>100</v>
      </c>
    </row>
    <row r="21" spans="2:14" ht="17.25" customHeight="1">
      <c r="B21" s="46">
        <v>15</v>
      </c>
      <c r="C21" s="217">
        <v>954184321</v>
      </c>
      <c r="D21" s="708" t="e">
        <f>+VLOOKUP(Tabla15[[#This Row],[CEDULA]],'OCTUBRE 2025'!$C$8:$J$10,2,0)</f>
        <v>#N/A</v>
      </c>
      <c r="E21" s="170" t="s">
        <v>48</v>
      </c>
      <c r="F21" s="214" t="s">
        <v>194</v>
      </c>
      <c r="G21" s="218" t="s">
        <v>104</v>
      </c>
      <c r="H21" s="708" t="e">
        <f>+VLOOKUP(Tabla15[[#This Row],[CEDULA]],'OCTUBRE 2025'!$C$8:$J$10,7,0)</f>
        <v>#N/A</v>
      </c>
      <c r="I21" s="216" t="e">
        <f>+VLOOKUP(Tabla15[[#This Row],[CEDULA]],'OCTUBRE 2025'!$C$8:$J$10,8,0)</f>
        <v>#N/A</v>
      </c>
      <c r="J21" s="140">
        <f>100</f>
        <v>100</v>
      </c>
    </row>
    <row r="22" spans="2:14" ht="17.25" customHeight="1">
      <c r="B22" s="46">
        <v>16</v>
      </c>
      <c r="C22" s="217">
        <v>941508905</v>
      </c>
      <c r="D22" s="708" t="str">
        <f>+VLOOKUP(Tabla15[[#This Row],[CEDULA]],'OCTUBRE 2025'!$C$8:$J$10,2,0)</f>
        <v>YUQUILEMA CACUANGO ANGEL JOSE</v>
      </c>
      <c r="E22" s="170" t="s">
        <v>29</v>
      </c>
      <c r="F22" s="171" t="s">
        <v>194</v>
      </c>
      <c r="G22" s="217" t="s">
        <v>104</v>
      </c>
      <c r="H22" s="708">
        <f>+VLOOKUP(Tabla15[[#This Row],[CEDULA]],'OCTUBRE 2025'!$C$8:$J$10,7,0)</f>
        <v>30</v>
      </c>
      <c r="I22" s="216">
        <f>+VLOOKUP(Tabla15[[#This Row],[CEDULA]],'OCTUBRE 2025'!$C$8:$J$10,8,0)</f>
        <v>511.1</v>
      </c>
      <c r="J22" s="140">
        <f>(100/30)*Tabla15[[#This Row],[DIAS TRABAJADOS]]</f>
        <v>100</v>
      </c>
    </row>
    <row r="23" spans="2:14" ht="17.25" customHeight="1">
      <c r="B23" s="46">
        <v>18</v>
      </c>
      <c r="C23" s="222">
        <v>604154575</v>
      </c>
      <c r="D23" s="708" t="str">
        <f>+VLOOKUP(Tabla15[[#This Row],[CEDULA]],'OCTUBRE 2025'!$C$8:$J$10,2,0)</f>
        <v>YUQUILEMA DELGADO PEDRO ANTONIO</v>
      </c>
      <c r="E23" s="223" t="s">
        <v>31</v>
      </c>
      <c r="F23" s="224" t="s">
        <v>109</v>
      </c>
      <c r="G23" s="225" t="s">
        <v>107</v>
      </c>
      <c r="H23" s="708">
        <f>+VLOOKUP(Tabla15[[#This Row],[CEDULA]],'OCTUBRE 2025'!$C$8:$J$10,7,0)</f>
        <v>30</v>
      </c>
      <c r="I23" s="216">
        <f>+VLOOKUP(Tabla15[[#This Row],[CEDULA]],'OCTUBRE 2025'!$C$8:$J$10,8,0)</f>
        <v>1022.2</v>
      </c>
      <c r="J23" s="141">
        <f>200-200</f>
        <v>0</v>
      </c>
    </row>
    <row r="24" spans="2:14" ht="17.25" customHeight="1" thickBot="1">
      <c r="B24" s="204"/>
      <c r="C24" s="205"/>
      <c r="D24" s="206"/>
      <c r="E24" s="207"/>
      <c r="F24" s="208"/>
      <c r="G24" s="204"/>
      <c r="H24" s="209"/>
      <c r="I24" s="210"/>
      <c r="J24" s="211"/>
    </row>
    <row r="25" spans="2:14" ht="15" thickBot="1">
      <c r="B25" s="48"/>
      <c r="C25" s="49"/>
      <c r="D25" s="50" t="s">
        <v>32</v>
      </c>
      <c r="E25" s="177"/>
      <c r="F25" s="178"/>
      <c r="G25" s="48"/>
      <c r="H25" s="179"/>
      <c r="I25" s="180"/>
      <c r="J25" s="181" t="e">
        <f>SUM(Tabla15[BONO VEHICULAR])</f>
        <v>#N/A</v>
      </c>
      <c r="K25" s="191"/>
    </row>
    <row r="44" spans="2:2">
      <c r="B44">
        <v>4</v>
      </c>
    </row>
  </sheetData>
  <mergeCells count="3">
    <mergeCell ref="B3:J3"/>
    <mergeCell ref="B2:J2"/>
    <mergeCell ref="B4:J4"/>
  </mergeCells>
  <conditionalFormatting sqref="N18">
    <cfRule type="dataBar" priority="1">
      <dataBar>
        <cfvo type="num" val="0"/>
        <cfvo type="num" val="500"/>
        <color theme="9" tint="0.39997558519241921"/>
      </dataBar>
      <extLst>
        <ext xmlns:x14="http://schemas.microsoft.com/office/spreadsheetml/2009/9/main" uri="{B025F937-C7B1-47D3-B67F-A62EFF666E3E}">
          <x14:id>{03225CDF-C74B-4CF6-BB6A-2B64A4BAD9FF}</x14:id>
        </ext>
      </extLst>
    </cfRule>
  </conditionalFormatting>
  <dataValidations count="1">
    <dataValidation type="list" allowBlank="1" showInputMessage="1" showErrorMessage="1" sqref="N18" xr:uid="{6232510B-E09C-4A92-82A5-C3487FB79863}">
      <formula1>$BG$31:$BG$36</formula1>
    </dataValidation>
  </dataValidations>
  <pageMargins left="0.7" right="0.7" top="0.75" bottom="0.75" header="0.3" footer="0.3"/>
  <pageSetup paperSize="9" scale="48" fitToHeight="0"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225CDF-C74B-4CF6-BB6A-2B64A4BAD9FF}">
            <x14:dataBar minLength="0" maxLength="100" border="1" negativeBarBorderColorSameAsPositive="0">
              <x14:cfvo type="num">
                <xm:f>0</xm:f>
              </x14:cfvo>
              <x14:cfvo type="num">
                <xm:f>500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iconSet" priority="2" id="{85C59FD2-5245-430F-B528-6FE83DCA8A5F}">
            <x14:iconSet iconSet="5ArrowsGray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5</xm:f>
              </x14:cfvo>
              <x14:cfvo type="num">
                <xm:f>6</xm:f>
              </x14:cfvo>
              <x14:cfIcon iconSet="NoIcons" iconId="0"/>
              <x14:cfIcon iconSet="4RedToBlack" iconId="1"/>
              <x14:cfIcon iconSet="3Flags" iconId="1"/>
              <x14:cfIcon iconSet="3Flags" iconId="2"/>
              <x14:cfIcon iconSet="3Symbols" iconId="2"/>
            </x14:iconSet>
          </x14:cfRule>
          <xm:sqref>N18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1468-79DA-49A7-9770-C448E45B74BE}">
  <sheetPr codeName="Hoja3">
    <pageSetUpPr fitToPage="1"/>
  </sheetPr>
  <dimension ref="B2:K56"/>
  <sheetViews>
    <sheetView zoomScale="85" zoomScaleNormal="85" workbookViewId="0">
      <selection activeCell="D8" sqref="D8:D52"/>
    </sheetView>
  </sheetViews>
  <sheetFormatPr baseColWidth="10" defaultRowHeight="14.4"/>
  <cols>
    <col min="1" max="1" width="2.6640625" customWidth="1"/>
    <col min="2" max="2" width="6.33203125" customWidth="1"/>
    <col min="4" max="4" width="46.44140625" customWidth="1"/>
    <col min="5" max="5" width="15.6640625" customWidth="1"/>
    <col min="6" max="6" width="10.44140625" customWidth="1"/>
    <col min="7" max="7" width="15.6640625" customWidth="1"/>
    <col min="8" max="8" width="16.44140625" customWidth="1"/>
  </cols>
  <sheetData>
    <row r="2" spans="2:9" ht="21">
      <c r="B2" s="829" t="s">
        <v>204</v>
      </c>
      <c r="C2" s="829"/>
      <c r="D2" s="829"/>
      <c r="E2" s="829"/>
      <c r="F2" s="829"/>
      <c r="G2" s="829"/>
      <c r="H2" s="829"/>
      <c r="I2" s="829"/>
    </row>
    <row r="3" spans="2:9">
      <c r="B3" s="826" t="s">
        <v>196</v>
      </c>
      <c r="C3" s="826"/>
      <c r="D3" s="826"/>
      <c r="E3" s="826"/>
      <c r="F3" s="826"/>
      <c r="G3" s="826"/>
      <c r="H3" s="826"/>
      <c r="I3" s="826"/>
    </row>
    <row r="4" spans="2:9">
      <c r="B4" s="828" t="s">
        <v>198</v>
      </c>
      <c r="C4" s="828"/>
      <c r="D4" s="828"/>
      <c r="E4" s="828"/>
      <c r="F4" s="828"/>
      <c r="G4" s="828"/>
      <c r="H4" s="828"/>
      <c r="I4" s="828"/>
    </row>
    <row r="5" spans="2:9" ht="15" thickBot="1"/>
    <row r="6" spans="2:9" ht="15" customHeight="1">
      <c r="B6" s="786" t="s">
        <v>1</v>
      </c>
      <c r="C6" s="788" t="s">
        <v>84</v>
      </c>
      <c r="D6" s="788" t="s">
        <v>2</v>
      </c>
      <c r="E6" s="830" t="s">
        <v>161</v>
      </c>
      <c r="F6" s="768" t="s">
        <v>58</v>
      </c>
      <c r="G6" s="766" t="s">
        <v>5</v>
      </c>
      <c r="H6" s="834" t="s">
        <v>67</v>
      </c>
      <c r="I6" s="832" t="s">
        <v>160</v>
      </c>
    </row>
    <row r="7" spans="2:9" ht="22.5" customHeight="1" thickBot="1">
      <c r="B7" s="787"/>
      <c r="C7" s="789"/>
      <c r="D7" s="789"/>
      <c r="E7" s="831"/>
      <c r="F7" s="769"/>
      <c r="G7" s="767"/>
      <c r="H7" s="835"/>
      <c r="I7" s="833"/>
    </row>
    <row r="8" spans="2:9" ht="15" customHeight="1">
      <c r="B8" s="23">
        <v>1</v>
      </c>
      <c r="C8" s="23" t="e">
        <f>+'OCTUBRE 2025'!#REF!</f>
        <v>#REF!</v>
      </c>
      <c r="D8" s="25" t="e">
        <f>+VLOOKUP(C8,'OCTUBRE 2025'!$C$8:$F$10,2,0)</f>
        <v>#REF!</v>
      </c>
      <c r="E8" s="28"/>
      <c r="F8" s="28"/>
      <c r="G8" s="28"/>
      <c r="H8" s="28"/>
      <c r="I8" s="28"/>
    </row>
    <row r="9" spans="2:9" ht="15" customHeight="1">
      <c r="B9" s="23">
        <v>2</v>
      </c>
      <c r="C9" s="23" t="e">
        <f>+'OCTUBRE 2025'!#REF!</f>
        <v>#REF!</v>
      </c>
      <c r="D9" s="25" t="e">
        <f>+VLOOKUP(C9,'OCTUBRE 2025'!$C$8:$F$10,2,0)</f>
        <v>#REF!</v>
      </c>
      <c r="E9" s="28"/>
      <c r="F9" s="28"/>
      <c r="G9" s="28"/>
      <c r="H9" s="28"/>
      <c r="I9" s="28"/>
    </row>
    <row r="10" spans="2:9" ht="15" customHeight="1">
      <c r="B10" s="23">
        <v>3</v>
      </c>
      <c r="C10" s="23" t="e">
        <f>+'OCTUBRE 2025'!#REF!</f>
        <v>#REF!</v>
      </c>
      <c r="D10" s="25" t="e">
        <f>+VLOOKUP(C10,'OCTUBRE 2025'!$C$8:$F$10,2,0)</f>
        <v>#REF!</v>
      </c>
      <c r="E10" s="28"/>
      <c r="F10" s="28"/>
      <c r="G10" s="28"/>
      <c r="H10" s="28"/>
      <c r="I10" s="28"/>
    </row>
    <row r="11" spans="2:9" ht="15" customHeight="1">
      <c r="B11" s="23">
        <v>4</v>
      </c>
      <c r="C11" s="23" t="e">
        <f>+'OCTUBRE 2025'!#REF!</f>
        <v>#REF!</v>
      </c>
      <c r="D11" s="25" t="e">
        <f>+VLOOKUP(C11,'OCTUBRE 2025'!$C$8:$F$10,2,0)</f>
        <v>#REF!</v>
      </c>
      <c r="E11" s="28">
        <v>100</v>
      </c>
      <c r="F11" s="28">
        <v>236.65</v>
      </c>
      <c r="G11" s="28"/>
      <c r="H11" s="28">
        <v>30</v>
      </c>
      <c r="I11" s="28"/>
    </row>
    <row r="12" spans="2:9" ht="15" customHeight="1">
      <c r="B12" s="23">
        <v>5</v>
      </c>
      <c r="C12" s="23" t="e">
        <f>+'OCTUBRE 2025'!#REF!</f>
        <v>#REF!</v>
      </c>
      <c r="D12" s="25" t="e">
        <f>+VLOOKUP(C12,'OCTUBRE 2025'!$C$8:$F$10,2,0)</f>
        <v>#REF!</v>
      </c>
      <c r="E12" s="28">
        <v>100</v>
      </c>
      <c r="F12" s="28">
        <v>99.5</v>
      </c>
      <c r="G12" s="28"/>
      <c r="H12" s="28"/>
      <c r="I12" s="28"/>
    </row>
    <row r="13" spans="2:9" ht="15" customHeight="1">
      <c r="B13" s="23">
        <v>6</v>
      </c>
      <c r="C13" s="23" t="e">
        <f>+'OCTUBRE 2025'!#REF!</f>
        <v>#REF!</v>
      </c>
      <c r="D13" s="25" t="e">
        <f>+VLOOKUP(C13,'OCTUBRE 2025'!$C$8:$F$10,2,0)</f>
        <v>#REF!</v>
      </c>
      <c r="E13" s="28"/>
      <c r="F13" s="28"/>
      <c r="G13" s="28"/>
      <c r="H13" s="192"/>
      <c r="I13" s="28"/>
    </row>
    <row r="14" spans="2:9" ht="15" customHeight="1">
      <c r="B14" s="23">
        <v>7</v>
      </c>
      <c r="C14" s="23" t="e">
        <f>+'OCTUBRE 2025'!#REF!</f>
        <v>#REF!</v>
      </c>
      <c r="D14" s="25" t="e">
        <f>+VLOOKUP(C14,'OCTUBRE 2025'!$C$8:$F$10,2,0)</f>
        <v>#REF!</v>
      </c>
      <c r="E14" s="28"/>
      <c r="F14" s="28"/>
      <c r="G14" s="28"/>
      <c r="H14" s="28"/>
      <c r="I14" s="28"/>
    </row>
    <row r="15" spans="2:9" ht="15" customHeight="1">
      <c r="B15" s="23">
        <v>8</v>
      </c>
      <c r="C15" s="23" t="e">
        <f>+'OCTUBRE 2025'!#REF!</f>
        <v>#REF!</v>
      </c>
      <c r="D15" s="25" t="e">
        <f>+VLOOKUP(C15,'OCTUBRE 2025'!$C$8:$F$10,2,0)</f>
        <v>#REF!</v>
      </c>
      <c r="E15" s="28"/>
      <c r="F15" s="28"/>
      <c r="G15" s="28"/>
      <c r="H15" s="28"/>
      <c r="I15" s="28"/>
    </row>
    <row r="16" spans="2:9" ht="15" customHeight="1">
      <c r="B16" s="23">
        <v>9</v>
      </c>
      <c r="C16" s="23" t="e">
        <f>+'OCTUBRE 2025'!#REF!</f>
        <v>#REF!</v>
      </c>
      <c r="D16" s="25" t="e">
        <f>+VLOOKUP(C16,'OCTUBRE 2025'!$C$8:$F$10,2,0)</f>
        <v>#REF!</v>
      </c>
      <c r="E16" s="28"/>
      <c r="F16" s="28"/>
      <c r="G16" s="28"/>
      <c r="H16" s="28"/>
      <c r="I16" s="28"/>
    </row>
    <row r="17" spans="2:9" ht="15" customHeight="1">
      <c r="B17" s="23">
        <v>10</v>
      </c>
      <c r="C17" s="23" t="e">
        <f>+'OCTUBRE 2025'!#REF!</f>
        <v>#REF!</v>
      </c>
      <c r="D17" s="25" t="e">
        <f>+VLOOKUP(C17,'OCTUBRE 2025'!$C$8:$F$10,2,0)</f>
        <v>#REF!</v>
      </c>
      <c r="E17" s="28"/>
      <c r="F17" s="28"/>
      <c r="G17" s="28"/>
      <c r="H17" s="28"/>
      <c r="I17" s="28"/>
    </row>
    <row r="18" spans="2:9" ht="15" customHeight="1">
      <c r="B18" s="23">
        <v>11</v>
      </c>
      <c r="C18" s="23" t="e">
        <f>+'OCTUBRE 2025'!#REF!</f>
        <v>#REF!</v>
      </c>
      <c r="D18" s="25" t="e">
        <f>+VLOOKUP(C18,'OCTUBRE 2025'!$C$8:$F$10,2,0)</f>
        <v>#REF!</v>
      </c>
      <c r="E18" s="28"/>
      <c r="F18" s="28"/>
      <c r="G18" s="28"/>
      <c r="H18" s="28"/>
      <c r="I18" s="28"/>
    </row>
    <row r="19" spans="2:9" ht="15" customHeight="1">
      <c r="B19" s="23">
        <v>12</v>
      </c>
      <c r="C19" s="23" t="e">
        <f>+'OCTUBRE 2025'!#REF!</f>
        <v>#REF!</v>
      </c>
      <c r="D19" s="25" t="e">
        <f>+VLOOKUP(C19,'OCTUBRE 2025'!$C$8:$F$10,2,0)</f>
        <v>#REF!</v>
      </c>
      <c r="E19" s="28"/>
      <c r="F19" s="28"/>
      <c r="G19" s="28"/>
      <c r="H19" s="28"/>
      <c r="I19" s="28"/>
    </row>
    <row r="20" spans="2:9" ht="15" customHeight="1">
      <c r="B20" s="23">
        <v>13</v>
      </c>
      <c r="C20" s="23" t="e">
        <f>+'OCTUBRE 2025'!#REF!</f>
        <v>#REF!</v>
      </c>
      <c r="D20" s="25" t="e">
        <f>+VLOOKUP(C20,'OCTUBRE 2025'!$C$8:$F$10,2,0)</f>
        <v>#REF!</v>
      </c>
      <c r="E20" s="28"/>
      <c r="F20" s="28"/>
      <c r="G20" s="28"/>
      <c r="H20" s="28"/>
      <c r="I20" s="28"/>
    </row>
    <row r="21" spans="2:9" ht="15" customHeight="1">
      <c r="B21" s="23">
        <v>14</v>
      </c>
      <c r="C21" s="23" t="e">
        <f>+'OCTUBRE 2025'!#REF!</f>
        <v>#REF!</v>
      </c>
      <c r="D21" s="25" t="e">
        <f>+VLOOKUP(C21,'OCTUBRE 2025'!$C$8:$F$10,2,0)</f>
        <v>#REF!</v>
      </c>
      <c r="E21" s="28"/>
      <c r="F21" s="28"/>
      <c r="G21" s="28"/>
      <c r="H21" s="28"/>
      <c r="I21" s="28"/>
    </row>
    <row r="22" spans="2:9" ht="15" customHeight="1">
      <c r="B22" s="23">
        <v>15</v>
      </c>
      <c r="C22" s="23" t="e">
        <f>+'OCTUBRE 2025'!#REF!</f>
        <v>#REF!</v>
      </c>
      <c r="D22" s="25" t="e">
        <f>+VLOOKUP(C22,'OCTUBRE 2025'!$C$8:$F$10,2,0)</f>
        <v>#REF!</v>
      </c>
      <c r="E22" s="28"/>
      <c r="F22" s="28">
        <v>7.31</v>
      </c>
      <c r="G22" s="28"/>
      <c r="H22" s="28"/>
      <c r="I22" s="28"/>
    </row>
    <row r="23" spans="2:9" ht="15" customHeight="1">
      <c r="B23" s="23">
        <v>16</v>
      </c>
      <c r="C23" s="23" t="e">
        <f>+'OCTUBRE 2025'!#REF!</f>
        <v>#REF!</v>
      </c>
      <c r="D23" s="25" t="e">
        <f>+VLOOKUP(C23,'OCTUBRE 2025'!$C$8:$F$10,2,0)</f>
        <v>#REF!</v>
      </c>
      <c r="E23" s="28"/>
      <c r="F23" s="28"/>
      <c r="G23" s="28"/>
      <c r="H23" s="28"/>
      <c r="I23" s="28"/>
    </row>
    <row r="24" spans="2:9" ht="15" customHeight="1">
      <c r="B24" s="23">
        <v>17</v>
      </c>
      <c r="C24" s="23" t="e">
        <f>+'OCTUBRE 2025'!#REF!</f>
        <v>#REF!</v>
      </c>
      <c r="D24" s="25" t="e">
        <f>+VLOOKUP(C24,'OCTUBRE 2025'!$C$8:$F$10,2,0)</f>
        <v>#REF!</v>
      </c>
      <c r="E24" s="28"/>
      <c r="F24" s="28">
        <v>10.84</v>
      </c>
      <c r="G24" s="28"/>
      <c r="H24" s="28"/>
      <c r="I24" s="28"/>
    </row>
    <row r="25" spans="2:9" ht="15" customHeight="1">
      <c r="B25" s="23">
        <v>18</v>
      </c>
      <c r="C25" s="23" t="e">
        <f>+'OCTUBRE 2025'!#REF!</f>
        <v>#REF!</v>
      </c>
      <c r="D25" s="25" t="e">
        <f>+VLOOKUP(C25,'OCTUBRE 2025'!$C$8:$F$10,2,0)</f>
        <v>#REF!</v>
      </c>
      <c r="E25" s="28"/>
      <c r="F25" s="28"/>
      <c r="G25" s="28"/>
      <c r="H25" s="28"/>
      <c r="I25" s="28"/>
    </row>
    <row r="26" spans="2:9" ht="15" customHeight="1">
      <c r="B26" s="23">
        <v>19</v>
      </c>
      <c r="C26" s="23" t="e">
        <f>+'OCTUBRE 2025'!#REF!</f>
        <v>#REF!</v>
      </c>
      <c r="D26" s="25" t="e">
        <f>+VLOOKUP(C26,'OCTUBRE 2025'!$C$8:$F$10,2,0)</f>
        <v>#REF!</v>
      </c>
      <c r="E26" s="28"/>
      <c r="F26" s="28"/>
      <c r="G26" s="28"/>
      <c r="H26" s="28"/>
      <c r="I26" s="28"/>
    </row>
    <row r="27" spans="2:9" ht="15" customHeight="1">
      <c r="B27" s="23">
        <v>20</v>
      </c>
      <c r="C27" s="23" t="e">
        <f>+'OCTUBRE 2025'!#REF!</f>
        <v>#REF!</v>
      </c>
      <c r="D27" s="25" t="e">
        <f>+VLOOKUP(C27,'OCTUBRE 2025'!$C$8:$F$10,2,0)</f>
        <v>#REF!</v>
      </c>
      <c r="E27" s="28"/>
      <c r="F27" s="28"/>
      <c r="G27" s="28"/>
      <c r="H27" s="28"/>
      <c r="I27" s="28"/>
    </row>
    <row r="28" spans="2:9" ht="15" customHeight="1">
      <c r="B28" s="23">
        <v>21</v>
      </c>
      <c r="C28" s="23" t="e">
        <f>+'OCTUBRE 2025'!#REF!</f>
        <v>#REF!</v>
      </c>
      <c r="D28" s="25" t="e">
        <f>+VLOOKUP(C28,'OCTUBRE 2025'!$C$8:$F$10,2,0)</f>
        <v>#REF!</v>
      </c>
      <c r="E28" s="28"/>
      <c r="F28" s="28"/>
      <c r="G28" s="28"/>
      <c r="H28" s="28"/>
      <c r="I28" s="28"/>
    </row>
    <row r="29" spans="2:9" ht="15" customHeight="1">
      <c r="B29" s="23">
        <v>22</v>
      </c>
      <c r="C29" s="23" t="e">
        <f>+'OCTUBRE 2025'!#REF!</f>
        <v>#REF!</v>
      </c>
      <c r="D29" s="25" t="e">
        <f>+VLOOKUP(C29,'OCTUBRE 2025'!$C$8:$F$10,2,0)</f>
        <v>#REF!</v>
      </c>
      <c r="E29" s="28"/>
      <c r="F29" s="28"/>
      <c r="G29" s="28"/>
      <c r="H29" s="28"/>
      <c r="I29" s="28"/>
    </row>
    <row r="30" spans="2:9" ht="15" customHeight="1">
      <c r="B30" s="23">
        <v>23</v>
      </c>
      <c r="C30" s="23" t="e">
        <f>+'OCTUBRE 2025'!#REF!</f>
        <v>#REF!</v>
      </c>
      <c r="D30" s="25" t="e">
        <f>+VLOOKUP(C30,'OCTUBRE 2025'!$C$8:$F$10,2,0)</f>
        <v>#REF!</v>
      </c>
      <c r="E30" s="28">
        <v>100</v>
      </c>
      <c r="F30" s="28">
        <v>518.5</v>
      </c>
      <c r="G30" s="28"/>
      <c r="H30" s="28"/>
      <c r="I30" s="28"/>
    </row>
    <row r="31" spans="2:9" ht="15" customHeight="1">
      <c r="B31" s="23">
        <v>24</v>
      </c>
      <c r="C31" s="23" t="e">
        <f>+'OCTUBRE 2025'!#REF!</f>
        <v>#REF!</v>
      </c>
      <c r="D31" s="25" t="e">
        <f>+VLOOKUP(C31,'OCTUBRE 2025'!$C$8:$F$10,2,0)</f>
        <v>#REF!</v>
      </c>
      <c r="E31" s="28"/>
      <c r="F31" s="28"/>
      <c r="G31" s="28"/>
      <c r="H31" s="28"/>
      <c r="I31" s="28"/>
    </row>
    <row r="32" spans="2:9" ht="15" customHeight="1">
      <c r="B32" s="23">
        <v>25</v>
      </c>
      <c r="C32" s="23" t="e">
        <f>+'OCTUBRE 2025'!#REF!</f>
        <v>#REF!</v>
      </c>
      <c r="D32" s="25" t="e">
        <f>+VLOOKUP(C32,'OCTUBRE 2025'!$C$8:$F$10,2,0)</f>
        <v>#REF!</v>
      </c>
      <c r="E32" s="28"/>
      <c r="F32" s="28"/>
      <c r="G32" s="28"/>
      <c r="H32" s="28"/>
      <c r="I32" s="28"/>
    </row>
    <row r="33" spans="2:9" ht="15" customHeight="1">
      <c r="B33" s="23">
        <v>26</v>
      </c>
      <c r="C33" s="23" t="e">
        <f>+'OCTUBRE 2025'!#REF!</f>
        <v>#REF!</v>
      </c>
      <c r="D33" s="25" t="e">
        <f>+VLOOKUP(C33,'OCTUBRE 2025'!$C$8:$F$10,2,0)</f>
        <v>#REF!</v>
      </c>
      <c r="E33" s="28"/>
      <c r="F33" s="28"/>
      <c r="G33" s="28"/>
      <c r="H33" s="28"/>
      <c r="I33" s="28"/>
    </row>
    <row r="34" spans="2:9" ht="15" customHeight="1">
      <c r="B34" s="23">
        <v>27</v>
      </c>
      <c r="C34" s="23" t="e">
        <f>+'OCTUBRE 2025'!#REF!</f>
        <v>#REF!</v>
      </c>
      <c r="D34" s="25" t="e">
        <f>+VLOOKUP(C34,'OCTUBRE 2025'!$C$8:$F$10,2,0)</f>
        <v>#REF!</v>
      </c>
      <c r="E34" s="28"/>
      <c r="F34" s="28"/>
      <c r="G34" s="28"/>
      <c r="H34" s="28"/>
      <c r="I34" s="28"/>
    </row>
    <row r="35" spans="2:9" ht="15" customHeight="1">
      <c r="B35" s="23">
        <v>28</v>
      </c>
      <c r="C35" s="23" t="e">
        <f>+'OCTUBRE 2025'!#REF!</f>
        <v>#REF!</v>
      </c>
      <c r="D35" s="25" t="e">
        <f>+VLOOKUP(C35,'OCTUBRE 2025'!$C$8:$F$10,2,0)</f>
        <v>#REF!</v>
      </c>
      <c r="E35" s="28"/>
      <c r="F35" s="28"/>
      <c r="G35" s="28"/>
      <c r="H35" s="28"/>
      <c r="I35" s="28"/>
    </row>
    <row r="36" spans="2:9" ht="15" customHeight="1">
      <c r="B36" s="23">
        <v>29</v>
      </c>
      <c r="C36" s="23" t="e">
        <f>+'OCTUBRE 2025'!#REF!</f>
        <v>#REF!</v>
      </c>
      <c r="D36" s="25" t="e">
        <f>+VLOOKUP(C36,'OCTUBRE 2025'!$C$8:$F$10,2,0)</f>
        <v>#REF!</v>
      </c>
      <c r="E36" s="28"/>
      <c r="F36" s="28"/>
      <c r="G36" s="28"/>
      <c r="H36" s="28"/>
      <c r="I36" s="28"/>
    </row>
    <row r="37" spans="2:9" ht="15" customHeight="1">
      <c r="B37" s="23">
        <v>30</v>
      </c>
      <c r="C37" s="23" t="e">
        <f>+'OCTUBRE 2025'!#REF!</f>
        <v>#REF!</v>
      </c>
      <c r="D37" s="25" t="e">
        <f>+VLOOKUP(C37,'OCTUBRE 2025'!$C$8:$F$10,2,0)</f>
        <v>#REF!</v>
      </c>
      <c r="E37" s="28"/>
      <c r="F37" s="28"/>
      <c r="G37" s="28"/>
      <c r="H37" s="28"/>
      <c r="I37" s="28"/>
    </row>
    <row r="38" spans="2:9" ht="15" customHeight="1">
      <c r="B38" s="23">
        <v>31</v>
      </c>
      <c r="C38" s="23" t="e">
        <f>+'OCTUBRE 2025'!#REF!</f>
        <v>#REF!</v>
      </c>
      <c r="D38" s="25" t="e">
        <f>+VLOOKUP(C38,'OCTUBRE 2025'!$C$8:$F$10,2,0)</f>
        <v>#REF!</v>
      </c>
      <c r="E38" s="28"/>
      <c r="F38" s="28">
        <v>60.37</v>
      </c>
      <c r="G38" s="28"/>
      <c r="H38" s="28"/>
      <c r="I38" s="28"/>
    </row>
    <row r="39" spans="2:9" ht="15" customHeight="1">
      <c r="B39" s="23">
        <v>32</v>
      </c>
      <c r="C39" s="23" t="e">
        <f>+'OCTUBRE 2025'!#REF!</f>
        <v>#REF!</v>
      </c>
      <c r="D39" s="25" t="e">
        <f>+VLOOKUP(C39,'OCTUBRE 2025'!$C$8:$F$10,2,0)</f>
        <v>#REF!</v>
      </c>
      <c r="E39" s="28"/>
      <c r="F39" s="28"/>
      <c r="G39" s="28"/>
      <c r="H39" s="28"/>
      <c r="I39" s="28"/>
    </row>
    <row r="40" spans="2:9" ht="15" customHeight="1">
      <c r="B40" s="23">
        <v>33</v>
      </c>
      <c r="C40" s="23" t="e">
        <f>+'OCTUBRE 2025'!#REF!</f>
        <v>#REF!</v>
      </c>
      <c r="D40" s="25" t="e">
        <f>+VLOOKUP(C40,'OCTUBRE 2025'!$C$8:$F$10,2,0)</f>
        <v>#REF!</v>
      </c>
      <c r="E40" s="28">
        <v>100</v>
      </c>
      <c r="F40" s="28">
        <v>75</v>
      </c>
      <c r="G40" s="28"/>
      <c r="H40" s="28"/>
      <c r="I40" s="28"/>
    </row>
    <row r="41" spans="2:9" ht="15" customHeight="1">
      <c r="B41" s="23">
        <v>34</v>
      </c>
      <c r="C41" s="23" t="e">
        <f>+'OCTUBRE 2025'!#REF!</f>
        <v>#REF!</v>
      </c>
      <c r="D41" s="25" t="e">
        <f>+VLOOKUP(C41,'OCTUBRE 2025'!$C$8:$F$10,2,0)</f>
        <v>#REF!</v>
      </c>
      <c r="E41" s="28"/>
      <c r="F41" s="28"/>
      <c r="G41" s="28"/>
      <c r="H41" s="28"/>
      <c r="I41" s="28"/>
    </row>
    <row r="42" spans="2:9" ht="15" customHeight="1">
      <c r="B42" s="23">
        <v>35</v>
      </c>
      <c r="C42" s="23" t="e">
        <f>+'OCTUBRE 2025'!#REF!</f>
        <v>#REF!</v>
      </c>
      <c r="D42" s="25" t="e">
        <f>+VLOOKUP(C42,'OCTUBRE 2025'!$C$8:$F$10,2,0)</f>
        <v>#REF!</v>
      </c>
      <c r="E42" s="28"/>
      <c r="F42" s="28"/>
      <c r="G42" s="28"/>
      <c r="H42" s="28"/>
      <c r="I42" s="28"/>
    </row>
    <row r="43" spans="2:9" ht="15" customHeight="1">
      <c r="B43" s="23">
        <v>36</v>
      </c>
      <c r="C43" s="23" t="e">
        <f>+'OCTUBRE 2025'!#REF!</f>
        <v>#REF!</v>
      </c>
      <c r="D43" s="25" t="e">
        <f>+VLOOKUP(C43,'OCTUBRE 2025'!$C$8:$F$10,2,0)</f>
        <v>#REF!</v>
      </c>
      <c r="E43" s="28"/>
      <c r="F43" s="28"/>
      <c r="G43" s="28"/>
      <c r="H43" s="28"/>
      <c r="I43" s="28"/>
    </row>
    <row r="44" spans="2:9" ht="15" customHeight="1">
      <c r="B44" s="23">
        <v>37</v>
      </c>
      <c r="C44" s="23" t="e">
        <f>+'OCTUBRE 2025'!#REF!</f>
        <v>#REF!</v>
      </c>
      <c r="D44" s="25" t="e">
        <f>+VLOOKUP(C44,'OCTUBRE 2025'!$C$8:$F$10,2,0)</f>
        <v>#REF!</v>
      </c>
      <c r="E44" s="28"/>
      <c r="F44" s="28"/>
      <c r="G44" s="28"/>
      <c r="H44" s="28"/>
      <c r="I44" s="28"/>
    </row>
    <row r="45" spans="2:9" ht="15" customHeight="1">
      <c r="B45" s="23">
        <v>38</v>
      </c>
      <c r="C45" s="23" t="e">
        <f>+'OCTUBRE 2025'!#REF!</f>
        <v>#REF!</v>
      </c>
      <c r="D45" s="25" t="e">
        <f>+VLOOKUP(C45,'OCTUBRE 2025'!$C$8:$F$10,2,0)</f>
        <v>#REF!</v>
      </c>
      <c r="E45" s="28">
        <v>100</v>
      </c>
      <c r="F45" s="28">
        <v>222.5</v>
      </c>
      <c r="G45" s="28"/>
      <c r="H45" s="28"/>
      <c r="I45" s="28"/>
    </row>
    <row r="46" spans="2:9" ht="15" customHeight="1">
      <c r="B46" s="23">
        <v>39</v>
      </c>
      <c r="C46" s="23" t="e">
        <f>+'OCTUBRE 2025'!#REF!</f>
        <v>#REF!</v>
      </c>
      <c r="D46" s="25" t="e">
        <f>+VLOOKUP(C46,'OCTUBRE 2025'!$C$8:$F$10,2,0)</f>
        <v>#REF!</v>
      </c>
      <c r="E46" s="28"/>
      <c r="F46" s="28">
        <v>203.97</v>
      </c>
      <c r="G46" s="28"/>
      <c r="H46" s="28"/>
      <c r="I46" s="28"/>
    </row>
    <row r="47" spans="2:9" ht="15" customHeight="1">
      <c r="B47" s="23">
        <v>40</v>
      </c>
      <c r="C47" s="23" t="e">
        <f>+'OCTUBRE 2025'!#REF!</f>
        <v>#REF!</v>
      </c>
      <c r="D47" s="25" t="e">
        <f>+VLOOKUP(C47,'OCTUBRE 2025'!$C$8:$F$10,2,0)</f>
        <v>#REF!</v>
      </c>
      <c r="E47" s="28"/>
      <c r="F47" s="28"/>
      <c r="G47" s="28"/>
      <c r="H47" s="28"/>
      <c r="I47" s="28"/>
    </row>
    <row r="48" spans="2:9" ht="15" customHeight="1">
      <c r="B48" s="23">
        <v>41</v>
      </c>
      <c r="C48" s="23" t="e">
        <f>+'OCTUBRE 2025'!#REF!</f>
        <v>#REF!</v>
      </c>
      <c r="D48" s="25" t="e">
        <f>+VLOOKUP(C48,'OCTUBRE 2025'!$C$8:$F$10,2,0)</f>
        <v>#REF!</v>
      </c>
      <c r="E48" s="28"/>
      <c r="F48" s="28"/>
      <c r="G48" s="28"/>
      <c r="H48" s="28"/>
      <c r="I48" s="28"/>
    </row>
    <row r="49" spans="2:11" ht="15" customHeight="1">
      <c r="B49" s="23">
        <v>42</v>
      </c>
      <c r="C49" s="23" t="e">
        <f>+'OCTUBRE 2025'!#REF!</f>
        <v>#REF!</v>
      </c>
      <c r="D49" s="25" t="e">
        <f>+VLOOKUP(C49,'OCTUBRE 2025'!$C$8:$F$10,2,0)</f>
        <v>#REF!</v>
      </c>
      <c r="E49" s="28"/>
      <c r="F49" s="28"/>
      <c r="G49" s="28"/>
      <c r="H49" s="28"/>
      <c r="I49" s="28"/>
    </row>
    <row r="50" spans="2:11" ht="15" customHeight="1">
      <c r="B50" s="23">
        <v>43</v>
      </c>
      <c r="C50" s="23" t="e">
        <f>+'OCTUBRE 2025'!#REF!</f>
        <v>#REF!</v>
      </c>
      <c r="D50" s="25" t="e">
        <f>+VLOOKUP(C50,'OCTUBRE 2025'!$C$8:$F$10,2,0)</f>
        <v>#REF!</v>
      </c>
      <c r="E50" s="28"/>
      <c r="F50" s="28">
        <v>50.03</v>
      </c>
      <c r="G50" s="28"/>
      <c r="H50" s="28"/>
      <c r="I50" s="28"/>
    </row>
    <row r="51" spans="2:11" ht="15" customHeight="1">
      <c r="B51" s="23">
        <v>44</v>
      </c>
      <c r="C51" s="23" t="e">
        <f>+'OCTUBRE 2025'!#REF!</f>
        <v>#REF!</v>
      </c>
      <c r="D51" s="25" t="e">
        <f>+VLOOKUP(C51,'OCTUBRE 2025'!$C$8:$F$10,2,0)</f>
        <v>#REF!</v>
      </c>
      <c r="E51" s="28"/>
      <c r="F51" s="28"/>
      <c r="G51" s="28"/>
      <c r="H51" s="28"/>
      <c r="I51" s="28"/>
    </row>
    <row r="52" spans="2:11" ht="15" customHeight="1">
      <c r="B52" s="23">
        <v>45</v>
      </c>
      <c r="C52" s="23">
        <f>+'OCTUBRE 2025'!C8</f>
        <v>923837991</v>
      </c>
      <c r="D52" s="25" t="str">
        <f>+VLOOKUP(C52,'OCTUBRE 2025'!$C$8:$F$10,2,0)</f>
        <v>YUNDA CUJILEMA MARIA TERESA</v>
      </c>
      <c r="E52" s="28"/>
      <c r="F52" s="28"/>
      <c r="G52" s="28"/>
      <c r="H52" s="28"/>
      <c r="I52" s="28"/>
    </row>
    <row r="53" spans="2:11" ht="15" customHeight="1">
      <c r="B53" s="52"/>
      <c r="C53" s="24"/>
      <c r="D53" s="175"/>
      <c r="E53" s="176"/>
      <c r="F53" s="176"/>
      <c r="G53" s="176"/>
      <c r="H53" s="176"/>
      <c r="I53" s="176"/>
    </row>
    <row r="54" spans="2:11">
      <c r="C54" s="67"/>
      <c r="D54" s="135" t="s">
        <v>32</v>
      </c>
      <c r="E54" s="68">
        <f>SUM(E8:E52)</f>
        <v>500</v>
      </c>
      <c r="F54" s="68">
        <f>SUM(F8:F50)</f>
        <v>1484.67</v>
      </c>
      <c r="G54" s="68">
        <f>SUM(G8:G50)</f>
        <v>0</v>
      </c>
      <c r="H54" s="68">
        <f>SUM(H8:H52)</f>
        <v>30</v>
      </c>
      <c r="I54" s="68">
        <f>SUM(I8:I52)</f>
        <v>0</v>
      </c>
      <c r="J54" s="34"/>
      <c r="K54" s="34"/>
    </row>
    <row r="56" spans="2:11">
      <c r="F56" s="80"/>
      <c r="H56" s="80"/>
    </row>
  </sheetData>
  <mergeCells count="11">
    <mergeCell ref="B2:I2"/>
    <mergeCell ref="B3:I3"/>
    <mergeCell ref="B4:I4"/>
    <mergeCell ref="B6:B7"/>
    <mergeCell ref="C6:C7"/>
    <mergeCell ref="D6:D7"/>
    <mergeCell ref="E6:E7"/>
    <mergeCell ref="G6:G7"/>
    <mergeCell ref="I6:I7"/>
    <mergeCell ref="F6:F7"/>
    <mergeCell ref="H6:H7"/>
  </mergeCells>
  <dataValidations disablePrompts="1" xWindow="601" yWindow="550" count="1">
    <dataValidation allowBlank="1" showInputMessage="1" showErrorMessage="1" promptTitle="IESS GRAVABLE" prompt="LA SUMA DE SUELDO + H.E + COMISIONES +BONIFICACIONES_x000a_" sqref="E6:F7" xr:uid="{38AA77B0-58F0-4E8E-A92D-F2EA63EC0E8E}"/>
  </dataValidations>
  <pageMargins left="0.7" right="0.7" top="0.75" bottom="0.75" header="0.3" footer="0.3"/>
  <pageSetup scale="70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32AC-0D28-4B10-9843-6DA3753A1E72}">
  <sheetPr codeName="Hoja4">
    <tabColor rgb="FFD363BB"/>
    <pageSetUpPr fitToPage="1"/>
  </sheetPr>
  <dimension ref="B3:J33"/>
  <sheetViews>
    <sheetView showGridLines="0" tabSelected="1" showWhiteSpace="0" view="pageLayout" zoomScaleNormal="70" workbookViewId="0">
      <selection activeCell="D7" sqref="D7"/>
    </sheetView>
  </sheetViews>
  <sheetFormatPr baseColWidth="10" defaultColWidth="11.44140625" defaultRowHeight="12"/>
  <cols>
    <col min="1" max="1" width="1.6640625" style="10" customWidth="1"/>
    <col min="2" max="2" width="4.33203125" style="10" customWidth="1"/>
    <col min="3" max="3" width="13.5546875" style="10" customWidth="1"/>
    <col min="4" max="4" width="17.44140625" style="10" customWidth="1"/>
    <col min="5" max="5" width="10.33203125" style="10" customWidth="1"/>
    <col min="6" max="6" width="7.5546875" style="10" customWidth="1"/>
    <col min="7" max="7" width="15" style="10" customWidth="1"/>
    <col min="8" max="8" width="10.88671875" style="10" customWidth="1"/>
    <col min="9" max="9" width="12.33203125" style="10" customWidth="1"/>
    <col min="10" max="16384" width="11.44140625" style="10"/>
  </cols>
  <sheetData>
    <row r="3" spans="2:10">
      <c r="B3" s="269"/>
      <c r="C3" s="270"/>
      <c r="D3" s="270"/>
      <c r="E3" s="270"/>
      <c r="F3" s="270"/>
      <c r="G3" s="270"/>
      <c r="H3" s="270"/>
      <c r="I3" s="271"/>
    </row>
    <row r="4" spans="2:10">
      <c r="B4" s="266"/>
      <c r="I4" s="272"/>
    </row>
    <row r="5" spans="2:10" ht="16.2">
      <c r="B5" s="266"/>
      <c r="F5" s="839" t="s">
        <v>85</v>
      </c>
      <c r="G5" s="839"/>
      <c r="H5" s="710">
        <v>45931</v>
      </c>
      <c r="I5" s="272"/>
    </row>
    <row r="6" spans="2:10">
      <c r="B6" s="266"/>
      <c r="I6" s="272"/>
    </row>
    <row r="7" spans="2:10" ht="15">
      <c r="B7" s="266"/>
      <c r="C7" s="625" t="s">
        <v>97</v>
      </c>
      <c r="D7" s="636">
        <v>923837991</v>
      </c>
      <c r="E7" s="631"/>
      <c r="F7" s="627" t="s">
        <v>101</v>
      </c>
      <c r="G7" s="623" t="str">
        <f>VLOOKUP($D$7,'OCTUBRE 2025'!$C$8:$AJ$10,6,0)</f>
        <v>Matriz</v>
      </c>
      <c r="H7" s="621"/>
      <c r="I7" s="272"/>
    </row>
    <row r="8" spans="2:10" ht="15">
      <c r="B8" s="266"/>
      <c r="C8" s="625" t="s">
        <v>98</v>
      </c>
      <c r="D8" s="634" t="str">
        <f>VLOOKUP($D$7,'OCTUBRE 2025'!$C$8:$AJ$10,2,0)</f>
        <v>YUNDA CUJILEMA MARIA TERESA</v>
      </c>
      <c r="E8" s="630"/>
      <c r="F8" s="627" t="s">
        <v>368</v>
      </c>
      <c r="G8" s="624">
        <f>VLOOKUP($D$7,'OCTUBRE 2025'!$C$8:$AJ$10,7,0)</f>
        <v>30</v>
      </c>
      <c r="H8" s="621"/>
      <c r="I8" s="272"/>
    </row>
    <row r="9" spans="2:10" ht="15">
      <c r="B9" s="266"/>
      <c r="C9" s="625" t="s">
        <v>99</v>
      </c>
      <c r="D9" s="838" t="str">
        <f>VLOOKUP($D$7,'OCTUBRE 2025'!$C$8:$AJ$10,4,0)</f>
        <v>CONTADOR GENERAL</v>
      </c>
      <c r="E9" s="838"/>
      <c r="F9" s="621"/>
      <c r="G9" s="621"/>
      <c r="H9" s="621"/>
      <c r="I9" s="272"/>
    </row>
    <row r="10" spans="2:10" ht="8.4" customHeight="1">
      <c r="B10" s="266"/>
      <c r="C10" s="14"/>
      <c r="D10" s="14"/>
      <c r="E10" s="14"/>
      <c r="F10" s="14"/>
      <c r="G10" s="14"/>
      <c r="I10" s="272"/>
    </row>
    <row r="11" spans="2:10" s="13" customFormat="1" ht="13.8">
      <c r="B11" s="267"/>
      <c r="C11" s="264" t="s">
        <v>86</v>
      </c>
      <c r="D11" s="264"/>
      <c r="E11" s="265" t="s">
        <v>87</v>
      </c>
      <c r="F11" s="836" t="s">
        <v>113</v>
      </c>
      <c r="G11" s="837"/>
      <c r="H11" s="265" t="s">
        <v>87</v>
      </c>
      <c r="I11" s="273"/>
      <c r="J11" s="10"/>
    </row>
    <row r="12" spans="2:10" ht="13.8" customHeight="1">
      <c r="B12" s="266"/>
      <c r="C12" s="843" t="s">
        <v>378</v>
      </c>
      <c r="D12" s="844"/>
      <c r="E12" s="615">
        <f>VLOOKUP($D$7,'OCTUBRE 2025'!$C$8:$AJ$10,8,0)</f>
        <v>1022.2</v>
      </c>
      <c r="F12" s="845" t="s">
        <v>387</v>
      </c>
      <c r="G12" s="846"/>
      <c r="H12" s="615">
        <f>VLOOKUP($D$7,'OCTUBRE 2025'!$C$8:$AJ$10,24,0)</f>
        <v>106.04789999999998</v>
      </c>
      <c r="I12" s="274"/>
    </row>
    <row r="13" spans="2:10" ht="13.8" customHeight="1">
      <c r="B13" s="266"/>
      <c r="C13" s="843" t="s">
        <v>371</v>
      </c>
      <c r="D13" s="844"/>
      <c r="E13" s="615">
        <f>VLOOKUP($D$7,'OCTUBRE 2025'!$C$8:$AJ$10,9,0)</f>
        <v>0</v>
      </c>
      <c r="F13" s="841" t="s">
        <v>388</v>
      </c>
      <c r="G13" s="842"/>
      <c r="H13" s="615">
        <f>VLOOKUP($D$7,'OCTUBRE 2025'!$C$8:$AJ$10,27,0)</f>
        <v>0</v>
      </c>
      <c r="I13" s="274"/>
    </row>
    <row r="14" spans="2:10" ht="13.8" customHeight="1">
      <c r="B14" s="266"/>
      <c r="C14" s="843" t="s">
        <v>397</v>
      </c>
      <c r="D14" s="844"/>
      <c r="E14" s="615">
        <f>VLOOKUP($D$7,'OCTUBRE 2025'!$C$8:$AJ$10,10,0)</f>
        <v>100</v>
      </c>
      <c r="F14" s="845" t="s">
        <v>389</v>
      </c>
      <c r="G14" s="846"/>
      <c r="H14" s="615">
        <f>VLOOKUP($D$7,'OCTUBRE 2025'!$C$8:$AJ$10,28,0)</f>
        <v>0</v>
      </c>
      <c r="I14" s="274"/>
    </row>
    <row r="15" spans="2:10" ht="13.8" customHeight="1">
      <c r="B15" s="266"/>
      <c r="C15" s="840" t="s">
        <v>370</v>
      </c>
      <c r="D15" s="840"/>
      <c r="E15" s="615">
        <f>VLOOKUP($D$7,'OCTUBRE 2025'!$C$8:$AJ$10,11,0)</f>
        <v>0</v>
      </c>
      <c r="F15" s="845" t="s">
        <v>390</v>
      </c>
      <c r="G15" s="846"/>
      <c r="H15" s="615">
        <f>VLOOKUP($D$7,'OCTUBRE 2025'!$C$8:$AJ$10,29,0)</f>
        <v>0</v>
      </c>
      <c r="I15" s="274"/>
    </row>
    <row r="16" spans="2:10" ht="13.8" customHeight="1">
      <c r="B16" s="266"/>
      <c r="C16" s="843" t="s">
        <v>420</v>
      </c>
      <c r="D16" s="844"/>
      <c r="E16" s="615">
        <f>VLOOKUP($D$7,'OCTUBRE 2025'!$C$8:$AJ$10,12,0)</f>
        <v>0</v>
      </c>
      <c r="F16" s="845" t="s">
        <v>391</v>
      </c>
      <c r="G16" s="846"/>
      <c r="H16" s="615">
        <f>VLOOKUP($D$7,'OCTUBRE 2025'!$C$8:$AJ$10,30,0)</f>
        <v>0</v>
      </c>
      <c r="I16" s="274"/>
    </row>
    <row r="17" spans="2:9" ht="13.8" customHeight="1">
      <c r="B17" s="266"/>
      <c r="C17" s="613" t="s">
        <v>380</v>
      </c>
      <c r="D17" s="614"/>
      <c r="E17" s="615">
        <f>VLOOKUP($D$7,'OCTUBRE 2025'!$C$8:$AJ$10,13,0)</f>
        <v>0</v>
      </c>
      <c r="F17" s="845" t="s">
        <v>392</v>
      </c>
      <c r="G17" s="846"/>
      <c r="H17" s="615">
        <f>VLOOKUP($D$7,'OCTUBRE 2025'!$C$8:$AJ$10,31,0)</f>
        <v>0</v>
      </c>
      <c r="I17" s="274"/>
    </row>
    <row r="18" spans="2:9" ht="13.8" customHeight="1">
      <c r="B18" s="266"/>
      <c r="C18" s="613" t="s">
        <v>381</v>
      </c>
      <c r="D18" s="614"/>
      <c r="E18" s="615">
        <f>VLOOKUP($D$7,'OCTUBRE 2025'!$C$8:$AJ$10,14,0)</f>
        <v>0</v>
      </c>
      <c r="F18" s="840" t="s">
        <v>393</v>
      </c>
      <c r="G18" s="840"/>
      <c r="H18" s="615">
        <f>VLOOKUP($D$7,'OCTUBRE 2025'!$C$8:$AJ$10,32,0)</f>
        <v>850</v>
      </c>
      <c r="I18" s="274"/>
    </row>
    <row r="19" spans="2:9" ht="13.8" customHeight="1">
      <c r="B19" s="266"/>
      <c r="C19" s="613" t="s">
        <v>382</v>
      </c>
      <c r="D19" s="614"/>
      <c r="E19" s="615">
        <f>VLOOKUP($D$7,'OCTUBRE 2025'!$C$8:$AJ$10,15,0)</f>
        <v>0</v>
      </c>
      <c r="F19" s="845" t="s">
        <v>402</v>
      </c>
      <c r="G19" s="846"/>
      <c r="H19" s="615">
        <f>VLOOKUP($D$7,'OCTUBRE 2025'!$C$8:$AJ$10,25,0)</f>
        <v>0</v>
      </c>
      <c r="I19" s="274"/>
    </row>
    <row r="20" spans="2:9" ht="13.8" customHeight="1">
      <c r="B20" s="266"/>
      <c r="C20" s="613" t="s">
        <v>383</v>
      </c>
      <c r="D20" s="614"/>
      <c r="E20" s="615">
        <f>VLOOKUP($D$7,'OCTUBRE 2025'!$C$8:$AJ$10,16,0)</f>
        <v>0</v>
      </c>
      <c r="F20" s="840" t="s">
        <v>403</v>
      </c>
      <c r="G20" s="840"/>
      <c r="H20" s="615">
        <f>VLOOKUP($D$7,'OCTUBRE 2025'!$C$8:$AJ$10,26,0)</f>
        <v>0</v>
      </c>
      <c r="I20" s="274"/>
    </row>
    <row r="21" spans="2:9" ht="13.8" customHeight="1">
      <c r="B21" s="266"/>
      <c r="C21" s="613" t="s">
        <v>384</v>
      </c>
      <c r="D21" s="614"/>
      <c r="E21" s="615">
        <f>VLOOKUP($D$7,'OCTUBRE 2025'!$C$8:$AJ$10,19,0)</f>
        <v>93.479259999999996</v>
      </c>
      <c r="F21" s="853"/>
      <c r="G21" s="853"/>
      <c r="H21" s="615"/>
      <c r="I21" s="274"/>
    </row>
    <row r="22" spans="2:9" ht="13.8" customHeight="1">
      <c r="B22" s="266"/>
      <c r="C22" s="843" t="s">
        <v>410</v>
      </c>
      <c r="D22" s="844"/>
      <c r="E22" s="615">
        <f>VLOOKUP($D$7,'OCTUBRE 2025'!$C$8:$AJ$10,20,0)</f>
        <v>0</v>
      </c>
      <c r="F22" s="847"/>
      <c r="G22" s="848"/>
      <c r="H22" s="615"/>
      <c r="I22" s="274"/>
    </row>
    <row r="23" spans="2:9" ht="13.8" customHeight="1">
      <c r="B23" s="266"/>
      <c r="C23" s="613" t="s">
        <v>385</v>
      </c>
      <c r="D23" s="614"/>
      <c r="E23" s="615">
        <f>VLOOKUP($D$7,'OCTUBRE 2025'!$C$8:$AJ$10,21,0)</f>
        <v>0</v>
      </c>
      <c r="F23" s="853"/>
      <c r="G23" s="853"/>
      <c r="H23" s="615"/>
      <c r="I23" s="274"/>
    </row>
    <row r="24" spans="2:9" ht="13.8" customHeight="1">
      <c r="B24" s="266"/>
      <c r="C24" s="613" t="s">
        <v>386</v>
      </c>
      <c r="D24" s="614"/>
      <c r="E24" s="615">
        <f>VLOOKUP($D$7,'OCTUBRE 2025'!$C$8:$AJ$10,22,0)</f>
        <v>0</v>
      </c>
      <c r="F24" s="616"/>
      <c r="G24" s="617"/>
      <c r="H24" s="615"/>
      <c r="I24" s="274"/>
    </row>
    <row r="25" spans="2:9" ht="14.4" customHeight="1">
      <c r="B25" s="266"/>
      <c r="C25" s="622" t="s">
        <v>100</v>
      </c>
      <c r="D25" s="619"/>
      <c r="E25" s="620">
        <f>SUM(E12:E24)</f>
        <v>1215.6792600000001</v>
      </c>
      <c r="F25" s="849" t="s">
        <v>95</v>
      </c>
      <c r="G25" s="850"/>
      <c r="H25" s="620">
        <f>SUM(H12:H23)</f>
        <v>956.04790000000003</v>
      </c>
      <c r="I25" s="275"/>
    </row>
    <row r="26" spans="2:9" ht="17.25" customHeight="1">
      <c r="B26" s="266"/>
      <c r="C26" s="621"/>
      <c r="D26" s="621"/>
      <c r="E26" s="621"/>
      <c r="F26" s="851" t="s">
        <v>96</v>
      </c>
      <c r="G26" s="852"/>
      <c r="H26" s="620">
        <f>+E25-H25</f>
        <v>259.63136000000009</v>
      </c>
      <c r="I26" s="275"/>
    </row>
    <row r="27" spans="2:9">
      <c r="B27" s="266"/>
      <c r="I27" s="272"/>
    </row>
    <row r="28" spans="2:9" ht="13.8">
      <c r="B28" s="266"/>
      <c r="C28" s="618" t="s">
        <v>226</v>
      </c>
      <c r="D28" s="628"/>
      <c r="E28" s="618"/>
      <c r="F28" s="618"/>
      <c r="G28" s="618" t="s">
        <v>227</v>
      </c>
      <c r="I28" s="314"/>
    </row>
    <row r="29" spans="2:9" ht="25.2" customHeight="1">
      <c r="B29" s="266"/>
      <c r="C29" s="113"/>
      <c r="D29" s="113"/>
      <c r="E29" s="113"/>
      <c r="F29" s="113"/>
      <c r="G29" s="113"/>
      <c r="H29" s="113"/>
      <c r="I29" s="314"/>
    </row>
    <row r="30" spans="2:9">
      <c r="B30" s="266"/>
      <c r="C30" s="113"/>
      <c r="D30" s="113"/>
      <c r="E30" s="113"/>
      <c r="F30" s="113"/>
      <c r="G30" s="113"/>
      <c r="H30" s="113"/>
      <c r="I30" s="314"/>
    </row>
    <row r="31" spans="2:9" ht="10.8" customHeight="1">
      <c r="B31" s="266"/>
      <c r="C31" s="618" t="s">
        <v>228</v>
      </c>
      <c r="D31" s="629"/>
      <c r="G31" s="669" t="str">
        <f>+$D$8</f>
        <v>YUNDA CUJILEMA MARIA TERESA</v>
      </c>
      <c r="I31" s="314"/>
    </row>
    <row r="32" spans="2:9" ht="11.4" customHeight="1">
      <c r="B32" s="266"/>
      <c r="C32" s="618" t="s">
        <v>229</v>
      </c>
      <c r="D32" s="629"/>
      <c r="G32" s="618" t="s">
        <v>230</v>
      </c>
      <c r="I32" s="314"/>
    </row>
    <row r="33" spans="2:9">
      <c r="B33" s="268"/>
      <c r="C33" s="14"/>
      <c r="D33" s="14"/>
      <c r="E33" s="14"/>
      <c r="F33" s="14"/>
      <c r="G33" s="14"/>
      <c r="H33" s="14"/>
      <c r="I33" s="276"/>
    </row>
  </sheetData>
  <mergeCells count="23">
    <mergeCell ref="C22:D22"/>
    <mergeCell ref="F22:G22"/>
    <mergeCell ref="F25:G25"/>
    <mergeCell ref="F26:G26"/>
    <mergeCell ref="F18:G18"/>
    <mergeCell ref="F19:G19"/>
    <mergeCell ref="F20:G20"/>
    <mergeCell ref="F21:G21"/>
    <mergeCell ref="F23:G23"/>
    <mergeCell ref="F16:G16"/>
    <mergeCell ref="F17:G17"/>
    <mergeCell ref="C13:D13"/>
    <mergeCell ref="C14:D14"/>
    <mergeCell ref="C16:D16"/>
    <mergeCell ref="F11:G11"/>
    <mergeCell ref="D9:E9"/>
    <mergeCell ref="F5:G5"/>
    <mergeCell ref="C15:D15"/>
    <mergeCell ref="F13:G13"/>
    <mergeCell ref="C12:D12"/>
    <mergeCell ref="F12:G12"/>
    <mergeCell ref="F14:G14"/>
    <mergeCell ref="F15:G15"/>
  </mergeCells>
  <pageMargins left="0.27" right="0.34" top="0.87" bottom="0.12" header="0.49" footer="0.3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F7B7-316C-4F4A-9DEC-2B1057C0CB6E}">
  <sheetPr codeName="Hoja14">
    <tabColor rgb="FFD363BB"/>
    <pageSetUpPr fitToPage="1"/>
  </sheetPr>
  <dimension ref="B3:J33"/>
  <sheetViews>
    <sheetView showGridLines="0" showWhiteSpace="0" view="pageLayout" topLeftCell="A7" zoomScaleNormal="70" workbookViewId="0">
      <selection activeCell="H26" sqref="H26"/>
    </sheetView>
  </sheetViews>
  <sheetFormatPr baseColWidth="10" defaultColWidth="11.44140625" defaultRowHeight="12"/>
  <cols>
    <col min="1" max="1" width="1.6640625" style="10" customWidth="1"/>
    <col min="2" max="2" width="4.33203125" style="10" customWidth="1"/>
    <col min="3" max="3" width="13.5546875" style="10" customWidth="1"/>
    <col min="4" max="4" width="17.44140625" style="10" customWidth="1"/>
    <col min="5" max="5" width="10.33203125" style="10" customWidth="1"/>
    <col min="6" max="6" width="7.5546875" style="10" customWidth="1"/>
    <col min="7" max="7" width="15" style="10" customWidth="1"/>
    <col min="8" max="8" width="10.88671875" style="10" customWidth="1"/>
    <col min="9" max="9" width="12.33203125" style="10" customWidth="1"/>
    <col min="10" max="16384" width="11.44140625" style="10"/>
  </cols>
  <sheetData>
    <row r="3" spans="2:10">
      <c r="B3" s="269"/>
      <c r="C3" s="270"/>
      <c r="D3" s="270"/>
      <c r="E3" s="270"/>
      <c r="F3" s="270"/>
      <c r="G3" s="270"/>
      <c r="H3" s="270"/>
      <c r="I3" s="271"/>
    </row>
    <row r="4" spans="2:10">
      <c r="B4" s="266"/>
      <c r="I4" s="272"/>
    </row>
    <row r="5" spans="2:10" ht="16.2">
      <c r="B5" s="266"/>
      <c r="F5" s="839" t="s">
        <v>85</v>
      </c>
      <c r="G5" s="839"/>
      <c r="H5" s="626">
        <v>45839</v>
      </c>
      <c r="I5" s="272"/>
    </row>
    <row r="6" spans="2:10">
      <c r="B6" s="266"/>
      <c r="I6" s="272"/>
    </row>
    <row r="7" spans="2:10" ht="15">
      <c r="B7" s="266"/>
      <c r="C7" s="625" t="s">
        <v>97</v>
      </c>
      <c r="D7" s="636" t="s">
        <v>275</v>
      </c>
      <c r="E7" s="631"/>
      <c r="F7" s="627" t="s">
        <v>101</v>
      </c>
      <c r="G7" s="623" t="e">
        <f>VLOOKUP($D$7,'OCTUBRE 2025'!$C$8:$AJ$10,6,0)</f>
        <v>#N/A</v>
      </c>
      <c r="H7" s="621"/>
      <c r="I7" s="272"/>
    </row>
    <row r="8" spans="2:10" ht="15">
      <c r="B8" s="266"/>
      <c r="C8" s="625" t="s">
        <v>98</v>
      </c>
      <c r="D8" s="634" t="e">
        <f>VLOOKUP($D$7,'OCTUBRE 2025'!$C$8:$AJ$10,2,0)</f>
        <v>#N/A</v>
      </c>
      <c r="E8" s="630"/>
      <c r="F8" s="627" t="s">
        <v>368</v>
      </c>
      <c r="G8" s="624" t="e">
        <f>VLOOKUP($D$7,'OCTUBRE 2025'!$C$8:$AJ$10,7,0)</f>
        <v>#N/A</v>
      </c>
      <c r="H8" s="621"/>
      <c r="I8" s="272"/>
    </row>
    <row r="9" spans="2:10" ht="15">
      <c r="B9" s="266"/>
      <c r="C9" s="625" t="s">
        <v>99</v>
      </c>
      <c r="D9" s="838" t="e">
        <f>VLOOKUP($D$7,'OCTUBRE 2025'!$C$8:$AJ$10,4,0)</f>
        <v>#N/A</v>
      </c>
      <c r="E9" s="838"/>
      <c r="F9" s="621"/>
      <c r="G9" s="621"/>
      <c r="H9" s="621"/>
      <c r="I9" s="272"/>
    </row>
    <row r="10" spans="2:10" ht="8.4" customHeight="1">
      <c r="B10" s="266"/>
      <c r="C10" s="14"/>
      <c r="D10" s="14"/>
      <c r="E10" s="14"/>
      <c r="F10" s="14"/>
      <c r="G10" s="14"/>
      <c r="I10" s="272"/>
    </row>
    <row r="11" spans="2:10" s="13" customFormat="1" ht="13.8">
      <c r="B11" s="267"/>
      <c r="C11" s="264" t="s">
        <v>86</v>
      </c>
      <c r="D11" s="264"/>
      <c r="E11" s="265" t="s">
        <v>87</v>
      </c>
      <c r="F11" s="836" t="s">
        <v>113</v>
      </c>
      <c r="G11" s="837"/>
      <c r="H11" s="265" t="s">
        <v>87</v>
      </c>
      <c r="I11" s="273"/>
      <c r="J11" s="10"/>
    </row>
    <row r="12" spans="2:10" ht="13.8" customHeight="1">
      <c r="B12" s="266"/>
      <c r="C12" s="843" t="s">
        <v>378</v>
      </c>
      <c r="D12" s="844"/>
      <c r="E12" s="615" t="e">
        <f>VLOOKUP($D$7,'OCTUBRE 2025'!$C$8:$AJ$10,8,0)</f>
        <v>#N/A</v>
      </c>
      <c r="F12" s="845" t="s">
        <v>387</v>
      </c>
      <c r="G12" s="846"/>
      <c r="H12" s="615" t="e">
        <f>VLOOKUP($D$7,'OCTUBRE 2025'!$C$8:$AJ$10,24,0)</f>
        <v>#N/A</v>
      </c>
      <c r="I12" s="274"/>
    </row>
    <row r="13" spans="2:10" ht="13.8" customHeight="1">
      <c r="B13" s="266"/>
      <c r="C13" s="843" t="s">
        <v>371</v>
      </c>
      <c r="D13" s="844"/>
      <c r="E13" s="615" t="e">
        <f>VLOOKUP($D$7,'OCTUBRE 2025'!$C$8:$AJ$10,9,0)</f>
        <v>#N/A</v>
      </c>
      <c r="F13" s="841" t="s">
        <v>388</v>
      </c>
      <c r="G13" s="842"/>
      <c r="H13" s="615" t="e">
        <f>VLOOKUP($D$7,'OCTUBRE 2025'!$C$8:$AJ$10,27,0)</f>
        <v>#N/A</v>
      </c>
      <c r="I13" s="274"/>
    </row>
    <row r="14" spans="2:10" ht="13.8" customHeight="1">
      <c r="B14" s="266"/>
      <c r="C14" s="843" t="s">
        <v>397</v>
      </c>
      <c r="D14" s="844"/>
      <c r="E14" s="615" t="e">
        <f>VLOOKUP($D$7,'OCTUBRE 2025'!$C$8:$AJ$10,10,0)</f>
        <v>#N/A</v>
      </c>
      <c r="F14" s="845" t="s">
        <v>389</v>
      </c>
      <c r="G14" s="846"/>
      <c r="H14" s="615" t="e">
        <f>VLOOKUP($D$7,'OCTUBRE 2025'!$C$8:$AJ$10,28,0)</f>
        <v>#N/A</v>
      </c>
      <c r="I14" s="274"/>
    </row>
    <row r="15" spans="2:10" ht="13.8" customHeight="1">
      <c r="B15" s="266"/>
      <c r="C15" s="840" t="s">
        <v>370</v>
      </c>
      <c r="D15" s="840"/>
      <c r="E15" s="615" t="e">
        <f>VLOOKUP($D$7,'OCTUBRE 2025'!$C$8:$AJ$10,11,0)</f>
        <v>#N/A</v>
      </c>
      <c r="F15" s="845" t="s">
        <v>390</v>
      </c>
      <c r="G15" s="846"/>
      <c r="H15" s="615" t="e">
        <f>VLOOKUP($D$7,'OCTUBRE 2025'!$C$8:$AJ$10,29,0)</f>
        <v>#N/A</v>
      </c>
      <c r="I15" s="274"/>
    </row>
    <row r="16" spans="2:10" ht="13.8" customHeight="1">
      <c r="B16" s="266"/>
      <c r="C16" s="843" t="s">
        <v>379</v>
      </c>
      <c r="D16" s="844"/>
      <c r="E16" s="615" t="e">
        <f>VLOOKUP($D$7,'OCTUBRE 2025'!$C$8:$AJ$10,12,0)</f>
        <v>#N/A</v>
      </c>
      <c r="F16" s="845" t="s">
        <v>391</v>
      </c>
      <c r="G16" s="846"/>
      <c r="H16" s="615" t="e">
        <f>VLOOKUP($D$7,'OCTUBRE 2025'!$C$8:$AJ$10,30,0)</f>
        <v>#N/A</v>
      </c>
      <c r="I16" s="274"/>
    </row>
    <row r="17" spans="2:9" ht="13.8" customHeight="1">
      <c r="B17" s="266"/>
      <c r="C17" s="613" t="s">
        <v>380</v>
      </c>
      <c r="D17" s="614"/>
      <c r="E17" s="615" t="e">
        <f>VLOOKUP($D$7,'OCTUBRE 2025'!$C$8:$AJ$10,13,0)</f>
        <v>#N/A</v>
      </c>
      <c r="F17" s="845" t="s">
        <v>392</v>
      </c>
      <c r="G17" s="846"/>
      <c r="H17" s="615" t="e">
        <f>VLOOKUP($D$7,'OCTUBRE 2025'!$C$8:$AJ$10,31,0)</f>
        <v>#N/A</v>
      </c>
      <c r="I17" s="274"/>
    </row>
    <row r="18" spans="2:9" ht="13.8" customHeight="1">
      <c r="B18" s="266"/>
      <c r="C18" s="613" t="s">
        <v>381</v>
      </c>
      <c r="D18" s="614"/>
      <c r="E18" s="615" t="e">
        <f>VLOOKUP($D$7,'OCTUBRE 2025'!$C$8:$AJ$10,14,0)</f>
        <v>#N/A</v>
      </c>
      <c r="F18" s="840" t="s">
        <v>393</v>
      </c>
      <c r="G18" s="840"/>
      <c r="H18" s="615">
        <v>0</v>
      </c>
      <c r="I18" s="274"/>
    </row>
    <row r="19" spans="2:9" ht="13.8" customHeight="1">
      <c r="B19" s="266"/>
      <c r="C19" s="613" t="s">
        <v>382</v>
      </c>
      <c r="D19" s="614"/>
      <c r="E19" s="615" t="e">
        <f>VLOOKUP($D$7,'OCTUBRE 2025'!$C$8:$AJ$10,15,0)</f>
        <v>#N/A</v>
      </c>
      <c r="F19" s="845" t="s">
        <v>402</v>
      </c>
      <c r="G19" s="846"/>
      <c r="H19" s="615" t="e">
        <f>VLOOKUP($D$7,'OCTUBRE 2025'!$C$8:$AJ$10,25,0)</f>
        <v>#N/A</v>
      </c>
      <c r="I19" s="274"/>
    </row>
    <row r="20" spans="2:9" ht="13.8" customHeight="1">
      <c r="B20" s="266"/>
      <c r="C20" s="613" t="s">
        <v>383</v>
      </c>
      <c r="D20" s="614"/>
      <c r="E20" s="615" t="e">
        <f>VLOOKUP($D$7,'OCTUBRE 2025'!$C$8:$AJ$10,16,0)</f>
        <v>#N/A</v>
      </c>
      <c r="F20" s="840" t="s">
        <v>403</v>
      </c>
      <c r="G20" s="840"/>
      <c r="H20" s="615" t="e">
        <f>VLOOKUP($D$7,'OCTUBRE 2025'!$C$8:$AJ$10,26,0)</f>
        <v>#N/A</v>
      </c>
      <c r="I20" s="274"/>
    </row>
    <row r="21" spans="2:9" ht="13.8" customHeight="1">
      <c r="B21" s="266"/>
      <c r="C21" s="613" t="s">
        <v>384</v>
      </c>
      <c r="D21" s="614"/>
      <c r="E21" s="615" t="e">
        <f>VLOOKUP($D$7,'OCTUBRE 2025'!$C$8:$AJ$10,19,0)</f>
        <v>#N/A</v>
      </c>
      <c r="F21" s="853"/>
      <c r="G21" s="853"/>
      <c r="H21" s="615"/>
      <c r="I21" s="274"/>
    </row>
    <row r="22" spans="2:9" ht="13.8" customHeight="1">
      <c r="B22" s="266"/>
      <c r="C22" s="843" t="s">
        <v>410</v>
      </c>
      <c r="D22" s="844"/>
      <c r="E22" s="615" t="e">
        <f>VLOOKUP($D$7,'OCTUBRE 2025'!$C$8:$AJ$10,20,0)</f>
        <v>#N/A</v>
      </c>
      <c r="F22" s="847"/>
      <c r="G22" s="848"/>
      <c r="H22" s="615"/>
      <c r="I22" s="274"/>
    </row>
    <row r="23" spans="2:9" ht="13.8" customHeight="1">
      <c r="B23" s="266"/>
      <c r="C23" s="613" t="s">
        <v>385</v>
      </c>
      <c r="D23" s="614"/>
      <c r="E23" s="615" t="e">
        <f>VLOOKUP($D$7,'OCTUBRE 2025'!$C$8:$AJ$10,21,0)</f>
        <v>#N/A</v>
      </c>
      <c r="F23" s="853"/>
      <c r="G23" s="853"/>
      <c r="H23" s="615"/>
      <c r="I23" s="274"/>
    </row>
    <row r="24" spans="2:9" ht="13.8" customHeight="1">
      <c r="B24" s="266"/>
      <c r="C24" s="613" t="s">
        <v>386</v>
      </c>
      <c r="D24" s="614"/>
      <c r="E24" s="615" t="e">
        <f>VLOOKUP($D$7,'OCTUBRE 2025'!$C$8:$AJ$10,22,0)</f>
        <v>#N/A</v>
      </c>
      <c r="F24" s="616"/>
      <c r="G24" s="617"/>
      <c r="H24" s="615"/>
      <c r="I24" s="274"/>
    </row>
    <row r="25" spans="2:9" ht="14.4" customHeight="1">
      <c r="B25" s="266"/>
      <c r="C25" s="622" t="s">
        <v>100</v>
      </c>
      <c r="D25" s="619"/>
      <c r="E25" s="620" t="e">
        <f>SUM(E12:E24)</f>
        <v>#N/A</v>
      </c>
      <c r="F25" s="849" t="s">
        <v>95</v>
      </c>
      <c r="G25" s="850"/>
      <c r="H25" s="620" t="e">
        <f>SUM(H12:H23)</f>
        <v>#N/A</v>
      </c>
      <c r="I25" s="275"/>
    </row>
    <row r="26" spans="2:9" ht="17.25" customHeight="1">
      <c r="B26" s="266"/>
      <c r="C26" s="621"/>
      <c r="D26" s="621"/>
      <c r="E26" s="621"/>
      <c r="F26" s="851" t="s">
        <v>96</v>
      </c>
      <c r="G26" s="852"/>
      <c r="H26" s="620" t="e">
        <f>+E25-H25</f>
        <v>#N/A</v>
      </c>
      <c r="I26" s="275"/>
    </row>
    <row r="27" spans="2:9">
      <c r="B27" s="266"/>
      <c r="I27" s="272"/>
    </row>
    <row r="28" spans="2:9" ht="13.8">
      <c r="B28" s="266"/>
      <c r="C28" s="618" t="s">
        <v>226</v>
      </c>
      <c r="D28" s="628"/>
      <c r="E28" s="618"/>
      <c r="F28" s="618"/>
      <c r="G28" s="618" t="s">
        <v>227</v>
      </c>
      <c r="I28" s="314"/>
    </row>
    <row r="29" spans="2:9" ht="25.2" customHeight="1">
      <c r="B29" s="266"/>
      <c r="C29" s="113"/>
      <c r="D29" s="113"/>
      <c r="E29" s="113"/>
      <c r="F29" s="113"/>
      <c r="G29" s="113"/>
      <c r="H29" s="113"/>
      <c r="I29" s="314"/>
    </row>
    <row r="30" spans="2:9">
      <c r="B30" s="266"/>
      <c r="C30" s="113"/>
      <c r="D30" s="113"/>
      <c r="E30" s="113"/>
      <c r="F30" s="113"/>
      <c r="G30" s="113"/>
      <c r="H30" s="113"/>
      <c r="I30" s="314"/>
    </row>
    <row r="31" spans="2:9" ht="10.8" customHeight="1">
      <c r="B31" s="266"/>
      <c r="C31" s="618" t="s">
        <v>228</v>
      </c>
      <c r="D31" s="629"/>
      <c r="G31" s="669" t="e">
        <f>+$D$8</f>
        <v>#N/A</v>
      </c>
      <c r="I31" s="314"/>
    </row>
    <row r="32" spans="2:9" ht="11.4" customHeight="1">
      <c r="B32" s="266"/>
      <c r="C32" s="618" t="s">
        <v>229</v>
      </c>
      <c r="D32" s="629"/>
      <c r="G32" s="618" t="s">
        <v>230</v>
      </c>
      <c r="I32" s="314"/>
    </row>
    <row r="33" spans="2:9">
      <c r="B33" s="268"/>
      <c r="C33" s="14"/>
      <c r="D33" s="14"/>
      <c r="E33" s="14"/>
      <c r="F33" s="14"/>
      <c r="G33" s="14"/>
      <c r="H33" s="14"/>
      <c r="I33" s="276"/>
    </row>
  </sheetData>
  <mergeCells count="23">
    <mergeCell ref="F23:G23"/>
    <mergeCell ref="F25:G25"/>
    <mergeCell ref="F26:G26"/>
    <mergeCell ref="F17:G17"/>
    <mergeCell ref="F18:G18"/>
    <mergeCell ref="F19:G19"/>
    <mergeCell ref="F20:G20"/>
    <mergeCell ref="F21:G21"/>
    <mergeCell ref="C22:D22"/>
    <mergeCell ref="F22:G22"/>
    <mergeCell ref="C14:D14"/>
    <mergeCell ref="F14:G14"/>
    <mergeCell ref="C15:D15"/>
    <mergeCell ref="F15:G15"/>
    <mergeCell ref="C16:D16"/>
    <mergeCell ref="F16:G16"/>
    <mergeCell ref="C13:D13"/>
    <mergeCell ref="F13:G13"/>
    <mergeCell ref="F5:G5"/>
    <mergeCell ref="D9:E9"/>
    <mergeCell ref="F11:G11"/>
    <mergeCell ref="C12:D12"/>
    <mergeCell ref="F12:G12"/>
  </mergeCells>
  <pageMargins left="0.27" right="0.34" top="0.87" bottom="0.12" header="0.49" footer="0.3"/>
  <pageSetup paperSize="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68DF-63EC-4A3F-AC4F-C43885BFE788}">
  <sheetPr codeName="Hoja10"/>
  <dimension ref="B2:R48"/>
  <sheetViews>
    <sheetView topLeftCell="A13" workbookViewId="0">
      <selection activeCell="F15" sqref="F15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1" customWidth="1"/>
    <col min="8" max="8" width="9.6640625" bestFit="1" customWidth="1"/>
    <col min="10" max="10" width="9.5546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398" t="s">
        <v>163</v>
      </c>
      <c r="C8" s="855" t="s">
        <v>422</v>
      </c>
      <c r="D8" s="855"/>
      <c r="F8" s="429" t="s">
        <v>164</v>
      </c>
      <c r="G8" s="117">
        <v>45884</v>
      </c>
    </row>
    <row r="9" spans="2:9">
      <c r="B9" s="398" t="s">
        <v>165</v>
      </c>
      <c r="C9" s="856">
        <v>45884</v>
      </c>
      <c r="D9" s="856"/>
      <c r="F9" s="429" t="s">
        <v>166</v>
      </c>
      <c r="G9" s="118">
        <v>45681</v>
      </c>
    </row>
    <row r="10" spans="2:9">
      <c r="B10" s="398" t="s">
        <v>167</v>
      </c>
      <c r="C10" s="857">
        <v>473.88</v>
      </c>
      <c r="D10" s="857"/>
      <c r="F10" s="429" t="s">
        <v>168</v>
      </c>
      <c r="G10" s="119">
        <f>+_xlfn.DAYS(G9,G8)</f>
        <v>-203</v>
      </c>
      <c r="I10" s="120"/>
    </row>
    <row r="11" spans="2:9">
      <c r="B11" s="398" t="s">
        <v>169</v>
      </c>
      <c r="C11" s="798" t="s">
        <v>344</v>
      </c>
      <c r="D11" s="798"/>
    </row>
    <row r="12" spans="2:9" ht="5.25" customHeight="1"/>
    <row r="13" spans="2:9">
      <c r="B13" s="51" t="s">
        <v>171</v>
      </c>
    </row>
    <row r="14" spans="2:9">
      <c r="B14" s="854" t="s">
        <v>172</v>
      </c>
      <c r="C14" s="854"/>
      <c r="D14" s="34">
        <f>+C10/30</f>
        <v>15.795999999999999</v>
      </c>
      <c r="E14" s="17" t="s">
        <v>173</v>
      </c>
      <c r="F14" s="120">
        <f>+C10/30</f>
        <v>15.795999999999999</v>
      </c>
      <c r="I14" s="34"/>
    </row>
    <row r="15" spans="2:9">
      <c r="B15" s="854" t="s">
        <v>174</v>
      </c>
      <c r="C15" s="854"/>
      <c r="D15" s="34">
        <f>+D14*25%</f>
        <v>3.9489999999999998</v>
      </c>
      <c r="E15" s="17" t="s">
        <v>175</v>
      </c>
      <c r="F15" s="120">
        <f>+F14*25%</f>
        <v>3.9489999999999998</v>
      </c>
    </row>
    <row r="16" spans="2:9" ht="8.25" customHeight="1" thickBot="1"/>
    <row r="17" spans="2:18" ht="16.2" thickBot="1">
      <c r="B17" s="861" t="s">
        <v>176</v>
      </c>
      <c r="C17" s="863" t="s">
        <v>177</v>
      </c>
      <c r="D17" s="858"/>
      <c r="E17" s="861" t="s">
        <v>253</v>
      </c>
      <c r="F17" s="861" t="s">
        <v>179</v>
      </c>
      <c r="G17" s="858" t="s">
        <v>180</v>
      </c>
      <c r="M17" s="861" t="s">
        <v>176</v>
      </c>
      <c r="N17" s="863" t="s">
        <v>177</v>
      </c>
      <c r="O17" s="858"/>
      <c r="P17" s="861" t="s">
        <v>253</v>
      </c>
      <c r="Q17" s="861" t="s">
        <v>179</v>
      </c>
      <c r="R17" s="858" t="s">
        <v>180</v>
      </c>
    </row>
    <row r="18" spans="2:18" ht="16.2" thickBot="1">
      <c r="B18" s="862"/>
      <c r="C18" s="417" t="s">
        <v>181</v>
      </c>
      <c r="D18" s="417" t="s">
        <v>182</v>
      </c>
      <c r="E18" s="862"/>
      <c r="F18" s="862"/>
      <c r="G18" s="859"/>
      <c r="M18" s="862"/>
      <c r="N18" s="417" t="s">
        <v>181</v>
      </c>
      <c r="O18" s="417" t="s">
        <v>182</v>
      </c>
      <c r="P18" s="862"/>
      <c r="Q18" s="862"/>
      <c r="R18" s="859"/>
    </row>
    <row r="19" spans="2:18">
      <c r="B19" s="402">
        <v>1</v>
      </c>
      <c r="C19" s="408">
        <v>45931</v>
      </c>
      <c r="D19" s="403">
        <v>45939</v>
      </c>
      <c r="E19" s="411">
        <v>100</v>
      </c>
      <c r="F19" s="414">
        <f>+D19-C19+1</f>
        <v>9</v>
      </c>
      <c r="G19" s="399">
        <f>+F14*F19</f>
        <v>142.16399999999999</v>
      </c>
      <c r="M19" s="402">
        <v>1</v>
      </c>
      <c r="N19" s="408">
        <v>45593</v>
      </c>
      <c r="O19" s="403">
        <v>45596</v>
      </c>
      <c r="P19" s="411">
        <v>25</v>
      </c>
      <c r="Q19" s="414">
        <v>4</v>
      </c>
      <c r="R19" s="399">
        <f>+Q15*Q19</f>
        <v>0</v>
      </c>
    </row>
    <row r="20" spans="2:18">
      <c r="B20" s="402">
        <v>2</v>
      </c>
      <c r="C20" s="408"/>
      <c r="D20" s="403"/>
      <c r="E20" s="411"/>
      <c r="F20" s="414"/>
      <c r="G20" s="399"/>
      <c r="K20" s="80"/>
      <c r="L20" s="80"/>
      <c r="M20" s="402">
        <v>2</v>
      </c>
      <c r="N20" s="408">
        <v>45597</v>
      </c>
      <c r="O20" s="403">
        <v>45626</v>
      </c>
      <c r="P20" s="411">
        <v>25</v>
      </c>
      <c r="Q20" s="414">
        <v>30</v>
      </c>
      <c r="R20" s="399">
        <f>+Q15*Q20</f>
        <v>0</v>
      </c>
    </row>
    <row r="21" spans="2:18">
      <c r="B21" s="468">
        <v>3</v>
      </c>
      <c r="C21" s="469"/>
      <c r="D21" s="470"/>
      <c r="E21" s="471"/>
      <c r="F21" s="472"/>
      <c r="G21" s="473"/>
      <c r="I21" s="34"/>
      <c r="L21" s="80"/>
      <c r="M21" s="468">
        <v>3</v>
      </c>
      <c r="N21" s="469">
        <v>45992</v>
      </c>
      <c r="O21" s="470">
        <v>45657</v>
      </c>
      <c r="P21" s="471">
        <v>25</v>
      </c>
      <c r="Q21" s="472">
        <v>31</v>
      </c>
      <c r="R21" s="473">
        <f>+Q21*Q15</f>
        <v>0</v>
      </c>
    </row>
    <row r="22" spans="2:18">
      <c r="B22" s="468">
        <v>4</v>
      </c>
      <c r="C22" s="474"/>
      <c r="D22" s="475"/>
      <c r="E22" s="476"/>
      <c r="F22" s="477"/>
      <c r="G22" s="478"/>
      <c r="H22" s="34"/>
      <c r="M22" s="468">
        <v>4</v>
      </c>
      <c r="N22" s="474">
        <v>45658</v>
      </c>
      <c r="O22" s="475">
        <v>45676</v>
      </c>
      <c r="P22" s="476">
        <v>25</v>
      </c>
      <c r="Q22" s="477">
        <v>19</v>
      </c>
      <c r="R22" s="478">
        <f>+Q22*Q14</f>
        <v>0</v>
      </c>
    </row>
    <row r="23" spans="2:18">
      <c r="B23" s="401"/>
      <c r="C23" s="409"/>
      <c r="D23" s="404"/>
      <c r="E23" s="412"/>
      <c r="F23" s="415"/>
      <c r="G23" s="400"/>
      <c r="M23" s="401"/>
      <c r="N23" s="409"/>
      <c r="O23" s="404"/>
      <c r="P23" s="412"/>
      <c r="Q23" s="415"/>
      <c r="R23" s="400"/>
    </row>
    <row r="24" spans="2:18">
      <c r="B24" s="401"/>
      <c r="C24" s="409"/>
      <c r="D24" s="404"/>
      <c r="E24" s="412"/>
      <c r="F24" s="415"/>
      <c r="G24" s="400"/>
      <c r="H24" s="80"/>
      <c r="M24" s="401"/>
      <c r="N24" s="409"/>
      <c r="O24" s="404"/>
      <c r="P24" s="412"/>
      <c r="Q24" s="415"/>
      <c r="R24" s="400"/>
    </row>
    <row r="25" spans="2:18">
      <c r="B25" s="401"/>
      <c r="C25" s="409"/>
      <c r="D25" s="404"/>
      <c r="E25" s="412"/>
      <c r="F25" s="415"/>
      <c r="G25" s="400"/>
      <c r="M25" s="401"/>
      <c r="N25" s="409"/>
      <c r="O25" s="404"/>
      <c r="P25" s="412"/>
      <c r="Q25" s="415"/>
      <c r="R25" s="400"/>
    </row>
    <row r="26" spans="2:18" ht="15" thickBot="1">
      <c r="B26" s="405"/>
      <c r="C26" s="410"/>
      <c r="D26" s="406"/>
      <c r="E26" s="413"/>
      <c r="F26" s="416"/>
      <c r="G26" s="407"/>
      <c r="M26" s="405"/>
      <c r="N26" s="410"/>
      <c r="O26" s="406"/>
      <c r="P26" s="413"/>
      <c r="Q26" s="416"/>
      <c r="R26" s="407"/>
    </row>
    <row r="27" spans="2:18" ht="15" thickBot="1">
      <c r="B27" s="864" t="s">
        <v>21</v>
      </c>
      <c r="C27" s="865"/>
      <c r="D27" s="865"/>
      <c r="E27" s="865"/>
      <c r="F27" s="419">
        <f>SUM(F19:F22)</f>
        <v>9</v>
      </c>
      <c r="G27" s="418">
        <f>SUM(G19:G26)</f>
        <v>142.16399999999999</v>
      </c>
      <c r="L27" s="80"/>
      <c r="M27" s="864" t="s">
        <v>21</v>
      </c>
      <c r="N27" s="865"/>
      <c r="O27" s="865"/>
      <c r="P27" s="865"/>
      <c r="Q27" s="419">
        <f>SUM(Q19:Q24)</f>
        <v>84</v>
      </c>
      <c r="R27" s="418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60" t="s">
        <v>459</v>
      </c>
      <c r="C29" s="860"/>
      <c r="D29" s="860"/>
      <c r="E29" s="860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20" t="s">
        <v>86</v>
      </c>
      <c r="C31" s="420" t="s">
        <v>87</v>
      </c>
      <c r="D31" s="420" t="s">
        <v>113</v>
      </c>
      <c r="E31" s="420" t="s">
        <v>87</v>
      </c>
      <c r="F31" s="10"/>
    </row>
    <row r="32" spans="2:18">
      <c r="B32" s="11" t="s">
        <v>88</v>
      </c>
      <c r="C32" s="12">
        <f>+G19</f>
        <v>142.16399999999999</v>
      </c>
      <c r="D32" s="430" t="s">
        <v>184</v>
      </c>
      <c r="E32" s="12">
        <f>+((C32+C33+C34+C39)*9.45%)</f>
        <v>16.269497999999995</v>
      </c>
      <c r="F32" s="10"/>
    </row>
    <row r="33" spans="2:15">
      <c r="B33" s="11" t="s">
        <v>89</v>
      </c>
      <c r="C33" s="12">
        <f>+(3.33333333333333)*9</f>
        <v>30</v>
      </c>
      <c r="D33" s="10" t="s">
        <v>90</v>
      </c>
      <c r="E33" s="12">
        <v>0</v>
      </c>
      <c r="F33" s="10"/>
    </row>
    <row r="34" spans="2:15">
      <c r="B34" s="11" t="s">
        <v>57</v>
      </c>
      <c r="C34" s="12">
        <v>0</v>
      </c>
      <c r="D34" s="11"/>
      <c r="E34" s="12"/>
      <c r="F34" s="10"/>
    </row>
    <row r="35" spans="2:15">
      <c r="B35" s="11" t="s">
        <v>91</v>
      </c>
      <c r="C35" s="12">
        <v>0</v>
      </c>
      <c r="D35" s="11"/>
      <c r="E35" s="12"/>
      <c r="F35" s="10"/>
    </row>
    <row r="36" spans="2:15">
      <c r="B36" s="11" t="s">
        <v>5</v>
      </c>
      <c r="C36" s="12">
        <v>0</v>
      </c>
      <c r="D36" s="11" t="s">
        <v>404</v>
      </c>
      <c r="E36" s="12">
        <v>0</v>
      </c>
      <c r="F36" s="10"/>
    </row>
    <row r="37" spans="2:15">
      <c r="B37" s="11" t="s">
        <v>185</v>
      </c>
      <c r="C37" s="12">
        <v>0</v>
      </c>
      <c r="D37" s="11"/>
      <c r="E37" s="12"/>
      <c r="F37" s="10"/>
    </row>
    <row r="38" spans="2:15">
      <c r="B38" s="11" t="s">
        <v>92</v>
      </c>
      <c r="C38" s="12">
        <v>0</v>
      </c>
      <c r="D38" s="11"/>
      <c r="E38" s="12"/>
      <c r="F38" s="10"/>
    </row>
    <row r="39" spans="2:15">
      <c r="B39" s="11" t="s">
        <v>93</v>
      </c>
      <c r="C39" s="12">
        <v>0</v>
      </c>
      <c r="D39" s="11"/>
      <c r="E39" s="12"/>
      <c r="F39" s="10"/>
    </row>
    <row r="40" spans="2:15">
      <c r="B40" s="11" t="s">
        <v>14</v>
      </c>
      <c r="C40" s="12">
        <v>0</v>
      </c>
      <c r="D40" s="11"/>
      <c r="E40" s="12"/>
      <c r="F40" s="10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21" t="s">
        <v>94</v>
      </c>
      <c r="C42" s="422">
        <v>0</v>
      </c>
      <c r="D42" s="421"/>
      <c r="E42" s="422"/>
      <c r="F42" s="10"/>
    </row>
    <row r="43" spans="2:15" ht="15" thickBot="1">
      <c r="B43" s="423" t="s">
        <v>186</v>
      </c>
      <c r="C43" s="424">
        <f>SUM(C32:C42)</f>
        <v>172.16399999999999</v>
      </c>
      <c r="D43" s="425" t="s">
        <v>95</v>
      </c>
      <c r="E43" s="427">
        <f>SUM(E32:E42)</f>
        <v>16.269497999999995</v>
      </c>
      <c r="F43" s="358"/>
      <c r="G43" s="34"/>
      <c r="L43" s="392"/>
    </row>
    <row r="44" spans="2:15">
      <c r="B44" s="113"/>
      <c r="C44" s="113"/>
      <c r="D44" s="426" t="s">
        <v>96</v>
      </c>
      <c r="E44" s="428">
        <f>+C43-E43</f>
        <v>155.89450199999999</v>
      </c>
      <c r="F44" s="259"/>
      <c r="G44" s="80"/>
      <c r="O44" s="80"/>
    </row>
    <row r="47" spans="2:15">
      <c r="L47" s="80"/>
    </row>
    <row r="48" spans="2:15">
      <c r="E48" s="635">
        <v>645.95748800000001</v>
      </c>
    </row>
  </sheetData>
  <mergeCells count="19">
    <mergeCell ref="R17:R18"/>
    <mergeCell ref="B29:E29"/>
    <mergeCell ref="B17:B18"/>
    <mergeCell ref="C17:D17"/>
    <mergeCell ref="E17:E18"/>
    <mergeCell ref="F17:F18"/>
    <mergeCell ref="G17:G18"/>
    <mergeCell ref="B27:E27"/>
    <mergeCell ref="M27:P27"/>
    <mergeCell ref="M17:M18"/>
    <mergeCell ref="N17:O17"/>
    <mergeCell ref="P17:P18"/>
    <mergeCell ref="Q17:Q18"/>
    <mergeCell ref="B15:C15"/>
    <mergeCell ref="C8:D8"/>
    <mergeCell ref="C9:D9"/>
    <mergeCell ref="C10:D10"/>
    <mergeCell ref="C11:D11"/>
    <mergeCell ref="B14:C14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1ABF-A963-4F6B-BCE2-F516FEC62F75}">
  <sheetPr codeName="Hoja21"/>
  <dimension ref="B2:R65"/>
  <sheetViews>
    <sheetView topLeftCell="A28" workbookViewId="0">
      <selection activeCell="G8" sqref="G8:G9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1" customWidth="1"/>
    <col min="8" max="8" width="9.6640625" bestFit="1" customWidth="1"/>
    <col min="10" max="10" width="9.5546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398" t="s">
        <v>163</v>
      </c>
      <c r="C8" s="855" t="s">
        <v>406</v>
      </c>
      <c r="D8" s="855"/>
      <c r="F8" s="429" t="s">
        <v>164</v>
      </c>
      <c r="G8" s="117"/>
    </row>
    <row r="9" spans="2:9">
      <c r="B9" s="398" t="s">
        <v>165</v>
      </c>
      <c r="C9" s="856">
        <v>45762</v>
      </c>
      <c r="D9" s="856"/>
      <c r="F9" s="429" t="s">
        <v>166</v>
      </c>
      <c r="G9" s="118"/>
    </row>
    <row r="10" spans="2:9">
      <c r="B10" s="398" t="s">
        <v>167</v>
      </c>
      <c r="C10" s="857">
        <v>715.54</v>
      </c>
      <c r="D10" s="857"/>
      <c r="F10" s="429" t="s">
        <v>168</v>
      </c>
      <c r="G10" s="119">
        <f>+_xlfn.DAYS(G9,G8)+1</f>
        <v>1</v>
      </c>
      <c r="I10" s="120"/>
    </row>
    <row r="11" spans="2:9">
      <c r="B11" s="398" t="s">
        <v>169</v>
      </c>
      <c r="C11" s="798" t="s">
        <v>344</v>
      </c>
      <c r="D11" s="798"/>
    </row>
    <row r="12" spans="2:9" ht="14.4" customHeight="1"/>
    <row r="13" spans="2:9">
      <c r="B13" s="51" t="s">
        <v>171</v>
      </c>
      <c r="H13">
        <f>+C10/30</f>
        <v>23.851333333333333</v>
      </c>
    </row>
    <row r="14" spans="2:9">
      <c r="B14" s="854" t="s">
        <v>172</v>
      </c>
      <c r="C14" s="854"/>
      <c r="D14" s="34">
        <f>+C10/30</f>
        <v>23.851333333333333</v>
      </c>
      <c r="E14" s="17" t="s">
        <v>173</v>
      </c>
      <c r="F14" s="120">
        <f>+C10/30</f>
        <v>23.851333333333333</v>
      </c>
      <c r="I14" s="34"/>
    </row>
    <row r="15" spans="2:9">
      <c r="B15" s="854" t="s">
        <v>174</v>
      </c>
      <c r="C15" s="854"/>
      <c r="D15" s="34">
        <f>+D14*25%</f>
        <v>5.9628333333333332</v>
      </c>
      <c r="E15" s="17" t="s">
        <v>175</v>
      </c>
      <c r="F15" s="120">
        <f>+F14*25%</f>
        <v>5.9628333333333332</v>
      </c>
    </row>
    <row r="16" spans="2:9" ht="8.25" customHeight="1" thickBot="1"/>
    <row r="17" spans="2:18" ht="16.2" thickBot="1">
      <c r="B17" s="861" t="s">
        <v>176</v>
      </c>
      <c r="C17" s="863" t="s">
        <v>177</v>
      </c>
      <c r="D17" s="858"/>
      <c r="E17" s="861" t="s">
        <v>253</v>
      </c>
      <c r="F17" s="861" t="s">
        <v>179</v>
      </c>
      <c r="G17" s="858" t="s">
        <v>180</v>
      </c>
      <c r="M17" s="861" t="s">
        <v>176</v>
      </c>
      <c r="N17" s="863" t="s">
        <v>177</v>
      </c>
      <c r="O17" s="858"/>
      <c r="P17" s="861" t="s">
        <v>253</v>
      </c>
      <c r="Q17" s="861" t="s">
        <v>179</v>
      </c>
      <c r="R17" s="858" t="s">
        <v>180</v>
      </c>
    </row>
    <row r="18" spans="2:18" ht="16.2" thickBot="1">
      <c r="B18" s="862"/>
      <c r="C18" s="417" t="s">
        <v>181</v>
      </c>
      <c r="D18" s="417" t="s">
        <v>182</v>
      </c>
      <c r="E18" s="862"/>
      <c r="F18" s="862"/>
      <c r="G18" s="859"/>
      <c r="M18" s="862"/>
      <c r="N18" s="417" t="s">
        <v>181</v>
      </c>
      <c r="O18" s="417" t="s">
        <v>182</v>
      </c>
      <c r="P18" s="862"/>
      <c r="Q18" s="862"/>
      <c r="R18" s="859"/>
    </row>
    <row r="19" spans="2:18">
      <c r="B19" s="402">
        <v>1</v>
      </c>
      <c r="C19" s="408">
        <v>45658</v>
      </c>
      <c r="D19" s="403">
        <v>45674</v>
      </c>
      <c r="E19" s="411">
        <v>100</v>
      </c>
      <c r="F19" s="414">
        <v>17</v>
      </c>
      <c r="G19" s="399">
        <f>+F14*F19</f>
        <v>405.47266666666667</v>
      </c>
      <c r="M19" s="402">
        <v>1</v>
      </c>
      <c r="N19" s="408">
        <v>45593</v>
      </c>
      <c r="O19" s="403">
        <v>45596</v>
      </c>
      <c r="P19" s="411">
        <v>25</v>
      </c>
      <c r="Q19" s="414">
        <v>4</v>
      </c>
      <c r="R19" s="399">
        <f>+Q15*Q19</f>
        <v>0</v>
      </c>
    </row>
    <row r="20" spans="2:18">
      <c r="B20" s="402">
        <v>2</v>
      </c>
      <c r="C20" s="408">
        <v>45675</v>
      </c>
      <c r="D20" s="403">
        <v>45688</v>
      </c>
      <c r="E20" s="411">
        <v>25</v>
      </c>
      <c r="F20" s="414">
        <v>14</v>
      </c>
      <c r="G20" s="399">
        <f>+F15*F20</f>
        <v>83.47966666666666</v>
      </c>
      <c r="K20" s="80"/>
      <c r="L20" s="80"/>
      <c r="M20" s="402">
        <v>2</v>
      </c>
      <c r="N20" s="408">
        <v>45597</v>
      </c>
      <c r="O20" s="403">
        <v>45626</v>
      </c>
      <c r="P20" s="411">
        <v>25</v>
      </c>
      <c r="Q20" s="414">
        <v>30</v>
      </c>
      <c r="R20" s="399">
        <f>+Q15*Q20</f>
        <v>0</v>
      </c>
    </row>
    <row r="21" spans="2:18">
      <c r="B21" s="468">
        <v>3</v>
      </c>
      <c r="C21" s="469"/>
      <c r="D21" s="470"/>
      <c r="E21" s="471"/>
      <c r="F21" s="472"/>
      <c r="G21" s="473">
        <f>+F21*F15</f>
        <v>0</v>
      </c>
      <c r="I21" s="34"/>
      <c r="L21" s="80"/>
      <c r="M21" s="468">
        <v>3</v>
      </c>
      <c r="N21" s="469">
        <v>45992</v>
      </c>
      <c r="O21" s="470">
        <v>45657</v>
      </c>
      <c r="P21" s="471">
        <v>25</v>
      </c>
      <c r="Q21" s="472">
        <v>31</v>
      </c>
      <c r="R21" s="473">
        <f>+Q21*Q15</f>
        <v>0</v>
      </c>
    </row>
    <row r="22" spans="2:18">
      <c r="B22" s="468">
        <v>4</v>
      </c>
      <c r="C22" s="474"/>
      <c r="D22" s="475"/>
      <c r="E22" s="476"/>
      <c r="F22" s="477"/>
      <c r="G22" s="478">
        <f>+F22*F14</f>
        <v>0</v>
      </c>
      <c r="H22" s="34"/>
      <c r="I22" s="80"/>
      <c r="M22" s="468">
        <v>4</v>
      </c>
      <c r="N22" s="474">
        <v>45658</v>
      </c>
      <c r="O22" s="475">
        <v>45676</v>
      </c>
      <c r="P22" s="476">
        <v>25</v>
      </c>
      <c r="Q22" s="477">
        <v>19</v>
      </c>
      <c r="R22" s="478">
        <f>+Q22*Q14</f>
        <v>0</v>
      </c>
    </row>
    <row r="23" spans="2:18">
      <c r="B23" s="401"/>
      <c r="C23" s="409"/>
      <c r="D23" s="404"/>
      <c r="E23" s="412"/>
      <c r="F23" s="415"/>
      <c r="G23" s="400"/>
      <c r="M23" s="401"/>
      <c r="N23" s="409"/>
      <c r="O23" s="404"/>
      <c r="P23" s="412"/>
      <c r="Q23" s="415"/>
      <c r="R23" s="400"/>
    </row>
    <row r="24" spans="2:18">
      <c r="B24" s="401"/>
      <c r="C24" s="409"/>
      <c r="D24" s="404"/>
      <c r="E24" s="412"/>
      <c r="F24" s="415"/>
      <c r="G24" s="400"/>
      <c r="H24" s="80"/>
      <c r="M24" s="401"/>
      <c r="N24" s="409"/>
      <c r="O24" s="404"/>
      <c r="P24" s="412"/>
      <c r="Q24" s="415"/>
      <c r="R24" s="400"/>
    </row>
    <row r="25" spans="2:18">
      <c r="B25" s="401"/>
      <c r="C25" s="409"/>
      <c r="D25" s="404"/>
      <c r="E25" s="412"/>
      <c r="F25" s="415"/>
      <c r="G25" s="400"/>
      <c r="M25" s="401"/>
      <c r="N25" s="409"/>
      <c r="O25" s="404"/>
      <c r="P25" s="412"/>
      <c r="Q25" s="415"/>
      <c r="R25" s="400"/>
    </row>
    <row r="26" spans="2:18" ht="15" thickBot="1">
      <c r="B26" s="405"/>
      <c r="C26" s="410"/>
      <c r="D26" s="406"/>
      <c r="E26" s="413"/>
      <c r="F26" s="416"/>
      <c r="G26" s="407"/>
      <c r="I26" s="80"/>
      <c r="M26" s="405"/>
      <c r="N26" s="410"/>
      <c r="O26" s="406"/>
      <c r="P26" s="413"/>
      <c r="Q26" s="416"/>
      <c r="R26" s="407"/>
    </row>
    <row r="27" spans="2:18" ht="15" thickBot="1">
      <c r="B27" s="864" t="s">
        <v>21</v>
      </c>
      <c r="C27" s="865"/>
      <c r="D27" s="865"/>
      <c r="E27" s="865"/>
      <c r="F27" s="419">
        <f>SUM(F19:F22)</f>
        <v>31</v>
      </c>
      <c r="G27" s="418">
        <f>SUM(G19:G26)</f>
        <v>488.95233333333334</v>
      </c>
      <c r="L27" s="80"/>
      <c r="M27" s="864" t="s">
        <v>21</v>
      </c>
      <c r="N27" s="865"/>
      <c r="O27" s="865"/>
      <c r="P27" s="865"/>
      <c r="Q27" s="419">
        <f>SUM(Q19:Q24)</f>
        <v>84</v>
      </c>
      <c r="R27" s="418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60" t="s">
        <v>271</v>
      </c>
      <c r="C29" s="860"/>
      <c r="D29" s="860"/>
      <c r="E29" s="860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20" t="s">
        <v>86</v>
      </c>
      <c r="C31" s="420" t="s">
        <v>87</v>
      </c>
      <c r="D31" s="420" t="s">
        <v>113</v>
      </c>
      <c r="E31" s="420" t="s">
        <v>87</v>
      </c>
      <c r="F31" s="10"/>
    </row>
    <row r="32" spans="2:18">
      <c r="B32" s="11" t="s">
        <v>88</v>
      </c>
      <c r="C32" s="12">
        <v>715.54</v>
      </c>
      <c r="D32" s="430" t="s">
        <v>184</v>
      </c>
      <c r="E32" s="12">
        <f>+((C10*9.45%))</f>
        <v>67.618529999999993</v>
      </c>
      <c r="F32" s="10"/>
    </row>
    <row r="33" spans="2:15">
      <c r="B33" s="11" t="s">
        <v>89</v>
      </c>
      <c r="C33" s="12">
        <v>0</v>
      </c>
      <c r="D33" s="10" t="s">
        <v>405</v>
      </c>
      <c r="E33" s="12">
        <v>0</v>
      </c>
      <c r="F33" s="10"/>
      <c r="H33" s="34">
        <f>1200-C32</f>
        <v>484.46000000000004</v>
      </c>
    </row>
    <row r="34" spans="2:15">
      <c r="B34" s="11" t="s">
        <v>57</v>
      </c>
      <c r="C34" s="12">
        <v>0</v>
      </c>
      <c r="D34" s="11"/>
      <c r="E34" s="12">
        <v>145</v>
      </c>
      <c r="F34" s="10"/>
      <c r="H34">
        <f>+ROUND(H33*9.45%,2)</f>
        <v>45.78</v>
      </c>
      <c r="L34" s="80"/>
    </row>
    <row r="35" spans="2:15">
      <c r="B35" s="11" t="s">
        <v>91</v>
      </c>
      <c r="C35" s="12">
        <v>0</v>
      </c>
      <c r="D35" s="11"/>
      <c r="E35" s="12"/>
      <c r="F35" s="10"/>
      <c r="H35">
        <f>+ROUND(H33*12.15%,2)</f>
        <v>58.86</v>
      </c>
    </row>
    <row r="36" spans="2:15">
      <c r="B36" s="11" t="s">
        <v>5</v>
      </c>
      <c r="C36" s="12">
        <v>0</v>
      </c>
      <c r="D36" s="11"/>
      <c r="E36" s="12"/>
      <c r="F36" s="10"/>
      <c r="H36" s="34">
        <f>+H33*8.33%</f>
        <v>40.355518000000004</v>
      </c>
      <c r="L36" s="80"/>
    </row>
    <row r="37" spans="2:15">
      <c r="B37" s="11" t="s">
        <v>185</v>
      </c>
      <c r="C37" s="12">
        <v>0</v>
      </c>
      <c r="D37" s="11"/>
      <c r="E37" s="12"/>
      <c r="F37" s="10"/>
    </row>
    <row r="38" spans="2:15">
      <c r="B38" s="11" t="s">
        <v>92</v>
      </c>
      <c r="C38" s="12">
        <v>0</v>
      </c>
      <c r="D38" s="11"/>
      <c r="E38" s="12"/>
      <c r="F38" s="10"/>
      <c r="H38" s="80">
        <f>+SUM(H34:H36)</f>
        <v>144.995518</v>
      </c>
    </row>
    <row r="39" spans="2:15">
      <c r="B39" s="11" t="s">
        <v>93</v>
      </c>
      <c r="C39" s="12">
        <v>0</v>
      </c>
      <c r="D39" s="11"/>
      <c r="E39" s="12"/>
      <c r="F39" s="10"/>
      <c r="I39" s="80"/>
    </row>
    <row r="40" spans="2:15">
      <c r="B40" s="11" t="s">
        <v>14</v>
      </c>
      <c r="C40" s="12">
        <f>+(C32*8.33%)</f>
        <v>59.604481999999997</v>
      </c>
      <c r="D40" s="11"/>
      <c r="E40" s="12"/>
      <c r="F40" s="10"/>
      <c r="L40" s="34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21" t="s">
        <v>94</v>
      </c>
      <c r="C42" s="422">
        <v>0</v>
      </c>
      <c r="D42" s="421"/>
      <c r="E42" s="422"/>
      <c r="F42" s="10"/>
    </row>
    <row r="43" spans="2:15" ht="15" thickBot="1">
      <c r="B43" s="423" t="s">
        <v>186</v>
      </c>
      <c r="C43" s="424">
        <f>SUM(C32:C42)</f>
        <v>775.14448199999993</v>
      </c>
      <c r="D43" s="425" t="s">
        <v>95</v>
      </c>
      <c r="E43" s="427">
        <f>SUM(E32:E42)</f>
        <v>212.61852999999999</v>
      </c>
      <c r="F43" s="358"/>
      <c r="G43" s="34">
        <v>1186.55</v>
      </c>
      <c r="K43" s="80"/>
      <c r="L43" s="392"/>
    </row>
    <row r="44" spans="2:15">
      <c r="B44" s="113"/>
      <c r="C44" s="113"/>
      <c r="D44" s="426" t="s">
        <v>96</v>
      </c>
      <c r="E44" s="428">
        <f>+C43-E43</f>
        <v>562.52595199999996</v>
      </c>
      <c r="F44" s="259"/>
      <c r="G44" s="80">
        <f>+G43-E44</f>
        <v>624.02404799999999</v>
      </c>
      <c r="O44" s="80"/>
    </row>
    <row r="46" spans="2:15">
      <c r="E46" s="80"/>
    </row>
    <row r="47" spans="2:15">
      <c r="K47">
        <v>602.89</v>
      </c>
      <c r="L47" s="80"/>
    </row>
    <row r="49" spans="2:9" hidden="1"/>
    <row r="50" spans="2:9" hidden="1">
      <c r="B50" s="420" t="s">
        <v>86</v>
      </c>
      <c r="C50" s="420" t="s">
        <v>87</v>
      </c>
      <c r="D50" s="420" t="s">
        <v>113</v>
      </c>
      <c r="E50" s="420" t="s">
        <v>87</v>
      </c>
    </row>
    <row r="51" spans="2:9" hidden="1">
      <c r="B51" s="11" t="s">
        <v>88</v>
      </c>
      <c r="C51" s="12">
        <v>1200</v>
      </c>
      <c r="D51" s="430" t="s">
        <v>184</v>
      </c>
      <c r="E51" s="12">
        <f>+((C51*9.45%))</f>
        <v>113.39999999999998</v>
      </c>
    </row>
    <row r="52" spans="2:9" hidden="1">
      <c r="B52" s="11" t="s">
        <v>89</v>
      </c>
      <c r="C52" s="12">
        <v>0</v>
      </c>
      <c r="D52" s="10" t="s">
        <v>405</v>
      </c>
      <c r="E52" s="12">
        <v>36</v>
      </c>
    </row>
    <row r="53" spans="2:9" hidden="1">
      <c r="B53" s="11" t="s">
        <v>57</v>
      </c>
      <c r="C53" s="12">
        <v>0</v>
      </c>
      <c r="D53" s="11"/>
      <c r="E53" s="12">
        <v>0</v>
      </c>
    </row>
    <row r="54" spans="2:9" hidden="1">
      <c r="B54" s="11" t="s">
        <v>91</v>
      </c>
      <c r="C54" s="12">
        <v>0</v>
      </c>
      <c r="D54" s="11"/>
      <c r="E54" s="12"/>
    </row>
    <row r="55" spans="2:9" hidden="1">
      <c r="B55" s="11" t="s">
        <v>5</v>
      </c>
      <c r="C55" s="12">
        <v>0</v>
      </c>
      <c r="D55" s="11"/>
      <c r="E55" s="12"/>
    </row>
    <row r="56" spans="2:9" hidden="1">
      <c r="B56" s="11" t="s">
        <v>185</v>
      </c>
      <c r="C56" s="12">
        <v>0</v>
      </c>
      <c r="D56" s="11"/>
      <c r="E56" s="12"/>
    </row>
    <row r="57" spans="2:9" hidden="1">
      <c r="B57" s="11" t="s">
        <v>92</v>
      </c>
      <c r="C57" s="12">
        <v>0</v>
      </c>
      <c r="D57" s="11"/>
      <c r="E57" s="12"/>
    </row>
    <row r="58" spans="2:9" hidden="1">
      <c r="B58" s="11" t="s">
        <v>93</v>
      </c>
      <c r="C58" s="12">
        <v>0</v>
      </c>
      <c r="D58" s="11"/>
      <c r="E58" s="12"/>
    </row>
    <row r="59" spans="2:9" hidden="1">
      <c r="B59" s="11" t="s">
        <v>14</v>
      </c>
      <c r="C59" s="12">
        <f>+(C51*8.33%)</f>
        <v>99.96</v>
      </c>
      <c r="D59" s="11"/>
      <c r="E59" s="12"/>
    </row>
    <row r="60" spans="2:9" hidden="1">
      <c r="B60" s="11" t="s">
        <v>44</v>
      </c>
      <c r="C60" s="12">
        <v>0</v>
      </c>
      <c r="D60" s="11"/>
      <c r="E60" s="12"/>
    </row>
    <row r="61" spans="2:9" ht="15" hidden="1" thickBot="1">
      <c r="B61" s="421" t="s">
        <v>94</v>
      </c>
      <c r="C61" s="422">
        <v>0</v>
      </c>
      <c r="D61" s="421"/>
      <c r="E61" s="422"/>
    </row>
    <row r="62" spans="2:9" ht="15" hidden="1" thickBot="1">
      <c r="B62" s="423" t="s">
        <v>186</v>
      </c>
      <c r="C62" s="424">
        <f>SUM(C51:C61)</f>
        <v>1299.96</v>
      </c>
      <c r="D62" s="425" t="s">
        <v>95</v>
      </c>
      <c r="E62" s="427">
        <f>SUM(E51:E61)</f>
        <v>149.39999999999998</v>
      </c>
    </row>
    <row r="63" spans="2:9" hidden="1">
      <c r="B63" s="113"/>
      <c r="C63" s="113"/>
      <c r="D63" s="426" t="s">
        <v>96</v>
      </c>
      <c r="E63" s="428">
        <f>+C62-E62</f>
        <v>1150.56</v>
      </c>
      <c r="I63" s="80">
        <f>+E63-E44</f>
        <v>588.03404799999998</v>
      </c>
    </row>
    <row r="64" spans="2:9" hidden="1"/>
    <row r="65" hidden="1"/>
  </sheetData>
  <mergeCells count="19">
    <mergeCell ref="B29:E29"/>
    <mergeCell ref="N17:O17"/>
    <mergeCell ref="P17:P18"/>
    <mergeCell ref="Q17:Q18"/>
    <mergeCell ref="R17:R18"/>
    <mergeCell ref="B27:E27"/>
    <mergeCell ref="M27:P27"/>
    <mergeCell ref="B17:B18"/>
    <mergeCell ref="C17:D17"/>
    <mergeCell ref="E17:E18"/>
    <mergeCell ref="F17:F18"/>
    <mergeCell ref="G17:G18"/>
    <mergeCell ref="M17:M18"/>
    <mergeCell ref="B15:C15"/>
    <mergeCell ref="C8:D8"/>
    <mergeCell ref="C9:D9"/>
    <mergeCell ref="C10:D10"/>
    <mergeCell ref="C11:D11"/>
    <mergeCell ref="B14:C14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74B9-22E7-454A-93B9-CFD56F5ADD23}">
  <sheetPr codeName="Hoja22"/>
  <dimension ref="B2:R65"/>
  <sheetViews>
    <sheetView topLeftCell="A28" workbookViewId="0">
      <selection activeCell="C41" sqref="C41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1" customWidth="1"/>
    <col min="8" max="8" width="9.6640625" bestFit="1" customWidth="1"/>
    <col min="10" max="10" width="9.88671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398" t="s">
        <v>163</v>
      </c>
      <c r="C8" s="855" t="s">
        <v>406</v>
      </c>
      <c r="D8" s="855"/>
      <c r="F8" s="429" t="s">
        <v>164</v>
      </c>
      <c r="G8" s="117"/>
    </row>
    <row r="9" spans="2:9">
      <c r="B9" s="398" t="s">
        <v>165</v>
      </c>
      <c r="C9" s="856">
        <v>45762</v>
      </c>
      <c r="D9" s="856"/>
      <c r="F9" s="429" t="s">
        <v>166</v>
      </c>
      <c r="G9" s="118"/>
    </row>
    <row r="10" spans="2:9">
      <c r="B10" s="398" t="s">
        <v>167</v>
      </c>
      <c r="C10" s="857">
        <v>715.54</v>
      </c>
      <c r="D10" s="857"/>
      <c r="F10" s="429" t="s">
        <v>168</v>
      </c>
      <c r="G10" s="119">
        <f>+_xlfn.DAYS(G9,G8)+1</f>
        <v>1</v>
      </c>
      <c r="I10" s="120"/>
    </row>
    <row r="11" spans="2:9">
      <c r="B11" s="398" t="s">
        <v>169</v>
      </c>
      <c r="C11" s="798" t="s">
        <v>344</v>
      </c>
      <c r="D11" s="798"/>
    </row>
    <row r="12" spans="2:9" ht="14.4" customHeight="1"/>
    <row r="13" spans="2:9">
      <c r="B13" s="51" t="s">
        <v>171</v>
      </c>
      <c r="H13">
        <f>+C10/30</f>
        <v>23.851333333333333</v>
      </c>
    </row>
    <row r="14" spans="2:9">
      <c r="B14" s="854" t="s">
        <v>172</v>
      </c>
      <c r="C14" s="854"/>
      <c r="D14" s="34">
        <f>+C10/30</f>
        <v>23.851333333333333</v>
      </c>
      <c r="E14" s="17" t="s">
        <v>173</v>
      </c>
      <c r="F14" s="120">
        <f>+C10/30</f>
        <v>23.851333333333333</v>
      </c>
      <c r="I14" s="34"/>
    </row>
    <row r="15" spans="2:9">
      <c r="B15" s="854" t="s">
        <v>174</v>
      </c>
      <c r="C15" s="854"/>
      <c r="D15" s="34">
        <f>+D14*25%</f>
        <v>5.9628333333333332</v>
      </c>
      <c r="E15" s="17" t="s">
        <v>175</v>
      </c>
      <c r="F15" s="120">
        <f>+F14*25%</f>
        <v>5.9628333333333332</v>
      </c>
    </row>
    <row r="16" spans="2:9" ht="8.25" customHeight="1" thickBot="1"/>
    <row r="17" spans="2:18" ht="16.2" thickBot="1">
      <c r="B17" s="861" t="s">
        <v>176</v>
      </c>
      <c r="C17" s="863" t="s">
        <v>177</v>
      </c>
      <c r="D17" s="858"/>
      <c r="E17" s="861" t="s">
        <v>253</v>
      </c>
      <c r="F17" s="861" t="s">
        <v>179</v>
      </c>
      <c r="G17" s="858" t="s">
        <v>180</v>
      </c>
      <c r="M17" s="861" t="s">
        <v>176</v>
      </c>
      <c r="N17" s="863" t="s">
        <v>177</v>
      </c>
      <c r="O17" s="858"/>
      <c r="P17" s="861" t="s">
        <v>253</v>
      </c>
      <c r="Q17" s="861" t="s">
        <v>179</v>
      </c>
      <c r="R17" s="858" t="s">
        <v>180</v>
      </c>
    </row>
    <row r="18" spans="2:18" ht="16.2" thickBot="1">
      <c r="B18" s="862"/>
      <c r="C18" s="417" t="s">
        <v>181</v>
      </c>
      <c r="D18" s="417" t="s">
        <v>182</v>
      </c>
      <c r="E18" s="862"/>
      <c r="F18" s="862"/>
      <c r="G18" s="859"/>
      <c r="M18" s="862"/>
      <c r="N18" s="417" t="s">
        <v>181</v>
      </c>
      <c r="O18" s="417" t="s">
        <v>182</v>
      </c>
      <c r="P18" s="862"/>
      <c r="Q18" s="862"/>
      <c r="R18" s="859"/>
    </row>
    <row r="19" spans="2:18">
      <c r="B19" s="402">
        <v>1</v>
      </c>
      <c r="C19" s="408">
        <v>45658</v>
      </c>
      <c r="D19" s="403">
        <v>45674</v>
      </c>
      <c r="E19" s="411">
        <v>100</v>
      </c>
      <c r="F19" s="414">
        <v>17</v>
      </c>
      <c r="G19" s="399">
        <f>+F14*F19</f>
        <v>405.47266666666667</v>
      </c>
      <c r="M19" s="402">
        <v>1</v>
      </c>
      <c r="N19" s="408">
        <v>45593</v>
      </c>
      <c r="O19" s="403">
        <v>45596</v>
      </c>
      <c r="P19" s="411">
        <v>25</v>
      </c>
      <c r="Q19" s="414">
        <v>4</v>
      </c>
      <c r="R19" s="399">
        <f>+Q15*Q19</f>
        <v>0</v>
      </c>
    </row>
    <row r="20" spans="2:18">
      <c r="B20" s="402">
        <v>2</v>
      </c>
      <c r="C20" s="408">
        <v>45675</v>
      </c>
      <c r="D20" s="403">
        <v>45688</v>
      </c>
      <c r="E20" s="411">
        <v>25</v>
      </c>
      <c r="F20" s="414">
        <v>14</v>
      </c>
      <c r="G20" s="399">
        <f>+F15*F20</f>
        <v>83.47966666666666</v>
      </c>
      <c r="K20" s="80"/>
      <c r="L20" s="80"/>
      <c r="M20" s="402">
        <v>2</v>
      </c>
      <c r="N20" s="408">
        <v>45597</v>
      </c>
      <c r="O20" s="403">
        <v>45626</v>
      </c>
      <c r="P20" s="411">
        <v>25</v>
      </c>
      <c r="Q20" s="414">
        <v>30</v>
      </c>
      <c r="R20" s="399">
        <f>+Q15*Q20</f>
        <v>0</v>
      </c>
    </row>
    <row r="21" spans="2:18">
      <c r="B21" s="468">
        <v>3</v>
      </c>
      <c r="C21" s="469"/>
      <c r="D21" s="470"/>
      <c r="E21" s="471"/>
      <c r="F21" s="472"/>
      <c r="G21" s="473">
        <f>+F21*F15</f>
        <v>0</v>
      </c>
      <c r="I21" s="34"/>
      <c r="L21" s="80"/>
      <c r="M21" s="468">
        <v>3</v>
      </c>
      <c r="N21" s="469">
        <v>45992</v>
      </c>
      <c r="O21" s="470">
        <v>45657</v>
      </c>
      <c r="P21" s="471">
        <v>25</v>
      </c>
      <c r="Q21" s="472">
        <v>31</v>
      </c>
      <c r="R21" s="473">
        <f>+Q21*Q15</f>
        <v>0</v>
      </c>
    </row>
    <row r="22" spans="2:18">
      <c r="B22" s="468">
        <v>4</v>
      </c>
      <c r="C22" s="474"/>
      <c r="D22" s="475"/>
      <c r="E22" s="476"/>
      <c r="F22" s="477"/>
      <c r="G22" s="478">
        <f>+F22*F14</f>
        <v>0</v>
      </c>
      <c r="H22" s="34"/>
      <c r="I22" s="80"/>
      <c r="M22" s="468">
        <v>4</v>
      </c>
      <c r="N22" s="474">
        <v>45658</v>
      </c>
      <c r="O22" s="475">
        <v>45676</v>
      </c>
      <c r="P22" s="476">
        <v>25</v>
      </c>
      <c r="Q22" s="477">
        <v>19</v>
      </c>
      <c r="R22" s="478">
        <f>+Q22*Q14</f>
        <v>0</v>
      </c>
    </row>
    <row r="23" spans="2:18">
      <c r="B23" s="401"/>
      <c r="C23" s="409"/>
      <c r="D23" s="404"/>
      <c r="E23" s="412"/>
      <c r="F23" s="415"/>
      <c r="G23" s="400"/>
      <c r="M23" s="401"/>
      <c r="N23" s="409"/>
      <c r="O23" s="404"/>
      <c r="P23" s="412"/>
      <c r="Q23" s="415"/>
      <c r="R23" s="400"/>
    </row>
    <row r="24" spans="2:18">
      <c r="B24" s="401"/>
      <c r="C24" s="409"/>
      <c r="D24" s="404"/>
      <c r="E24" s="412"/>
      <c r="F24" s="415"/>
      <c r="G24" s="400"/>
      <c r="H24" s="80"/>
      <c r="M24" s="401"/>
      <c r="N24" s="409"/>
      <c r="O24" s="404"/>
      <c r="P24" s="412"/>
      <c r="Q24" s="415"/>
      <c r="R24" s="400"/>
    </row>
    <row r="25" spans="2:18">
      <c r="B25" s="401"/>
      <c r="C25" s="409"/>
      <c r="D25" s="404"/>
      <c r="E25" s="412"/>
      <c r="F25" s="415"/>
      <c r="G25" s="400"/>
      <c r="M25" s="401"/>
      <c r="N25" s="409"/>
      <c r="O25" s="404"/>
      <c r="P25" s="412"/>
      <c r="Q25" s="415"/>
      <c r="R25" s="400"/>
    </row>
    <row r="26" spans="2:18" ht="15" thickBot="1">
      <c r="B26" s="405"/>
      <c r="C26" s="410"/>
      <c r="D26" s="406"/>
      <c r="E26" s="413"/>
      <c r="F26" s="416"/>
      <c r="G26" s="407"/>
      <c r="I26" s="80"/>
      <c r="M26" s="405"/>
      <c r="N26" s="410"/>
      <c r="O26" s="406"/>
      <c r="P26" s="413"/>
      <c r="Q26" s="416"/>
      <c r="R26" s="407"/>
    </row>
    <row r="27" spans="2:18" ht="15" thickBot="1">
      <c r="B27" s="864" t="s">
        <v>21</v>
      </c>
      <c r="C27" s="865"/>
      <c r="D27" s="865"/>
      <c r="E27" s="865"/>
      <c r="F27" s="419">
        <f>SUM(F19:F22)</f>
        <v>31</v>
      </c>
      <c r="G27" s="418">
        <f>SUM(G19:G26)</f>
        <v>488.95233333333334</v>
      </c>
      <c r="L27" s="80"/>
      <c r="M27" s="864" t="s">
        <v>21</v>
      </c>
      <c r="N27" s="865"/>
      <c r="O27" s="865"/>
      <c r="P27" s="865"/>
      <c r="Q27" s="419">
        <f>SUM(Q19:Q24)</f>
        <v>84</v>
      </c>
      <c r="R27" s="418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60" t="s">
        <v>271</v>
      </c>
      <c r="C29" s="860"/>
      <c r="D29" s="860"/>
      <c r="E29" s="860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20" t="s">
        <v>86</v>
      </c>
      <c r="C31" s="420" t="s">
        <v>87</v>
      </c>
      <c r="D31" s="420" t="s">
        <v>113</v>
      </c>
      <c r="E31" s="420" t="s">
        <v>87</v>
      </c>
      <c r="F31" s="10"/>
    </row>
    <row r="32" spans="2:18">
      <c r="B32" s="11" t="s">
        <v>88</v>
      </c>
      <c r="C32" s="12">
        <v>700</v>
      </c>
      <c r="D32" s="430" t="s">
        <v>184</v>
      </c>
      <c r="E32" s="12">
        <f>+SUM(C32:C34)*9.45%</f>
        <v>115.46766</v>
      </c>
      <c r="F32" s="10"/>
    </row>
    <row r="33" spans="2:15">
      <c r="B33" s="11" t="s">
        <v>89</v>
      </c>
      <c r="C33" s="12">
        <v>21.88</v>
      </c>
      <c r="D33" s="10" t="s">
        <v>405</v>
      </c>
      <c r="E33" s="12">
        <v>0</v>
      </c>
      <c r="F33" s="10"/>
      <c r="H33" s="34">
        <f>1200-C32</f>
        <v>500</v>
      </c>
      <c r="J33" s="80">
        <f>+SUM(C32:C34)</f>
        <v>1221.8800000000001</v>
      </c>
    </row>
    <row r="34" spans="2:15">
      <c r="B34" s="11" t="s">
        <v>57</v>
      </c>
      <c r="C34" s="12">
        <v>500</v>
      </c>
      <c r="D34" s="11"/>
      <c r="E34" s="12">
        <v>360</v>
      </c>
      <c r="F34" s="10"/>
      <c r="H34">
        <f>+ROUND(H33*9.45%,2)</f>
        <v>47.25</v>
      </c>
      <c r="J34" s="34">
        <f>+J33*9.45%</f>
        <v>115.46766</v>
      </c>
      <c r="L34" s="80"/>
    </row>
    <row r="35" spans="2:15">
      <c r="B35" s="11" t="s">
        <v>91</v>
      </c>
      <c r="C35" s="12">
        <v>0</v>
      </c>
      <c r="D35" s="11"/>
      <c r="E35" s="12"/>
      <c r="F35" s="10"/>
      <c r="H35">
        <f>+ROUND(H33*12.15%,2)</f>
        <v>60.75</v>
      </c>
    </row>
    <row r="36" spans="2:15">
      <c r="B36" s="11" t="s">
        <v>5</v>
      </c>
      <c r="C36" s="12">
        <v>0</v>
      </c>
      <c r="D36" s="11"/>
      <c r="E36" s="12"/>
      <c r="F36" s="10"/>
      <c r="H36" s="34">
        <f>+H33*8.33%</f>
        <v>41.65</v>
      </c>
      <c r="L36" s="80"/>
    </row>
    <row r="37" spans="2:15">
      <c r="B37" s="11" t="s">
        <v>185</v>
      </c>
      <c r="C37" s="12">
        <v>0</v>
      </c>
      <c r="D37" s="11"/>
      <c r="E37" s="12"/>
      <c r="F37" s="10"/>
    </row>
    <row r="38" spans="2:15">
      <c r="B38" s="11" t="s">
        <v>92</v>
      </c>
      <c r="C38" s="12">
        <v>0</v>
      </c>
      <c r="D38" s="11"/>
      <c r="E38" s="12"/>
      <c r="F38" s="10"/>
      <c r="H38" s="80">
        <f>+SUM(H34:H36)</f>
        <v>149.65</v>
      </c>
    </row>
    <row r="39" spans="2:15">
      <c r="B39" s="11" t="s">
        <v>93</v>
      </c>
      <c r="C39" s="12">
        <v>0</v>
      </c>
      <c r="D39" s="11"/>
      <c r="E39" s="12"/>
      <c r="F39" s="10"/>
      <c r="I39" s="80"/>
    </row>
    <row r="40" spans="2:15">
      <c r="B40" s="11" t="s">
        <v>14</v>
      </c>
      <c r="C40" s="12">
        <f>+((C32+C33+C34)*8.33%)</f>
        <v>101.78260400000001</v>
      </c>
      <c r="D40" s="11"/>
      <c r="E40" s="12"/>
      <c r="F40" s="10"/>
      <c r="L40" s="34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21" t="s">
        <v>94</v>
      </c>
      <c r="C42" s="422">
        <v>0</v>
      </c>
      <c r="D42" s="421"/>
      <c r="E42" s="422"/>
      <c r="F42" s="10"/>
    </row>
    <row r="43" spans="2:15" ht="15" thickBot="1">
      <c r="B43" s="423" t="s">
        <v>186</v>
      </c>
      <c r="C43" s="424">
        <f>SUM(C32:C42)</f>
        <v>1323.6626040000001</v>
      </c>
      <c r="D43" s="425" t="s">
        <v>95</v>
      </c>
      <c r="E43" s="427">
        <f>SUM(E32:E42)</f>
        <v>475.46766000000002</v>
      </c>
      <c r="F43" s="358"/>
      <c r="G43" s="34">
        <v>1186.55</v>
      </c>
      <c r="K43" s="80"/>
      <c r="L43" s="392"/>
    </row>
    <row r="44" spans="2:15">
      <c r="B44" s="113"/>
      <c r="C44" s="113"/>
      <c r="D44" s="426" t="s">
        <v>96</v>
      </c>
      <c r="E44" s="428">
        <f>+C43-E43</f>
        <v>848.19494400000008</v>
      </c>
      <c r="F44" s="259"/>
      <c r="G44" s="80">
        <f>+G43-E44</f>
        <v>338.35505599999988</v>
      </c>
      <c r="O44" s="80"/>
    </row>
    <row r="46" spans="2:15">
      <c r="E46" s="80"/>
    </row>
    <row r="47" spans="2:15">
      <c r="K47">
        <v>602.89</v>
      </c>
      <c r="L47" s="80"/>
    </row>
    <row r="49" spans="2:9" hidden="1"/>
    <row r="50" spans="2:9" hidden="1">
      <c r="B50" s="420" t="s">
        <v>86</v>
      </c>
      <c r="C50" s="420" t="s">
        <v>87</v>
      </c>
      <c r="D50" s="420" t="s">
        <v>113</v>
      </c>
      <c r="E50" s="420" t="s">
        <v>87</v>
      </c>
    </row>
    <row r="51" spans="2:9" hidden="1">
      <c r="B51" s="11" t="s">
        <v>88</v>
      </c>
      <c r="C51" s="12">
        <v>1200</v>
      </c>
      <c r="D51" s="430" t="s">
        <v>184</v>
      </c>
      <c r="E51" s="12">
        <f>+((C51*9.45%))</f>
        <v>113.39999999999998</v>
      </c>
    </row>
    <row r="52" spans="2:9" hidden="1">
      <c r="B52" s="11" t="s">
        <v>89</v>
      </c>
      <c r="C52" s="12">
        <v>0</v>
      </c>
      <c r="D52" s="10" t="s">
        <v>405</v>
      </c>
      <c r="E52" s="12">
        <v>36</v>
      </c>
    </row>
    <row r="53" spans="2:9" hidden="1">
      <c r="B53" s="11" t="s">
        <v>57</v>
      </c>
      <c r="C53" s="12">
        <v>0</v>
      </c>
      <c r="D53" s="11"/>
      <c r="E53" s="12">
        <v>0</v>
      </c>
    </row>
    <row r="54" spans="2:9" hidden="1">
      <c r="B54" s="11" t="s">
        <v>91</v>
      </c>
      <c r="C54" s="12">
        <v>0</v>
      </c>
      <c r="D54" s="11"/>
      <c r="E54" s="12"/>
    </row>
    <row r="55" spans="2:9" hidden="1">
      <c r="B55" s="11" t="s">
        <v>5</v>
      </c>
      <c r="C55" s="12">
        <v>0</v>
      </c>
      <c r="D55" s="11"/>
      <c r="E55" s="12"/>
    </row>
    <row r="56" spans="2:9" hidden="1">
      <c r="B56" s="11" t="s">
        <v>185</v>
      </c>
      <c r="C56" s="12">
        <v>0</v>
      </c>
      <c r="D56" s="11"/>
      <c r="E56" s="12"/>
    </row>
    <row r="57" spans="2:9" hidden="1">
      <c r="B57" s="11" t="s">
        <v>92</v>
      </c>
      <c r="C57" s="12">
        <v>0</v>
      </c>
      <c r="D57" s="11"/>
      <c r="E57" s="12"/>
    </row>
    <row r="58" spans="2:9" hidden="1">
      <c r="B58" s="11" t="s">
        <v>93</v>
      </c>
      <c r="C58" s="12">
        <v>0</v>
      </c>
      <c r="D58" s="11"/>
      <c r="E58" s="12"/>
    </row>
    <row r="59" spans="2:9" hidden="1">
      <c r="B59" s="11" t="s">
        <v>14</v>
      </c>
      <c r="C59" s="12">
        <f>+(C51*8.33%)</f>
        <v>99.96</v>
      </c>
      <c r="D59" s="11"/>
      <c r="E59" s="12"/>
    </row>
    <row r="60" spans="2:9" hidden="1">
      <c r="B60" s="11" t="s">
        <v>44</v>
      </c>
      <c r="C60" s="12">
        <v>0</v>
      </c>
      <c r="D60" s="11"/>
      <c r="E60" s="12"/>
    </row>
    <row r="61" spans="2:9" hidden="1">
      <c r="B61" s="421" t="s">
        <v>94</v>
      </c>
      <c r="C61" s="422">
        <v>0</v>
      </c>
      <c r="D61" s="421"/>
      <c r="E61" s="422"/>
    </row>
    <row r="62" spans="2:9" ht="15" hidden="1" thickBot="1">
      <c r="B62" s="423" t="s">
        <v>186</v>
      </c>
      <c r="C62" s="424">
        <f>SUM(C51:C61)</f>
        <v>1299.96</v>
      </c>
      <c r="D62" s="425" t="s">
        <v>95</v>
      </c>
      <c r="E62" s="427">
        <f>SUM(E51:E61)</f>
        <v>149.39999999999998</v>
      </c>
    </row>
    <row r="63" spans="2:9" hidden="1">
      <c r="B63" s="113"/>
      <c r="C63" s="113"/>
      <c r="D63" s="426" t="s">
        <v>96</v>
      </c>
      <c r="E63" s="428">
        <f>+C62-E62</f>
        <v>1150.56</v>
      </c>
      <c r="I63" s="80">
        <f>+E63-E44</f>
        <v>302.36505599999987</v>
      </c>
    </row>
    <row r="64" spans="2:9" hidden="1"/>
    <row r="65" hidden="1"/>
  </sheetData>
  <mergeCells count="19">
    <mergeCell ref="B15:C15"/>
    <mergeCell ref="C8:D8"/>
    <mergeCell ref="C9:D9"/>
    <mergeCell ref="C10:D10"/>
    <mergeCell ref="C11:D11"/>
    <mergeCell ref="B14:C14"/>
    <mergeCell ref="B29:E29"/>
    <mergeCell ref="N17:O17"/>
    <mergeCell ref="P17:P18"/>
    <mergeCell ref="Q17:Q18"/>
    <mergeCell ref="R17:R18"/>
    <mergeCell ref="B27:E27"/>
    <mergeCell ref="M27:P27"/>
    <mergeCell ref="B17:B18"/>
    <mergeCell ref="C17:D17"/>
    <mergeCell ref="E17:E18"/>
    <mergeCell ref="F17:F18"/>
    <mergeCell ref="G17:G18"/>
    <mergeCell ref="M17:M18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FD01-AC7B-428D-9F25-D572892DBD7B}">
  <sheetPr codeName="Hoja23"/>
  <dimension ref="B2:R47"/>
  <sheetViews>
    <sheetView topLeftCell="A25" workbookViewId="0">
      <selection activeCell="C37" sqref="C37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0" customWidth="1"/>
    <col min="8" max="8" width="9.6640625" bestFit="1" customWidth="1"/>
    <col min="10" max="10" width="9.5546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398" t="s">
        <v>163</v>
      </c>
      <c r="C8" s="866" t="s">
        <v>274</v>
      </c>
      <c r="D8" s="866"/>
      <c r="F8" s="429" t="s">
        <v>164</v>
      </c>
      <c r="G8" s="117">
        <v>45850</v>
      </c>
    </row>
    <row r="9" spans="2:9">
      <c r="B9" s="398" t="s">
        <v>165</v>
      </c>
      <c r="C9" s="856">
        <v>45762</v>
      </c>
      <c r="D9" s="856"/>
      <c r="F9" s="429" t="s">
        <v>166</v>
      </c>
      <c r="G9" s="118">
        <v>45869</v>
      </c>
    </row>
    <row r="10" spans="2:9">
      <c r="B10" s="398" t="s">
        <v>167</v>
      </c>
      <c r="C10" s="857">
        <v>473.88</v>
      </c>
      <c r="D10" s="857"/>
      <c r="F10" s="429" t="s">
        <v>168</v>
      </c>
      <c r="G10" s="119">
        <f>+_xlfn.DAYS(G9,G8)+1</f>
        <v>20</v>
      </c>
      <c r="I10" s="120"/>
    </row>
    <row r="11" spans="2:9">
      <c r="B11" s="398" t="s">
        <v>169</v>
      </c>
      <c r="C11" s="798" t="s">
        <v>399</v>
      </c>
      <c r="D11" s="798"/>
    </row>
    <row r="12" spans="2:9" ht="14.4" customHeight="1"/>
    <row r="13" spans="2:9">
      <c r="B13" s="51" t="s">
        <v>171</v>
      </c>
      <c r="I13" s="635"/>
    </row>
    <row r="14" spans="2:9">
      <c r="B14" s="854" t="s">
        <v>172</v>
      </c>
      <c r="C14" s="854"/>
      <c r="D14" s="34">
        <f>+C10/30</f>
        <v>15.795999999999999</v>
      </c>
      <c r="E14" s="17" t="s">
        <v>173</v>
      </c>
      <c r="F14" s="120">
        <f>+C10/30</f>
        <v>15.795999999999999</v>
      </c>
      <c r="I14" s="34"/>
    </row>
    <row r="15" spans="2:9">
      <c r="B15" s="854" t="s">
        <v>174</v>
      </c>
      <c r="C15" s="854"/>
      <c r="D15" s="34">
        <f>+D14*25%</f>
        <v>3.9489999999999998</v>
      </c>
      <c r="E15" s="17" t="s">
        <v>175</v>
      </c>
      <c r="F15" s="120">
        <f>+F14*25%</f>
        <v>3.9489999999999998</v>
      </c>
      <c r="G15">
        <f>+F14*75%</f>
        <v>11.847</v>
      </c>
    </row>
    <row r="16" spans="2:9" ht="18" customHeight="1" thickBot="1">
      <c r="H16" s="635"/>
    </row>
    <row r="17" spans="2:18" ht="16.2" thickBot="1">
      <c r="B17" s="861" t="s">
        <v>176</v>
      </c>
      <c r="C17" s="863" t="s">
        <v>177</v>
      </c>
      <c r="D17" s="858"/>
      <c r="E17" s="861" t="s">
        <v>253</v>
      </c>
      <c r="F17" s="861" t="s">
        <v>179</v>
      </c>
      <c r="G17" s="858" t="s">
        <v>180</v>
      </c>
      <c r="M17" s="861" t="s">
        <v>176</v>
      </c>
      <c r="N17" s="863" t="s">
        <v>177</v>
      </c>
      <c r="O17" s="858"/>
      <c r="P17" s="861" t="s">
        <v>253</v>
      </c>
      <c r="Q17" s="861" t="s">
        <v>179</v>
      </c>
      <c r="R17" s="858" t="s">
        <v>180</v>
      </c>
    </row>
    <row r="18" spans="2:18" ht="16.2" thickBot="1">
      <c r="B18" s="862"/>
      <c r="C18" s="417" t="s">
        <v>181</v>
      </c>
      <c r="D18" s="417" t="s">
        <v>182</v>
      </c>
      <c r="E18" s="862"/>
      <c r="F18" s="862"/>
      <c r="G18" s="859"/>
      <c r="M18" s="862"/>
      <c r="N18" s="417" t="s">
        <v>181</v>
      </c>
      <c r="O18" s="417" t="s">
        <v>182</v>
      </c>
      <c r="P18" s="862"/>
      <c r="Q18" s="862"/>
      <c r="R18" s="859"/>
    </row>
    <row r="19" spans="2:18">
      <c r="B19" s="402">
        <v>1</v>
      </c>
      <c r="C19" s="408">
        <v>45839</v>
      </c>
      <c r="D19" s="403">
        <v>45849</v>
      </c>
      <c r="E19" s="411">
        <v>100</v>
      </c>
      <c r="F19" s="414">
        <v>11</v>
      </c>
      <c r="G19" s="399">
        <f>IF(E19=100,$F$14*F19,$F$15*F19)</f>
        <v>173.756</v>
      </c>
      <c r="M19" s="402">
        <v>1</v>
      </c>
      <c r="N19" s="408">
        <v>45593</v>
      </c>
      <c r="O19" s="403">
        <v>45596</v>
      </c>
      <c r="P19" s="411">
        <v>25</v>
      </c>
      <c r="Q19" s="414">
        <v>4</v>
      </c>
      <c r="R19" s="399">
        <f>+Q15*Q19</f>
        <v>0</v>
      </c>
    </row>
    <row r="20" spans="2:18">
      <c r="B20" s="402">
        <v>2</v>
      </c>
      <c r="C20" s="408">
        <v>45850</v>
      </c>
      <c r="D20" s="403">
        <v>45852</v>
      </c>
      <c r="E20" s="411">
        <v>100</v>
      </c>
      <c r="F20" s="414">
        <v>19</v>
      </c>
      <c r="G20" s="399">
        <f>IF(E20=100,$F$14*F20,$F$15*F20)</f>
        <v>300.12399999999997</v>
      </c>
      <c r="I20" s="34"/>
      <c r="K20" s="80"/>
      <c r="L20" s="80"/>
      <c r="M20" s="402">
        <v>2</v>
      </c>
      <c r="N20" s="408">
        <v>45597</v>
      </c>
      <c r="O20" s="403">
        <v>45626</v>
      </c>
      <c r="P20" s="411">
        <v>25</v>
      </c>
      <c r="Q20" s="414">
        <v>30</v>
      </c>
      <c r="R20" s="399">
        <f>+Q15*Q20</f>
        <v>0</v>
      </c>
    </row>
    <row r="21" spans="2:18">
      <c r="B21" s="402">
        <v>3</v>
      </c>
      <c r="C21" s="469"/>
      <c r="D21" s="470"/>
      <c r="E21" s="471">
        <v>0</v>
      </c>
      <c r="F21" s="414">
        <v>0</v>
      </c>
      <c r="G21" s="399">
        <f>IF(E21=100,$F$14*F21,$F$15*F21)</f>
        <v>0</v>
      </c>
      <c r="I21" s="34"/>
      <c r="L21" s="80"/>
      <c r="M21" s="468">
        <v>3</v>
      </c>
      <c r="N21" s="469">
        <v>45992</v>
      </c>
      <c r="O21" s="470">
        <v>45657</v>
      </c>
      <c r="P21" s="471">
        <v>25</v>
      </c>
      <c r="Q21" s="472">
        <v>31</v>
      </c>
      <c r="R21" s="473">
        <f>+Q21*Q15</f>
        <v>0</v>
      </c>
    </row>
    <row r="22" spans="2:18">
      <c r="B22" s="402">
        <v>4</v>
      </c>
      <c r="C22" s="474"/>
      <c r="D22" s="475"/>
      <c r="E22" s="476"/>
      <c r="F22" s="414"/>
      <c r="G22" s="399"/>
      <c r="H22" s="34"/>
      <c r="I22" s="80"/>
      <c r="M22" s="468">
        <v>4</v>
      </c>
      <c r="N22" s="474">
        <v>45658</v>
      </c>
      <c r="O22" s="475">
        <v>45676</v>
      </c>
      <c r="P22" s="476">
        <v>25</v>
      </c>
      <c r="Q22" s="477">
        <v>19</v>
      </c>
      <c r="R22" s="478">
        <f>+Q22*Q14</f>
        <v>0</v>
      </c>
    </row>
    <row r="23" spans="2:18">
      <c r="B23" s="402">
        <v>5</v>
      </c>
      <c r="C23" s="409"/>
      <c r="D23" s="404"/>
      <c r="E23" s="412"/>
      <c r="F23" s="704"/>
      <c r="G23" s="399"/>
      <c r="M23" s="401"/>
      <c r="N23" s="409"/>
      <c r="O23" s="404"/>
      <c r="P23" s="412"/>
      <c r="Q23" s="415"/>
      <c r="R23" s="400"/>
    </row>
    <row r="24" spans="2:18">
      <c r="B24" s="402">
        <v>6</v>
      </c>
      <c r="C24" s="409"/>
      <c r="D24" s="404"/>
      <c r="E24" s="412"/>
      <c r="F24" s="414"/>
      <c r="G24" s="399"/>
      <c r="H24" s="80"/>
      <c r="M24" s="401"/>
      <c r="N24" s="409"/>
      <c r="O24" s="404"/>
      <c r="P24" s="412"/>
      <c r="Q24" s="415"/>
      <c r="R24" s="400"/>
    </row>
    <row r="25" spans="2:18">
      <c r="B25" s="402">
        <v>7</v>
      </c>
      <c r="C25" s="409"/>
      <c r="D25" s="404"/>
      <c r="E25" s="412"/>
      <c r="F25" s="414"/>
      <c r="G25" s="399"/>
      <c r="M25" s="401"/>
      <c r="N25" s="409"/>
      <c r="O25" s="404"/>
      <c r="P25" s="412"/>
      <c r="Q25" s="415"/>
      <c r="R25" s="400"/>
    </row>
    <row r="26" spans="2:18" ht="15" thickBot="1">
      <c r="B26" s="402">
        <v>8</v>
      </c>
      <c r="C26" s="410"/>
      <c r="D26" s="406"/>
      <c r="E26" s="413"/>
      <c r="F26" s="414"/>
      <c r="G26" s="399"/>
      <c r="I26" s="80"/>
      <c r="M26" s="405"/>
      <c r="N26" s="410"/>
      <c r="O26" s="406"/>
      <c r="P26" s="413"/>
      <c r="Q26" s="416"/>
      <c r="R26" s="407"/>
    </row>
    <row r="27" spans="2:18" ht="15" thickBot="1">
      <c r="B27" s="864" t="s">
        <v>21</v>
      </c>
      <c r="C27" s="865"/>
      <c r="D27" s="865"/>
      <c r="E27" s="865"/>
      <c r="F27" s="419">
        <f>SUM(F19:F22)</f>
        <v>30</v>
      </c>
      <c r="G27" s="418">
        <f>SUM(G19:G26)</f>
        <v>473.88</v>
      </c>
      <c r="I27" s="80"/>
      <c r="L27" s="80"/>
      <c r="M27" s="864" t="s">
        <v>21</v>
      </c>
      <c r="N27" s="865"/>
      <c r="O27" s="865"/>
      <c r="P27" s="865"/>
      <c r="Q27" s="419">
        <f>SUM(Q19:Q24)</f>
        <v>84</v>
      </c>
      <c r="R27" s="418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60" t="s">
        <v>400</v>
      </c>
      <c r="C29" s="860"/>
      <c r="D29" s="860"/>
      <c r="E29" s="860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20" t="s">
        <v>86</v>
      </c>
      <c r="C31" s="420" t="s">
        <v>87</v>
      </c>
      <c r="D31" s="420" t="s">
        <v>113</v>
      </c>
      <c r="E31" s="420" t="s">
        <v>87</v>
      </c>
      <c r="F31" s="10"/>
    </row>
    <row r="32" spans="2:18">
      <c r="B32" s="11" t="s">
        <v>88</v>
      </c>
      <c r="C32" s="12">
        <f>+G19</f>
        <v>173.756</v>
      </c>
      <c r="D32" s="430" t="s">
        <v>184</v>
      </c>
      <c r="E32" s="12">
        <f>+((C10+C34+C33+C37+C39)*9.45%)</f>
        <v>51.596054999999993</v>
      </c>
      <c r="F32" s="10"/>
    </row>
    <row r="33" spans="2:15">
      <c r="B33" s="11" t="s">
        <v>89</v>
      </c>
      <c r="C33" s="12">
        <v>36.67</v>
      </c>
      <c r="D33" s="10" t="s">
        <v>90</v>
      </c>
      <c r="E33" s="12">
        <v>0</v>
      </c>
      <c r="F33" s="10"/>
    </row>
    <row r="34" spans="2:15">
      <c r="B34" s="11" t="s">
        <v>57</v>
      </c>
      <c r="C34" s="12">
        <v>10.3</v>
      </c>
      <c r="D34" s="11" t="s">
        <v>419</v>
      </c>
      <c r="E34" s="12"/>
      <c r="F34" s="10"/>
    </row>
    <row r="35" spans="2:15">
      <c r="B35" s="11" t="s">
        <v>91</v>
      </c>
      <c r="C35" s="12">
        <v>0</v>
      </c>
      <c r="D35" s="11"/>
      <c r="E35" s="12"/>
      <c r="F35" s="10"/>
    </row>
    <row r="36" spans="2:15">
      <c r="B36" s="11" t="s">
        <v>5</v>
      </c>
      <c r="C36" s="12">
        <v>0</v>
      </c>
      <c r="D36" s="11"/>
      <c r="E36" s="12"/>
      <c r="F36" s="10"/>
    </row>
    <row r="37" spans="2:15">
      <c r="B37" s="11" t="s">
        <v>185</v>
      </c>
      <c r="C37" s="12">
        <v>5</v>
      </c>
      <c r="D37" s="11"/>
      <c r="E37" s="12"/>
      <c r="F37" s="10"/>
    </row>
    <row r="38" spans="2:15">
      <c r="B38" s="11" t="s">
        <v>92</v>
      </c>
      <c r="C38" s="12">
        <v>0</v>
      </c>
      <c r="D38" s="11"/>
      <c r="E38" s="12"/>
      <c r="F38" s="10"/>
    </row>
    <row r="39" spans="2:15">
      <c r="B39" s="11" t="s">
        <v>93</v>
      </c>
      <c r="C39" s="12">
        <v>20.14</v>
      </c>
      <c r="D39" s="11"/>
      <c r="E39" s="12"/>
      <c r="F39" s="10"/>
      <c r="I39" s="80"/>
    </row>
    <row r="40" spans="2:15">
      <c r="B40" s="11" t="s">
        <v>14</v>
      </c>
      <c r="C40" s="12">
        <v>0</v>
      </c>
      <c r="D40" s="11"/>
      <c r="E40" s="12"/>
      <c r="F40" s="10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21" t="s">
        <v>94</v>
      </c>
      <c r="C42" s="422">
        <v>0</v>
      </c>
      <c r="D42" s="421"/>
      <c r="E42" s="422"/>
      <c r="F42" s="10"/>
    </row>
    <row r="43" spans="2:15" ht="15" thickBot="1">
      <c r="B43" s="423" t="s">
        <v>186</v>
      </c>
      <c r="C43" s="424">
        <f>SUM(C32:C42)</f>
        <v>245.86599999999999</v>
      </c>
      <c r="D43" s="425" t="s">
        <v>95</v>
      </c>
      <c r="E43" s="427">
        <f>SUM(E32:E42)</f>
        <v>51.596054999999993</v>
      </c>
      <c r="F43" s="358"/>
      <c r="G43" s="34">
        <v>494.39385445000005</v>
      </c>
      <c r="L43" s="392"/>
    </row>
    <row r="44" spans="2:15">
      <c r="B44" s="113"/>
      <c r="C44" s="113"/>
      <c r="D44" s="426" t="s">
        <v>96</v>
      </c>
      <c r="E44" s="428">
        <f>+C43-E43</f>
        <v>194.26994500000001</v>
      </c>
      <c r="F44" s="259"/>
      <c r="G44" s="80">
        <f>+G43-E44</f>
        <v>300.12390945000004</v>
      </c>
      <c r="O44" s="80"/>
    </row>
    <row r="45" spans="2:15">
      <c r="J45" s="34">
        <f>100/30</f>
        <v>3.3333333333333335</v>
      </c>
    </row>
    <row r="46" spans="2:15">
      <c r="J46" s="34">
        <f>+J45*11</f>
        <v>36.666666666666671</v>
      </c>
    </row>
    <row r="47" spans="2:15">
      <c r="L47" s="80"/>
    </row>
  </sheetData>
  <mergeCells count="19">
    <mergeCell ref="B29:E29"/>
    <mergeCell ref="N17:O17"/>
    <mergeCell ref="P17:P18"/>
    <mergeCell ref="Q17:Q18"/>
    <mergeCell ref="R17:R18"/>
    <mergeCell ref="B27:E27"/>
    <mergeCell ref="M27:P27"/>
    <mergeCell ref="B17:B18"/>
    <mergeCell ref="C17:D17"/>
    <mergeCell ref="E17:E18"/>
    <mergeCell ref="F17:F18"/>
    <mergeCell ref="G17:G18"/>
    <mergeCell ref="M17:M18"/>
    <mergeCell ref="B15:C15"/>
    <mergeCell ref="C8:D8"/>
    <mergeCell ref="C9:D9"/>
    <mergeCell ref="C10:D10"/>
    <mergeCell ref="C11:D11"/>
    <mergeCell ref="B14:C14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C729-E9EF-422B-A8AC-8BDD5C430F94}">
  <sheetPr codeName="Hoja25"/>
  <dimension ref="B2:R47"/>
  <sheetViews>
    <sheetView topLeftCell="A22" workbookViewId="0">
      <selection activeCell="G37" sqref="G37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0" customWidth="1"/>
    <col min="8" max="8" width="9.6640625" bestFit="1" customWidth="1"/>
    <col min="10" max="10" width="9.5546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398" t="s">
        <v>163</v>
      </c>
      <c r="C8" s="866" t="s">
        <v>421</v>
      </c>
      <c r="D8" s="866"/>
      <c r="F8" s="429" t="s">
        <v>164</v>
      </c>
      <c r="G8" s="117">
        <v>45850</v>
      </c>
    </row>
    <row r="9" spans="2:9">
      <c r="B9" s="398" t="s">
        <v>165</v>
      </c>
      <c r="C9" s="856">
        <v>43074</v>
      </c>
      <c r="D9" s="856"/>
      <c r="F9" s="429" t="s">
        <v>166</v>
      </c>
      <c r="G9" s="118">
        <v>45869</v>
      </c>
    </row>
    <row r="10" spans="2:9">
      <c r="B10" s="398" t="s">
        <v>167</v>
      </c>
      <c r="C10" s="857">
        <v>766.65</v>
      </c>
      <c r="D10" s="857"/>
      <c r="F10" s="429" t="s">
        <v>168</v>
      </c>
      <c r="G10" s="119">
        <f>+_xlfn.DAYS(G9,G8)+1</f>
        <v>20</v>
      </c>
      <c r="I10" s="120"/>
    </row>
    <row r="11" spans="2:9">
      <c r="B11" s="398" t="s">
        <v>169</v>
      </c>
      <c r="C11" s="798" t="s">
        <v>399</v>
      </c>
      <c r="D11" s="798"/>
    </row>
    <row r="12" spans="2:9" ht="14.4" customHeight="1"/>
    <row r="13" spans="2:9">
      <c r="B13" s="51" t="s">
        <v>171</v>
      </c>
      <c r="I13" s="635"/>
    </row>
    <row r="14" spans="2:9">
      <c r="B14" s="854" t="s">
        <v>172</v>
      </c>
      <c r="C14" s="854"/>
      <c r="D14" s="34">
        <f>+C10/30</f>
        <v>25.555</v>
      </c>
      <c r="E14" s="17" t="s">
        <v>173</v>
      </c>
      <c r="F14" s="120">
        <f>+C10/30</f>
        <v>25.555</v>
      </c>
      <c r="I14" s="34"/>
    </row>
    <row r="15" spans="2:9">
      <c r="B15" s="854" t="s">
        <v>174</v>
      </c>
      <c r="C15" s="854"/>
      <c r="D15" s="34">
        <f>+D14*25%</f>
        <v>6.3887499999999999</v>
      </c>
      <c r="E15" s="17" t="s">
        <v>175</v>
      </c>
      <c r="F15" s="120">
        <f>+F14*25%</f>
        <v>6.3887499999999999</v>
      </c>
      <c r="G15">
        <f>+F14*75%</f>
        <v>19.166249999999998</v>
      </c>
    </row>
    <row r="16" spans="2:9" ht="18" customHeight="1" thickBot="1">
      <c r="H16" s="635"/>
    </row>
    <row r="17" spans="2:18" ht="16.2" thickBot="1">
      <c r="B17" s="861" t="s">
        <v>176</v>
      </c>
      <c r="C17" s="863" t="s">
        <v>177</v>
      </c>
      <c r="D17" s="858"/>
      <c r="E17" s="861" t="s">
        <v>253</v>
      </c>
      <c r="F17" s="861" t="s">
        <v>179</v>
      </c>
      <c r="G17" s="858" t="s">
        <v>180</v>
      </c>
      <c r="M17" s="861" t="s">
        <v>176</v>
      </c>
      <c r="N17" s="863" t="s">
        <v>177</v>
      </c>
      <c r="O17" s="858"/>
      <c r="P17" s="861" t="s">
        <v>253</v>
      </c>
      <c r="Q17" s="861" t="s">
        <v>179</v>
      </c>
      <c r="R17" s="858" t="s">
        <v>180</v>
      </c>
    </row>
    <row r="18" spans="2:18" ht="16.2" thickBot="1">
      <c r="B18" s="862"/>
      <c r="C18" s="417" t="s">
        <v>181</v>
      </c>
      <c r="D18" s="417" t="s">
        <v>182</v>
      </c>
      <c r="E18" s="862"/>
      <c r="F18" s="862"/>
      <c r="G18" s="859"/>
      <c r="M18" s="862"/>
      <c r="N18" s="417" t="s">
        <v>181</v>
      </c>
      <c r="O18" s="417" t="s">
        <v>182</v>
      </c>
      <c r="P18" s="862"/>
      <c r="Q18" s="862"/>
      <c r="R18" s="859"/>
    </row>
    <row r="19" spans="2:18">
      <c r="B19" s="402">
        <v>1</v>
      </c>
      <c r="C19" s="408">
        <v>45839</v>
      </c>
      <c r="D19" s="403">
        <v>45849</v>
      </c>
      <c r="E19" s="411">
        <v>100</v>
      </c>
      <c r="F19" s="414">
        <v>19</v>
      </c>
      <c r="G19" s="399">
        <f>IF(E19=100,$F$14*F19,$F$15*F19)</f>
        <v>485.54500000000002</v>
      </c>
      <c r="M19" s="402">
        <v>1</v>
      </c>
      <c r="N19" s="408">
        <v>45593</v>
      </c>
      <c r="O19" s="403">
        <v>45596</v>
      </c>
      <c r="P19" s="411">
        <v>25</v>
      </c>
      <c r="Q19" s="414">
        <v>4</v>
      </c>
      <c r="R19" s="399">
        <f>+Q15*Q19</f>
        <v>0</v>
      </c>
    </row>
    <row r="20" spans="2:18">
      <c r="B20" s="402">
        <v>2</v>
      </c>
      <c r="C20" s="408">
        <v>45850</v>
      </c>
      <c r="D20" s="403">
        <v>45852</v>
      </c>
      <c r="E20" s="411">
        <v>0</v>
      </c>
      <c r="F20" s="414">
        <v>0</v>
      </c>
      <c r="G20" s="399">
        <f>IF(E20=100,$F$14*F20,$F$15*F20)</f>
        <v>0</v>
      </c>
      <c r="I20" s="34"/>
      <c r="K20" s="80"/>
      <c r="L20" s="80"/>
      <c r="M20" s="402">
        <v>2</v>
      </c>
      <c r="N20" s="408">
        <v>45597</v>
      </c>
      <c r="O20" s="403">
        <v>45626</v>
      </c>
      <c r="P20" s="411">
        <v>25</v>
      </c>
      <c r="Q20" s="414">
        <v>30</v>
      </c>
      <c r="R20" s="399">
        <f>+Q15*Q20</f>
        <v>0</v>
      </c>
    </row>
    <row r="21" spans="2:18">
      <c r="B21" s="402">
        <v>3</v>
      </c>
      <c r="C21" s="469"/>
      <c r="D21" s="470"/>
      <c r="E21" s="471">
        <v>0</v>
      </c>
      <c r="F21" s="414">
        <v>0</v>
      </c>
      <c r="G21" s="399">
        <f>IF(E21=100,$F$14*F21,$F$15*F21)</f>
        <v>0</v>
      </c>
      <c r="I21" s="34"/>
      <c r="L21" s="80"/>
      <c r="M21" s="468">
        <v>3</v>
      </c>
      <c r="N21" s="469">
        <v>45992</v>
      </c>
      <c r="O21" s="470">
        <v>45657</v>
      </c>
      <c r="P21" s="471">
        <v>25</v>
      </c>
      <c r="Q21" s="472">
        <v>31</v>
      </c>
      <c r="R21" s="473">
        <f>+Q21*Q15</f>
        <v>0</v>
      </c>
    </row>
    <row r="22" spans="2:18">
      <c r="B22" s="402">
        <v>4</v>
      </c>
      <c r="C22" s="474"/>
      <c r="D22" s="475"/>
      <c r="E22" s="476"/>
      <c r="F22" s="414"/>
      <c r="G22" s="399"/>
      <c r="H22" s="34"/>
      <c r="I22" s="80"/>
      <c r="M22" s="468">
        <v>4</v>
      </c>
      <c r="N22" s="474">
        <v>45658</v>
      </c>
      <c r="O22" s="475">
        <v>45676</v>
      </c>
      <c r="P22" s="476">
        <v>25</v>
      </c>
      <c r="Q22" s="477">
        <v>19</v>
      </c>
      <c r="R22" s="478">
        <f>+Q22*Q14</f>
        <v>0</v>
      </c>
    </row>
    <row r="23" spans="2:18">
      <c r="B23" s="402">
        <v>5</v>
      </c>
      <c r="C23" s="409"/>
      <c r="D23" s="404"/>
      <c r="E23" s="412"/>
      <c r="F23" s="704"/>
      <c r="G23" s="399"/>
      <c r="M23" s="401"/>
      <c r="N23" s="409"/>
      <c r="O23" s="404"/>
      <c r="P23" s="412"/>
      <c r="Q23" s="415"/>
      <c r="R23" s="400"/>
    </row>
    <row r="24" spans="2:18">
      <c r="B24" s="402">
        <v>6</v>
      </c>
      <c r="C24" s="409"/>
      <c r="D24" s="404"/>
      <c r="E24" s="412"/>
      <c r="F24" s="414"/>
      <c r="G24" s="399"/>
      <c r="H24" s="80"/>
      <c r="M24" s="401"/>
      <c r="N24" s="409"/>
      <c r="O24" s="404"/>
      <c r="P24" s="412"/>
      <c r="Q24" s="415"/>
      <c r="R24" s="400"/>
    </row>
    <row r="25" spans="2:18">
      <c r="B25" s="402">
        <v>7</v>
      </c>
      <c r="C25" s="409"/>
      <c r="D25" s="404"/>
      <c r="E25" s="412"/>
      <c r="F25" s="414"/>
      <c r="G25" s="399"/>
      <c r="M25" s="401"/>
      <c r="N25" s="409"/>
      <c r="O25" s="404"/>
      <c r="P25" s="412"/>
      <c r="Q25" s="415"/>
      <c r="R25" s="400"/>
    </row>
    <row r="26" spans="2:18" ht="15" thickBot="1">
      <c r="B26" s="402">
        <v>8</v>
      </c>
      <c r="C26" s="410"/>
      <c r="D26" s="406"/>
      <c r="E26" s="413"/>
      <c r="F26" s="414"/>
      <c r="G26" s="399"/>
      <c r="I26" s="80"/>
      <c r="M26" s="405"/>
      <c r="N26" s="410"/>
      <c r="O26" s="406"/>
      <c r="P26" s="413"/>
      <c r="Q26" s="416"/>
      <c r="R26" s="407"/>
    </row>
    <row r="27" spans="2:18" ht="15" thickBot="1">
      <c r="B27" s="864" t="s">
        <v>21</v>
      </c>
      <c r="C27" s="865"/>
      <c r="D27" s="865"/>
      <c r="E27" s="865"/>
      <c r="F27" s="419">
        <f>SUM(F19:F22)</f>
        <v>19</v>
      </c>
      <c r="G27" s="418">
        <f>SUM(G19:G26)</f>
        <v>485.54500000000002</v>
      </c>
      <c r="I27" s="80"/>
      <c r="L27" s="80"/>
      <c r="M27" s="864" t="s">
        <v>21</v>
      </c>
      <c r="N27" s="865"/>
      <c r="O27" s="865"/>
      <c r="P27" s="865"/>
      <c r="Q27" s="419">
        <f>SUM(Q19:Q24)</f>
        <v>84</v>
      </c>
      <c r="R27" s="418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60" t="s">
        <v>400</v>
      </c>
      <c r="C29" s="860"/>
      <c r="D29" s="860"/>
      <c r="E29" s="860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20" t="s">
        <v>86</v>
      </c>
      <c r="C31" s="420" t="s">
        <v>87</v>
      </c>
      <c r="D31" s="420" t="s">
        <v>113</v>
      </c>
      <c r="E31" s="420" t="s">
        <v>87</v>
      </c>
      <c r="F31" s="10"/>
    </row>
    <row r="32" spans="2:18">
      <c r="B32" s="11" t="s">
        <v>88</v>
      </c>
      <c r="C32" s="12">
        <f>+G19</f>
        <v>485.54500000000002</v>
      </c>
      <c r="D32" s="430" t="s">
        <v>184</v>
      </c>
      <c r="E32" s="12">
        <f>+((C10+C34+C33+C37+C39+C35)*9.45%)</f>
        <v>78.748739999999984</v>
      </c>
      <c r="F32" s="10"/>
    </row>
    <row r="33" spans="2:15">
      <c r="B33" s="11" t="s">
        <v>89</v>
      </c>
      <c r="C33" s="12"/>
      <c r="D33" s="10" t="s">
        <v>90</v>
      </c>
      <c r="E33" s="12">
        <v>0</v>
      </c>
      <c r="F33" s="10"/>
    </row>
    <row r="34" spans="2:15">
      <c r="B34" s="11" t="s">
        <v>57</v>
      </c>
      <c r="C34" s="12">
        <v>16.670000000000002</v>
      </c>
      <c r="D34" s="11" t="s">
        <v>419</v>
      </c>
      <c r="E34" s="12"/>
      <c r="F34" s="10"/>
    </row>
    <row r="35" spans="2:15">
      <c r="B35" s="11" t="s">
        <v>91</v>
      </c>
      <c r="C35" s="12">
        <v>50</v>
      </c>
      <c r="D35" s="11"/>
      <c r="E35" s="12"/>
      <c r="F35" s="10"/>
    </row>
    <row r="36" spans="2:15">
      <c r="B36" s="11" t="s">
        <v>5</v>
      </c>
      <c r="C36" s="12"/>
      <c r="D36" s="11"/>
      <c r="E36" s="12"/>
      <c r="F36" s="10"/>
    </row>
    <row r="37" spans="2:15">
      <c r="B37" s="11" t="s">
        <v>185</v>
      </c>
      <c r="C37" s="12"/>
      <c r="D37" s="11"/>
      <c r="E37" s="12"/>
      <c r="F37" s="10"/>
    </row>
    <row r="38" spans="2:15">
      <c r="B38" s="11" t="s">
        <v>92</v>
      </c>
      <c r="C38" s="12"/>
      <c r="D38" s="11"/>
      <c r="E38" s="12"/>
      <c r="F38" s="10"/>
    </row>
    <row r="39" spans="2:15">
      <c r="B39" s="11" t="s">
        <v>93</v>
      </c>
      <c r="C39" s="12"/>
      <c r="D39" s="11"/>
      <c r="E39" s="12"/>
      <c r="F39" s="10"/>
      <c r="I39" s="80"/>
    </row>
    <row r="40" spans="2:15">
      <c r="B40" s="11" t="s">
        <v>14</v>
      </c>
      <c r="C40" s="12">
        <v>69.42</v>
      </c>
      <c r="D40" s="11"/>
      <c r="E40" s="12"/>
      <c r="F40" s="10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21" t="s">
        <v>94</v>
      </c>
      <c r="C42" s="422">
        <v>0</v>
      </c>
      <c r="D42" s="421"/>
      <c r="E42" s="422"/>
      <c r="F42" s="10"/>
    </row>
    <row r="43" spans="2:15" ht="15" thickBot="1">
      <c r="B43" s="423" t="s">
        <v>186</v>
      </c>
      <c r="C43" s="424">
        <f>SUM(C32:C42)</f>
        <v>621.63499999999999</v>
      </c>
      <c r="D43" s="425" t="s">
        <v>95</v>
      </c>
      <c r="E43" s="427">
        <f>SUM(E32:E42)</f>
        <v>78.748739999999984</v>
      </c>
      <c r="F43" s="358"/>
      <c r="G43" s="34">
        <v>823.99</v>
      </c>
      <c r="L43" s="392"/>
    </row>
    <row r="44" spans="2:15">
      <c r="B44" s="113"/>
      <c r="C44" s="113"/>
      <c r="D44" s="426" t="s">
        <v>96</v>
      </c>
      <c r="E44" s="428">
        <f>+C43-E43</f>
        <v>542.88625999999999</v>
      </c>
      <c r="F44" s="259"/>
      <c r="G44" s="80">
        <f>+G43-E44</f>
        <v>281.10374000000002</v>
      </c>
      <c r="O44" s="80"/>
    </row>
    <row r="45" spans="2:15">
      <c r="J45" s="34">
        <f>100/30</f>
        <v>3.3333333333333335</v>
      </c>
    </row>
    <row r="46" spans="2:15">
      <c r="J46" s="34">
        <f>+J45*11</f>
        <v>36.666666666666671</v>
      </c>
    </row>
    <row r="47" spans="2:15">
      <c r="L47" s="80"/>
    </row>
  </sheetData>
  <mergeCells count="19">
    <mergeCell ref="B29:E29"/>
    <mergeCell ref="N17:O17"/>
    <mergeCell ref="P17:P18"/>
    <mergeCell ref="Q17:Q18"/>
    <mergeCell ref="R17:R18"/>
    <mergeCell ref="B27:E27"/>
    <mergeCell ref="M27:P27"/>
    <mergeCell ref="B17:B18"/>
    <mergeCell ref="C17:D17"/>
    <mergeCell ref="E17:E18"/>
    <mergeCell ref="F17:F18"/>
    <mergeCell ref="G17:G18"/>
    <mergeCell ref="M17:M18"/>
    <mergeCell ref="B15:C15"/>
    <mergeCell ref="C8:D8"/>
    <mergeCell ref="C9:D9"/>
    <mergeCell ref="C10:D10"/>
    <mergeCell ref="C11:D11"/>
    <mergeCell ref="B14:C14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46FF-2056-4DF3-B4AD-EFEFCF5F1D2A}">
  <dimension ref="B2:K46"/>
  <sheetViews>
    <sheetView topLeftCell="B10" workbookViewId="0">
      <selection activeCell="G21" sqref="G21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0" customWidth="1"/>
    <col min="8" max="8" width="9.6640625" bestFit="1" customWidth="1"/>
    <col min="9" max="9" width="9.5546875" bestFit="1" customWidth="1"/>
    <col min="10" max="10" width="10" bestFit="1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398" t="s">
        <v>163</v>
      </c>
      <c r="C8" s="866" t="s">
        <v>427</v>
      </c>
      <c r="D8" s="866"/>
      <c r="F8" s="429" t="s">
        <v>164</v>
      </c>
      <c r="G8" s="117">
        <v>45922</v>
      </c>
    </row>
    <row r="9" spans="2:9">
      <c r="B9" s="398" t="s">
        <v>165</v>
      </c>
      <c r="C9" s="856">
        <v>45841</v>
      </c>
      <c r="D9" s="856"/>
      <c r="F9" s="429" t="s">
        <v>166</v>
      </c>
      <c r="G9" s="118">
        <v>45930</v>
      </c>
    </row>
    <row r="10" spans="2:9">
      <c r="B10" s="398" t="s">
        <v>167</v>
      </c>
      <c r="C10" s="857">
        <v>481</v>
      </c>
      <c r="D10" s="857"/>
      <c r="F10" s="429" t="s">
        <v>168</v>
      </c>
      <c r="G10" s="119">
        <f>+_xlfn.DAYS(G9,G8)+1</f>
        <v>9</v>
      </c>
    </row>
    <row r="11" spans="2:9">
      <c r="B11" s="398" t="s">
        <v>169</v>
      </c>
      <c r="C11" s="798" t="s">
        <v>399</v>
      </c>
      <c r="D11" s="798"/>
    </row>
    <row r="12" spans="2:9" ht="14.4" customHeight="1"/>
    <row r="13" spans="2:9">
      <c r="B13" s="51" t="s">
        <v>171</v>
      </c>
    </row>
    <row r="14" spans="2:9">
      <c r="B14" s="854" t="s">
        <v>172</v>
      </c>
      <c r="C14" s="854"/>
      <c r="D14" s="34">
        <f>+C10/30</f>
        <v>16.033333333333335</v>
      </c>
      <c r="E14" s="17" t="s">
        <v>173</v>
      </c>
      <c r="F14" s="120">
        <f>+C10/30</f>
        <v>16.033333333333335</v>
      </c>
    </row>
    <row r="15" spans="2:9">
      <c r="B15" s="854" t="s">
        <v>174</v>
      </c>
      <c r="C15" s="854"/>
      <c r="D15" s="34">
        <f>+D14*25%</f>
        <v>4.0083333333333337</v>
      </c>
      <c r="E15" s="17" t="s">
        <v>175</v>
      </c>
      <c r="F15" s="120">
        <f>+F14*25%</f>
        <v>4.0083333333333337</v>
      </c>
      <c r="G15">
        <f>+F14*75%</f>
        <v>12.025000000000002</v>
      </c>
    </row>
    <row r="16" spans="2:9" ht="18" customHeight="1" thickBot="1">
      <c r="H16" s="635"/>
      <c r="I16" s="34">
        <f>+G15*18</f>
        <v>216.45000000000005</v>
      </c>
    </row>
    <row r="17" spans="2:11" ht="16.2" thickBot="1">
      <c r="B17" s="861" t="s">
        <v>176</v>
      </c>
      <c r="C17" s="863" t="s">
        <v>177</v>
      </c>
      <c r="D17" s="858"/>
      <c r="E17" s="861" t="s">
        <v>253</v>
      </c>
      <c r="F17" s="861" t="s">
        <v>179</v>
      </c>
      <c r="G17" s="858" t="s">
        <v>180</v>
      </c>
    </row>
    <row r="18" spans="2:11" ht="16.2" thickBot="1">
      <c r="B18" s="862"/>
      <c r="C18" s="417" t="s">
        <v>181</v>
      </c>
      <c r="D18" s="417" t="s">
        <v>182</v>
      </c>
      <c r="E18" s="862"/>
      <c r="F18" s="862"/>
      <c r="G18" s="859"/>
      <c r="I18" s="34">
        <f>+G27+I16</f>
        <v>841.75000000000011</v>
      </c>
    </row>
    <row r="19" spans="2:11">
      <c r="B19" s="402">
        <v>1</v>
      </c>
      <c r="C19" s="408">
        <v>45922</v>
      </c>
      <c r="D19" s="403">
        <v>45930</v>
      </c>
      <c r="E19" s="411">
        <v>100</v>
      </c>
      <c r="F19" s="414">
        <f>+D19-C19+1</f>
        <v>9</v>
      </c>
      <c r="G19" s="399">
        <f>IF(E19=100,$F$14*F19,$F$15*F19)</f>
        <v>144.30000000000001</v>
      </c>
    </row>
    <row r="20" spans="2:11">
      <c r="B20" s="402">
        <v>2</v>
      </c>
      <c r="C20" s="408">
        <v>45931</v>
      </c>
      <c r="D20" s="403">
        <v>45944</v>
      </c>
      <c r="E20" s="411">
        <v>100</v>
      </c>
      <c r="F20" s="414">
        <f>+D20-C20+1</f>
        <v>14</v>
      </c>
      <c r="G20" s="399">
        <f>IF(E20=100,$F$14*F20,$F$15*F20)</f>
        <v>224.4666666666667</v>
      </c>
      <c r="J20" s="80"/>
    </row>
    <row r="21" spans="2:11">
      <c r="B21" s="402">
        <v>3</v>
      </c>
      <c r="C21" s="469">
        <v>45945</v>
      </c>
      <c r="D21" s="470">
        <v>45961</v>
      </c>
      <c r="E21" s="471">
        <v>100</v>
      </c>
      <c r="F21" s="414">
        <f>+D21-C21</f>
        <v>16</v>
      </c>
      <c r="G21" s="399">
        <f>IF(E21=100,$F$14*F21,$F$15*F21)</f>
        <v>256.53333333333336</v>
      </c>
      <c r="K21" s="80"/>
    </row>
    <row r="22" spans="2:11">
      <c r="B22" s="402">
        <v>4</v>
      </c>
      <c r="C22" s="474"/>
      <c r="D22" s="475"/>
      <c r="E22" s="476"/>
      <c r="F22" s="414"/>
      <c r="G22" s="399"/>
      <c r="H22" s="34"/>
    </row>
    <row r="23" spans="2:11">
      <c r="B23" s="402">
        <v>5</v>
      </c>
      <c r="C23" s="409"/>
      <c r="D23" s="404"/>
      <c r="E23" s="412"/>
      <c r="F23" s="704"/>
      <c r="G23" s="399"/>
    </row>
    <row r="24" spans="2:11">
      <c r="B24" s="402">
        <v>6</v>
      </c>
      <c r="C24" s="409"/>
      <c r="D24" s="404"/>
      <c r="E24" s="412"/>
      <c r="F24" s="414"/>
      <c r="G24" s="399"/>
      <c r="H24" s="80"/>
    </row>
    <row r="25" spans="2:11">
      <c r="B25" s="402">
        <v>7</v>
      </c>
      <c r="C25" s="409"/>
      <c r="D25" s="404"/>
      <c r="E25" s="412"/>
      <c r="F25" s="414"/>
      <c r="G25" s="399"/>
    </row>
    <row r="26" spans="2:11" ht="15" thickBot="1">
      <c r="B26" s="402">
        <v>8</v>
      </c>
      <c r="C26" s="410"/>
      <c r="D26" s="406"/>
      <c r="E26" s="413"/>
      <c r="F26" s="414"/>
      <c r="G26" s="399"/>
    </row>
    <row r="27" spans="2:11" ht="15" thickBot="1">
      <c r="B27" s="864" t="s">
        <v>21</v>
      </c>
      <c r="C27" s="865"/>
      <c r="D27" s="865"/>
      <c r="E27" s="865"/>
      <c r="F27" s="419">
        <f>SUM(F19:F22)</f>
        <v>39</v>
      </c>
      <c r="G27" s="418">
        <f>SUM(G19:G26)</f>
        <v>625.30000000000007</v>
      </c>
    </row>
    <row r="28" spans="2:11">
      <c r="B28" s="110"/>
      <c r="C28" s="110"/>
      <c r="D28" s="110"/>
      <c r="E28" s="110"/>
      <c r="F28" s="126"/>
      <c r="G28" s="127"/>
    </row>
    <row r="29" spans="2:11" ht="15.6">
      <c r="B29" s="860" t="s">
        <v>400</v>
      </c>
      <c r="C29" s="860"/>
      <c r="D29" s="860"/>
      <c r="E29" s="860"/>
      <c r="F29" s="10"/>
    </row>
    <row r="30" spans="2:11" ht="7.5" customHeight="1">
      <c r="B30" s="10"/>
      <c r="C30" s="10"/>
      <c r="D30" s="10"/>
      <c r="E30" s="10"/>
      <c r="F30" s="10"/>
    </row>
    <row r="31" spans="2:11">
      <c r="B31" s="420" t="s">
        <v>86</v>
      </c>
      <c r="C31" s="420" t="s">
        <v>87</v>
      </c>
      <c r="D31" s="420" t="s">
        <v>113</v>
      </c>
      <c r="E31" s="420" t="s">
        <v>87</v>
      </c>
      <c r="F31" s="10"/>
    </row>
    <row r="32" spans="2:11">
      <c r="B32" s="11" t="s">
        <v>88</v>
      </c>
      <c r="C32" s="12">
        <f>+G19</f>
        <v>144.30000000000001</v>
      </c>
      <c r="D32" s="430" t="s">
        <v>184</v>
      </c>
      <c r="E32" s="12">
        <f>+((C10+C33+C39)*9.45%)</f>
        <v>45.454499999999996</v>
      </c>
      <c r="F32" s="10"/>
    </row>
    <row r="33" spans="2:9">
      <c r="B33" s="11" t="s">
        <v>89</v>
      </c>
      <c r="C33" s="12">
        <v>0</v>
      </c>
      <c r="D33" s="10" t="s">
        <v>90</v>
      </c>
      <c r="E33" s="12">
        <v>0</v>
      </c>
      <c r="F33" s="10"/>
      <c r="H33">
        <f>100/30</f>
        <v>3.3333333333333335</v>
      </c>
    </row>
    <row r="34" spans="2:9">
      <c r="B34" s="11" t="s">
        <v>57</v>
      </c>
      <c r="C34" s="12">
        <v>0</v>
      </c>
      <c r="D34" s="11" t="s">
        <v>419</v>
      </c>
      <c r="E34" s="12"/>
      <c r="F34" s="10"/>
      <c r="H34">
        <f>+H33*F19</f>
        <v>30</v>
      </c>
    </row>
    <row r="35" spans="2:9">
      <c r="B35" s="11" t="s">
        <v>91</v>
      </c>
      <c r="C35" s="12">
        <v>0</v>
      </c>
      <c r="D35" s="11"/>
      <c r="E35" s="12"/>
      <c r="F35" s="10"/>
    </row>
    <row r="36" spans="2:9">
      <c r="B36" s="11" t="s">
        <v>5</v>
      </c>
      <c r="C36" s="12"/>
      <c r="D36" s="11"/>
      <c r="E36" s="12"/>
      <c r="F36" s="10"/>
      <c r="I36" s="80"/>
    </row>
    <row r="37" spans="2:9">
      <c r="B37" s="11" t="s">
        <v>185</v>
      </c>
      <c r="C37" s="12"/>
      <c r="D37" s="11"/>
      <c r="E37" s="12"/>
      <c r="F37" s="10"/>
    </row>
    <row r="38" spans="2:9">
      <c r="B38" s="11" t="s">
        <v>92</v>
      </c>
      <c r="C38" s="12"/>
      <c r="D38" s="11"/>
      <c r="E38" s="12"/>
      <c r="F38" s="10"/>
    </row>
    <row r="39" spans="2:9">
      <c r="B39" s="11" t="s">
        <v>93</v>
      </c>
      <c r="C39" s="12"/>
      <c r="D39" s="11"/>
      <c r="E39" s="12"/>
      <c r="F39" s="10"/>
    </row>
    <row r="40" spans="2:9">
      <c r="B40" s="11" t="s">
        <v>14</v>
      </c>
      <c r="C40" s="12">
        <v>0</v>
      </c>
      <c r="D40" s="11"/>
      <c r="E40" s="12"/>
      <c r="F40" s="10"/>
    </row>
    <row r="41" spans="2:9">
      <c r="B41" s="11" t="s">
        <v>44</v>
      </c>
      <c r="C41" s="12">
        <v>0</v>
      </c>
      <c r="D41" s="11"/>
      <c r="E41" s="12"/>
      <c r="F41" s="10"/>
    </row>
    <row r="42" spans="2:9" ht="15" thickBot="1">
      <c r="B42" s="421" t="s">
        <v>94</v>
      </c>
      <c r="C42" s="422">
        <v>0</v>
      </c>
      <c r="D42" s="421"/>
      <c r="E42" s="422"/>
      <c r="F42" s="10"/>
    </row>
    <row r="43" spans="2:9" ht="15" thickBot="1">
      <c r="B43" s="423" t="s">
        <v>186</v>
      </c>
      <c r="C43" s="424">
        <f>SUM(C32:C42)</f>
        <v>144.30000000000001</v>
      </c>
      <c r="D43" s="425" t="s">
        <v>95</v>
      </c>
      <c r="E43" s="427">
        <f>SUM(E32:E42)</f>
        <v>45.454499999999996</v>
      </c>
      <c r="F43" s="358"/>
      <c r="G43" s="34">
        <v>469.8458399999999</v>
      </c>
    </row>
    <row r="44" spans="2:9">
      <c r="B44" s="113"/>
      <c r="C44" s="113"/>
      <c r="D44" s="426" t="s">
        <v>96</v>
      </c>
      <c r="E44" s="428">
        <f>+C43-E43</f>
        <v>98.845500000000015</v>
      </c>
      <c r="F44" s="259"/>
      <c r="G44" s="80">
        <f>+G43-E44</f>
        <v>371.00033999999988</v>
      </c>
    </row>
    <row r="45" spans="2:9">
      <c r="I45" s="34"/>
    </row>
    <row r="46" spans="2:9">
      <c r="I46" s="34"/>
    </row>
  </sheetData>
  <mergeCells count="13">
    <mergeCell ref="F17:F18"/>
    <mergeCell ref="G17:G18"/>
    <mergeCell ref="B15:C15"/>
    <mergeCell ref="C8:D8"/>
    <mergeCell ref="C9:D9"/>
    <mergeCell ref="C10:D10"/>
    <mergeCell ref="C11:D11"/>
    <mergeCell ref="B14:C14"/>
    <mergeCell ref="B29:E29"/>
    <mergeCell ref="B27:E27"/>
    <mergeCell ref="B17:B18"/>
    <mergeCell ref="C17:D17"/>
    <mergeCell ref="E17:E18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2AD1-1AC1-4967-A7A8-914901DB3A82}">
  <dimension ref="B2:K46"/>
  <sheetViews>
    <sheetView topLeftCell="B1" workbookViewId="0">
      <selection activeCell="F14" sqref="F14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0" customWidth="1"/>
    <col min="8" max="8" width="9.6640625" bestFit="1" customWidth="1"/>
    <col min="9" max="9" width="9.5546875" bestFit="1" customWidth="1"/>
    <col min="10" max="10" width="10" bestFit="1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398" t="s">
        <v>163</v>
      </c>
      <c r="C8" s="866" t="s">
        <v>427</v>
      </c>
      <c r="D8" s="866"/>
      <c r="F8" s="429" t="s">
        <v>164</v>
      </c>
      <c r="G8" s="117">
        <v>45922</v>
      </c>
    </row>
    <row r="9" spans="2:9">
      <c r="B9" s="398" t="s">
        <v>165</v>
      </c>
      <c r="C9" s="856">
        <v>45841</v>
      </c>
      <c r="D9" s="856"/>
      <c r="F9" s="429" t="s">
        <v>166</v>
      </c>
      <c r="G9" s="118">
        <v>45930</v>
      </c>
    </row>
    <row r="10" spans="2:9">
      <c r="B10" s="398" t="s">
        <v>167</v>
      </c>
      <c r="C10" s="857">
        <v>481</v>
      </c>
      <c r="D10" s="857"/>
      <c r="F10" s="429" t="s">
        <v>168</v>
      </c>
      <c r="G10" s="119">
        <f>+_xlfn.DAYS(G9,G8)+1</f>
        <v>9</v>
      </c>
    </row>
    <row r="11" spans="2:9">
      <c r="B11" s="398" t="s">
        <v>169</v>
      </c>
      <c r="C11" s="798" t="s">
        <v>399</v>
      </c>
      <c r="D11" s="798"/>
    </row>
    <row r="12" spans="2:9" ht="14.4" customHeight="1"/>
    <row r="13" spans="2:9">
      <c r="B13" s="51" t="s">
        <v>171</v>
      </c>
    </row>
    <row r="14" spans="2:9">
      <c r="B14" s="854" t="s">
        <v>172</v>
      </c>
      <c r="C14" s="854"/>
      <c r="D14" s="34">
        <f>+C10/30</f>
        <v>16.033333333333335</v>
      </c>
      <c r="E14" s="17" t="s">
        <v>173</v>
      </c>
      <c r="F14" s="120">
        <f>+C10/30</f>
        <v>16.033333333333335</v>
      </c>
    </row>
    <row r="15" spans="2:9">
      <c r="B15" s="854" t="s">
        <v>174</v>
      </c>
      <c r="C15" s="854"/>
      <c r="D15" s="34">
        <f>+D14*25%</f>
        <v>4.0083333333333337</v>
      </c>
      <c r="E15" s="17" t="s">
        <v>175</v>
      </c>
      <c r="F15" s="120">
        <f>+F14*25%</f>
        <v>4.0083333333333337</v>
      </c>
      <c r="G15">
        <f>+F14*75%</f>
        <v>12.025000000000002</v>
      </c>
    </row>
    <row r="16" spans="2:9" ht="18" customHeight="1" thickBot="1">
      <c r="H16" s="635"/>
      <c r="I16" s="34">
        <f>+G15*18</f>
        <v>216.45000000000005</v>
      </c>
    </row>
    <row r="17" spans="2:11" ht="16.2" thickBot="1">
      <c r="B17" s="861" t="s">
        <v>176</v>
      </c>
      <c r="C17" s="863" t="s">
        <v>177</v>
      </c>
      <c r="D17" s="858"/>
      <c r="E17" s="861" t="s">
        <v>253</v>
      </c>
      <c r="F17" s="861" t="s">
        <v>179</v>
      </c>
      <c r="G17" s="858" t="s">
        <v>180</v>
      </c>
    </row>
    <row r="18" spans="2:11" ht="16.2" thickBot="1">
      <c r="B18" s="862"/>
      <c r="C18" s="417" t="s">
        <v>181</v>
      </c>
      <c r="D18" s="417" t="s">
        <v>182</v>
      </c>
      <c r="E18" s="862"/>
      <c r="F18" s="862"/>
      <c r="G18" s="859"/>
      <c r="I18" s="34">
        <f>+G27+I16</f>
        <v>841.75000000000011</v>
      </c>
    </row>
    <row r="19" spans="2:11">
      <c r="B19" s="402">
        <v>1</v>
      </c>
      <c r="C19" s="408">
        <v>45922</v>
      </c>
      <c r="D19" s="403">
        <v>45930</v>
      </c>
      <c r="E19" s="411">
        <v>100</v>
      </c>
      <c r="F19" s="414">
        <f>+D19-C19+1</f>
        <v>9</v>
      </c>
      <c r="G19" s="399">
        <f>IF(E19=100,$F$14*F19,$F$15*F19)</f>
        <v>144.30000000000001</v>
      </c>
    </row>
    <row r="20" spans="2:11">
      <c r="B20" s="402">
        <v>2</v>
      </c>
      <c r="C20" s="408">
        <v>45931</v>
      </c>
      <c r="D20" s="403">
        <v>45944</v>
      </c>
      <c r="E20" s="411">
        <v>100</v>
      </c>
      <c r="F20" s="414">
        <f>+D20-C20+1</f>
        <v>14</v>
      </c>
      <c r="G20" s="399">
        <f>IF(E20=100,$F$14*F20,$F$15*F20)</f>
        <v>224.4666666666667</v>
      </c>
      <c r="J20" s="80"/>
    </row>
    <row r="21" spans="2:11">
      <c r="B21" s="402">
        <v>3</v>
      </c>
      <c r="C21" s="469">
        <v>45945</v>
      </c>
      <c r="D21" s="470">
        <v>45961</v>
      </c>
      <c r="E21" s="471">
        <v>100</v>
      </c>
      <c r="F21" s="414">
        <f>+D21-C21</f>
        <v>16</v>
      </c>
      <c r="G21" s="399">
        <f>IF(E21=100,$F$14*F21,$F$15*F21)</f>
        <v>256.53333333333336</v>
      </c>
      <c r="K21" s="80"/>
    </row>
    <row r="22" spans="2:11">
      <c r="B22" s="402">
        <v>4</v>
      </c>
      <c r="C22" s="474"/>
      <c r="D22" s="475"/>
      <c r="E22" s="476"/>
      <c r="F22" s="414"/>
      <c r="G22" s="399"/>
      <c r="H22" s="34"/>
    </row>
    <row r="23" spans="2:11">
      <c r="B23" s="402">
        <v>5</v>
      </c>
      <c r="C23" s="409"/>
      <c r="D23" s="404"/>
      <c r="E23" s="412"/>
      <c r="F23" s="704"/>
      <c r="G23" s="399"/>
    </row>
    <row r="24" spans="2:11">
      <c r="B24" s="402">
        <v>6</v>
      </c>
      <c r="C24" s="409"/>
      <c r="D24" s="404"/>
      <c r="E24" s="412"/>
      <c r="F24" s="414"/>
      <c r="G24" s="399"/>
      <c r="H24" s="80"/>
    </row>
    <row r="25" spans="2:11">
      <c r="B25" s="402">
        <v>7</v>
      </c>
      <c r="C25" s="409"/>
      <c r="D25" s="404"/>
      <c r="E25" s="412"/>
      <c r="F25" s="414"/>
      <c r="G25" s="399"/>
    </row>
    <row r="26" spans="2:11" ht="15" thickBot="1">
      <c r="B26" s="402">
        <v>8</v>
      </c>
      <c r="C26" s="410"/>
      <c r="D26" s="406"/>
      <c r="E26" s="413"/>
      <c r="F26" s="414"/>
      <c r="G26" s="399"/>
    </row>
    <row r="27" spans="2:11" ht="15" thickBot="1">
      <c r="B27" s="864" t="s">
        <v>21</v>
      </c>
      <c r="C27" s="865"/>
      <c r="D27" s="865"/>
      <c r="E27" s="865"/>
      <c r="F27" s="419">
        <f>SUM(F19:F22)</f>
        <v>39</v>
      </c>
      <c r="G27" s="418">
        <f>SUM(G19:G26)</f>
        <v>625.30000000000007</v>
      </c>
    </row>
    <row r="28" spans="2:11">
      <c r="B28" s="110"/>
      <c r="C28" s="110"/>
      <c r="D28" s="110"/>
      <c r="E28" s="110"/>
      <c r="F28" s="126"/>
      <c r="G28" s="127"/>
    </row>
    <row r="29" spans="2:11" ht="15.6">
      <c r="B29" s="860" t="s">
        <v>400</v>
      </c>
      <c r="C29" s="860"/>
      <c r="D29" s="860"/>
      <c r="E29" s="860"/>
      <c r="F29" s="10"/>
    </row>
    <row r="30" spans="2:11" ht="7.5" customHeight="1">
      <c r="B30" s="10"/>
      <c r="C30" s="10"/>
      <c r="D30" s="10"/>
      <c r="E30" s="10"/>
      <c r="F30" s="10"/>
    </row>
    <row r="31" spans="2:11">
      <c r="B31" s="420" t="s">
        <v>86</v>
      </c>
      <c r="C31" s="420" t="s">
        <v>87</v>
      </c>
      <c r="D31" s="420" t="s">
        <v>113</v>
      </c>
      <c r="E31" s="420" t="s">
        <v>87</v>
      </c>
      <c r="F31" s="10"/>
    </row>
    <row r="32" spans="2:11">
      <c r="B32" s="11" t="s">
        <v>88</v>
      </c>
      <c r="C32" s="12">
        <f>+G19</f>
        <v>144.30000000000001</v>
      </c>
      <c r="D32" s="430" t="s">
        <v>184</v>
      </c>
      <c r="E32" s="12">
        <f>+((C10+C33+C39)*9.45%)</f>
        <v>45.454499999999996</v>
      </c>
      <c r="F32" s="10"/>
    </row>
    <row r="33" spans="2:9">
      <c r="B33" s="11" t="s">
        <v>89</v>
      </c>
      <c r="C33" s="12">
        <v>0</v>
      </c>
      <c r="D33" s="10" t="s">
        <v>90</v>
      </c>
      <c r="E33" s="12">
        <v>0</v>
      </c>
      <c r="F33" s="10"/>
      <c r="H33">
        <f>100/30</f>
        <v>3.3333333333333335</v>
      </c>
    </row>
    <row r="34" spans="2:9">
      <c r="B34" s="11" t="s">
        <v>57</v>
      </c>
      <c r="C34" s="12">
        <v>0</v>
      </c>
      <c r="D34" s="11" t="s">
        <v>419</v>
      </c>
      <c r="E34" s="12"/>
      <c r="F34" s="10"/>
      <c r="H34">
        <f>+H33*F19</f>
        <v>30</v>
      </c>
    </row>
    <row r="35" spans="2:9">
      <c r="B35" s="11" t="s">
        <v>91</v>
      </c>
      <c r="C35" s="12">
        <v>0</v>
      </c>
      <c r="D35" s="11"/>
      <c r="E35" s="12"/>
      <c r="F35" s="10"/>
    </row>
    <row r="36" spans="2:9">
      <c r="B36" s="11" t="s">
        <v>5</v>
      </c>
      <c r="C36" s="12"/>
      <c r="D36" s="11"/>
      <c r="E36" s="12"/>
      <c r="F36" s="10"/>
      <c r="I36" s="80"/>
    </row>
    <row r="37" spans="2:9">
      <c r="B37" s="11" t="s">
        <v>185</v>
      </c>
      <c r="C37" s="12"/>
      <c r="D37" s="11"/>
      <c r="E37" s="12"/>
      <c r="F37" s="10"/>
    </row>
    <row r="38" spans="2:9">
      <c r="B38" s="11" t="s">
        <v>92</v>
      </c>
      <c r="C38" s="12"/>
      <c r="D38" s="11"/>
      <c r="E38" s="12"/>
      <c r="F38" s="10"/>
    </row>
    <row r="39" spans="2:9">
      <c r="B39" s="11" t="s">
        <v>93</v>
      </c>
      <c r="C39" s="12"/>
      <c r="D39" s="11"/>
      <c r="E39" s="12"/>
      <c r="F39" s="10"/>
    </row>
    <row r="40" spans="2:9">
      <c r="B40" s="11" t="s">
        <v>14</v>
      </c>
      <c r="C40" s="12">
        <v>0</v>
      </c>
      <c r="D40" s="11"/>
      <c r="E40" s="12"/>
      <c r="F40" s="10"/>
    </row>
    <row r="41" spans="2:9">
      <c r="B41" s="11" t="s">
        <v>44</v>
      </c>
      <c r="C41" s="12">
        <v>0</v>
      </c>
      <c r="D41" s="11"/>
      <c r="E41" s="12"/>
      <c r="F41" s="10"/>
    </row>
    <row r="42" spans="2:9" ht="15" thickBot="1">
      <c r="B42" s="421" t="s">
        <v>94</v>
      </c>
      <c r="C42" s="422">
        <v>0</v>
      </c>
      <c r="D42" s="421"/>
      <c r="E42" s="422"/>
      <c r="F42" s="10"/>
    </row>
    <row r="43" spans="2:9" ht="15" thickBot="1">
      <c r="B43" s="423" t="s">
        <v>186</v>
      </c>
      <c r="C43" s="424">
        <f>SUM(C32:C42)</f>
        <v>144.30000000000001</v>
      </c>
      <c r="D43" s="425" t="s">
        <v>95</v>
      </c>
      <c r="E43" s="427">
        <f>SUM(E32:E42)</f>
        <v>45.454499999999996</v>
      </c>
      <c r="F43" s="358"/>
      <c r="G43" s="34">
        <v>469.8458399999999</v>
      </c>
    </row>
    <row r="44" spans="2:9">
      <c r="B44" s="113"/>
      <c r="C44" s="113"/>
      <c r="D44" s="426" t="s">
        <v>96</v>
      </c>
      <c r="E44" s="428">
        <f>+C43-E43</f>
        <v>98.845500000000015</v>
      </c>
      <c r="F44" s="259"/>
      <c r="G44" s="80">
        <f>+G43-E44</f>
        <v>371.00033999999988</v>
      </c>
    </row>
    <row r="45" spans="2:9">
      <c r="I45" s="34"/>
    </row>
    <row r="46" spans="2:9">
      <c r="I46" s="34"/>
    </row>
  </sheetData>
  <mergeCells count="13">
    <mergeCell ref="B29:E29"/>
    <mergeCell ref="B17:B18"/>
    <mergeCell ref="C17:D17"/>
    <mergeCell ref="E17:E18"/>
    <mergeCell ref="F17:F18"/>
    <mergeCell ref="G17:G18"/>
    <mergeCell ref="B27:E27"/>
    <mergeCell ref="C8:D8"/>
    <mergeCell ref="C9:D9"/>
    <mergeCell ref="C10:D10"/>
    <mergeCell ref="C11:D11"/>
    <mergeCell ref="B14:C14"/>
    <mergeCell ref="B15:C15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3EF2-8C6A-4BC5-9999-DF3644E24EBC}">
  <sheetPr codeName="Hoja5">
    <tabColor rgb="FF0070C0"/>
    <pageSetUpPr fitToPage="1"/>
  </sheetPr>
  <dimension ref="B1:S62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K12" sqref="K12"/>
    </sheetView>
  </sheetViews>
  <sheetFormatPr baseColWidth="10" defaultRowHeight="14.4"/>
  <cols>
    <col min="1" max="1" width="2.88671875" customWidth="1"/>
    <col min="2" max="2" width="4.88671875" style="17" customWidth="1"/>
    <col min="3" max="3" width="12.88671875" style="587" customWidth="1"/>
    <col min="4" max="4" width="32.5546875" style="10" customWidth="1"/>
    <col min="5" max="5" width="27.5546875" customWidth="1"/>
    <col min="6" max="6" width="9" style="189" customWidth="1"/>
    <col min="7" max="7" width="13.44140625" customWidth="1"/>
    <col min="8" max="8" width="15.33203125" customWidth="1"/>
    <col min="9" max="9" width="18.33203125" customWidth="1"/>
    <col min="10" max="10" width="17.5546875" customWidth="1"/>
    <col min="11" max="11" width="11.5546875" style="33"/>
    <col min="12" max="12" width="2.5546875" customWidth="1"/>
    <col min="14" max="14" width="17.5546875" customWidth="1"/>
    <col min="19" max="19" width="27.33203125" customWidth="1"/>
  </cols>
  <sheetData>
    <row r="1" spans="2:12" ht="10.5" customHeight="1"/>
    <row r="2" spans="2:12" ht="15.75" customHeight="1">
      <c r="B2" s="867" t="s">
        <v>252</v>
      </c>
      <c r="C2" s="867"/>
      <c r="D2" s="867"/>
      <c r="E2" s="867"/>
      <c r="F2" s="867"/>
      <c r="G2" s="867"/>
      <c r="H2" s="867"/>
      <c r="I2" s="867"/>
      <c r="J2" s="867"/>
      <c r="K2" s="867"/>
    </row>
    <row r="3" spans="2:12" ht="15" customHeight="1">
      <c r="B3" s="868" t="s">
        <v>460</v>
      </c>
      <c r="C3" s="868"/>
      <c r="D3" s="868"/>
      <c r="E3" s="868"/>
      <c r="F3" s="868"/>
      <c r="G3" s="868"/>
      <c r="H3" s="868"/>
      <c r="I3" s="868"/>
      <c r="J3" s="868"/>
      <c r="K3" s="868"/>
    </row>
    <row r="4" spans="2:12" ht="7.5" customHeight="1" thickBot="1"/>
    <row r="5" spans="2:12" ht="18" customHeight="1" thickTop="1" thickBot="1">
      <c r="D5" s="54"/>
      <c r="E5" s="54"/>
      <c r="F5" s="585"/>
      <c r="G5" s="54"/>
      <c r="H5" s="869" t="s">
        <v>238</v>
      </c>
      <c r="I5" s="870"/>
      <c r="J5" s="871"/>
      <c r="K5" s="872" t="s">
        <v>235</v>
      </c>
      <c r="L5" s="51"/>
    </row>
    <row r="6" spans="2:12" ht="13.5" customHeight="1" thickTop="1" thickBot="1">
      <c r="C6" s="588"/>
      <c r="D6" s="54"/>
      <c r="E6" s="54"/>
      <c r="F6" s="585"/>
      <c r="G6" s="54"/>
      <c r="H6" s="55"/>
      <c r="I6" s="56"/>
      <c r="J6" s="56" t="s">
        <v>248</v>
      </c>
      <c r="K6" s="873"/>
    </row>
    <row r="7" spans="2:12" ht="19.95" customHeight="1" thickTop="1">
      <c r="B7" s="57" t="s">
        <v>124</v>
      </c>
      <c r="C7" s="357" t="s">
        <v>125</v>
      </c>
      <c r="D7" s="182" t="s">
        <v>2</v>
      </c>
      <c r="E7" s="58" t="s">
        <v>103</v>
      </c>
      <c r="F7" s="583" t="s">
        <v>126</v>
      </c>
      <c r="G7" s="59" t="s">
        <v>116</v>
      </c>
      <c r="H7" s="373" t="s">
        <v>237</v>
      </c>
      <c r="I7" s="373" t="s">
        <v>241</v>
      </c>
      <c r="J7" s="373" t="s">
        <v>247</v>
      </c>
      <c r="K7" s="63" t="s">
        <v>200</v>
      </c>
    </row>
    <row r="8" spans="2:12" ht="18.600000000000001" customHeight="1">
      <c r="B8" s="230">
        <v>1</v>
      </c>
      <c r="C8" s="357">
        <v>925813685</v>
      </c>
      <c r="D8" s="182" t="e">
        <f>+VLOOKUP(Tabla335[[#This Row],[CEDULA ]],'OCTUBRE 2025'!$C$8:$J$10,2,0)</f>
        <v>#N/A</v>
      </c>
      <c r="E8" s="182" t="e">
        <f>+VLOOKUP(Tabla335[[#This Row],[CEDULA ]],'OCTUBRE 2025'!$C$8:$J$10,4,0)</f>
        <v>#N/A</v>
      </c>
      <c r="F8" s="357" t="e">
        <f>+VLOOKUP(Tabla335[[#This Row],[CEDULA ]],'OCTUBRE 2025'!$C$8:$J$10,6,0)</f>
        <v>#N/A</v>
      </c>
      <c r="G8" s="183" t="e">
        <f>+VLOOKUP(Tabla335[[#This Row],[CEDULA ]],'OCTUBRE 2025'!$C$8:$J$10,8,0)</f>
        <v>#N/A</v>
      </c>
      <c r="H8" s="374"/>
      <c r="I8" s="374"/>
      <c r="J8" s="375"/>
      <c r="K8" s="262">
        <f>+Tabla335[[#This Row],[BONO BOLETOS]]+Tabla335[[#This Row],[COM. POR CARGO]]+Tabla335[[#This Row],[BONO CUMP]]</f>
        <v>0</v>
      </c>
    </row>
    <row r="9" spans="2:12" ht="18.600000000000001" customHeight="1">
      <c r="B9" s="230">
        <v>2</v>
      </c>
      <c r="C9" s="357">
        <v>944405737</v>
      </c>
      <c r="D9" s="182" t="e">
        <f>+VLOOKUP(Tabla335[[#This Row],[CEDULA ]],'OCTUBRE 2025'!$C$8:$J$10,2,0)</f>
        <v>#N/A</v>
      </c>
      <c r="E9" s="182" t="e">
        <f>+VLOOKUP(Tabla335[[#This Row],[CEDULA ]],'OCTUBRE 2025'!$C$8:$J$10,4,0)</f>
        <v>#N/A</v>
      </c>
      <c r="F9" s="357" t="e">
        <f>+VLOOKUP(Tabla335[[#This Row],[CEDULA ]],'OCTUBRE 2025'!$C$8:$J$10,6,0)</f>
        <v>#N/A</v>
      </c>
      <c r="G9" s="183" t="e">
        <f>+VLOOKUP(Tabla335[[#This Row],[CEDULA ]],'OCTUBRE 2025'!$C$8:$J$10,8,0)</f>
        <v>#N/A</v>
      </c>
      <c r="H9" s="374"/>
      <c r="I9" s="374"/>
      <c r="J9" s="375"/>
      <c r="K9" s="262">
        <f>+Tabla335[[#This Row],[BONO BOLETOS]]+Tabla335[[#This Row],[COM. POR CARGO]]+Tabla335[[#This Row],[BONO CUMP]]</f>
        <v>0</v>
      </c>
    </row>
    <row r="10" spans="2:12" ht="18.600000000000001" customHeight="1">
      <c r="B10" s="230">
        <v>3</v>
      </c>
      <c r="C10" s="357">
        <v>604394502</v>
      </c>
      <c r="D10" s="182" t="e">
        <f>+VLOOKUP(Tabla335[[#This Row],[CEDULA ]],'OCTUBRE 2025'!$C$8:$J$10,2,0)</f>
        <v>#N/A</v>
      </c>
      <c r="E10" s="182" t="e">
        <f>+VLOOKUP(Tabla335[[#This Row],[CEDULA ]],'OCTUBRE 2025'!$C$8:$J$10,4,0)</f>
        <v>#N/A</v>
      </c>
      <c r="F10" s="357" t="e">
        <f>+VLOOKUP(Tabla335[[#This Row],[CEDULA ]],'OCTUBRE 2025'!$C$8:$J$10,6,0)</f>
        <v>#N/A</v>
      </c>
      <c r="G10" s="183" t="e">
        <f>+VLOOKUP(Tabla335[[#This Row],[CEDULA ]],'OCTUBRE 2025'!$C$8:$J$10,8,0)</f>
        <v>#N/A</v>
      </c>
      <c r="H10" s="374"/>
      <c r="I10" s="374"/>
      <c r="J10" s="375">
        <v>0</v>
      </c>
      <c r="K10" s="262">
        <f>+Tabla335[[#This Row],[BONO BOLETOS]]+Tabla335[[#This Row],[COM. POR CARGO]]+Tabla335[[#This Row],[BONO CUMP]]</f>
        <v>0</v>
      </c>
    </row>
    <row r="11" spans="2:12" ht="18" customHeight="1">
      <c r="B11" s="230">
        <v>4</v>
      </c>
      <c r="C11" s="357">
        <v>955741970</v>
      </c>
      <c r="D11" s="182" t="e">
        <f>+VLOOKUP(Tabla335[[#This Row],[CEDULA ]],'OCTUBRE 2025'!$C$8:$J$10,2,0)</f>
        <v>#N/A</v>
      </c>
      <c r="E11" s="182" t="e">
        <f>+VLOOKUP(Tabla335[[#This Row],[CEDULA ]],'OCTUBRE 2025'!$C$8:$J$10,4,0)</f>
        <v>#N/A</v>
      </c>
      <c r="F11" s="357" t="e">
        <f>+VLOOKUP(Tabla335[[#This Row],[CEDULA ]],'OCTUBRE 2025'!$C$8:$J$10,6,0)</f>
        <v>#N/A</v>
      </c>
      <c r="G11" s="183" t="e">
        <f>+VLOOKUP(Tabla335[[#This Row],[CEDULA ]],'OCTUBRE 2025'!$C$8:$J$10,8,0)</f>
        <v>#N/A</v>
      </c>
      <c r="H11" s="374"/>
      <c r="I11" s="374"/>
      <c r="J11" s="375"/>
      <c r="K11" s="262">
        <f>+Tabla335[[#This Row],[BONO BOLETOS]]+Tabla335[[#This Row],[COM. POR CARGO]]+Tabla335[[#This Row],[BONO CUMP]]</f>
        <v>0</v>
      </c>
    </row>
    <row r="12" spans="2:12" ht="18" customHeight="1">
      <c r="B12" s="230">
        <v>5</v>
      </c>
      <c r="C12" s="357" t="s">
        <v>467</v>
      </c>
      <c r="D12" s="182" t="e">
        <f>+VLOOKUP(Tabla335[[#This Row],[CEDULA ]],'OCTUBRE 2025'!$C$8:$J$10,2,0)</f>
        <v>#N/A</v>
      </c>
      <c r="E12" s="182" t="e">
        <f>+VLOOKUP(Tabla335[[#This Row],[CEDULA ]],'OCTUBRE 2025'!$C$8:$J$10,4,0)</f>
        <v>#N/A</v>
      </c>
      <c r="F12" s="357" t="e">
        <f>+VLOOKUP(Tabla335[[#This Row],[CEDULA ]],'OCTUBRE 2025'!$C$8:$J$10,6,0)</f>
        <v>#N/A</v>
      </c>
      <c r="G12" s="183" t="e">
        <f>+VLOOKUP(Tabla335[[#This Row],[CEDULA ]],'OCTUBRE 2025'!$C$8:$J$10,8,0)</f>
        <v>#N/A</v>
      </c>
      <c r="H12" s="374"/>
      <c r="I12" s="374"/>
      <c r="J12" s="375">
        <v>368.77</v>
      </c>
      <c r="K12" s="262">
        <f>+Tabla335[[#This Row],[BONO BOLETOS]]+Tabla335[[#This Row],[COM. POR CARGO]]+Tabla335[[#This Row],[BONO CUMP]]</f>
        <v>368.77</v>
      </c>
    </row>
    <row r="13" spans="2:12" ht="18.600000000000001" customHeight="1">
      <c r="B13" s="230">
        <v>6</v>
      </c>
      <c r="C13" s="357">
        <v>944143148</v>
      </c>
      <c r="D13" s="182" t="e">
        <f>+VLOOKUP(Tabla335[[#This Row],[CEDULA ]],'OCTUBRE 2025'!$C$8:$J$10,2,0)</f>
        <v>#N/A</v>
      </c>
      <c r="E13" s="182" t="e">
        <f>+VLOOKUP(Tabla335[[#This Row],[CEDULA ]],'OCTUBRE 2025'!$C$8:$J$10,4,0)</f>
        <v>#N/A</v>
      </c>
      <c r="F13" s="357" t="e">
        <f>+VLOOKUP(Tabla335[[#This Row],[CEDULA ]],'OCTUBRE 2025'!$C$8:$J$10,6,0)</f>
        <v>#N/A</v>
      </c>
      <c r="G13" s="183" t="e">
        <f>+VLOOKUP(Tabla335[[#This Row],[CEDULA ]],'OCTUBRE 2025'!$C$8:$J$10,8,0)</f>
        <v>#N/A</v>
      </c>
      <c r="H13" s="374"/>
      <c r="I13" s="374"/>
      <c r="J13" s="375"/>
      <c r="K13" s="262">
        <f>+Tabla335[[#This Row],[BONO BOLETOS]]+Tabla335[[#This Row],[COM. POR CARGO]]+Tabla335[[#This Row],[BONO CUMP]]</f>
        <v>0</v>
      </c>
    </row>
    <row r="14" spans="2:12" ht="18.600000000000001" customHeight="1">
      <c r="B14" s="230">
        <v>7</v>
      </c>
      <c r="C14" s="357">
        <v>955325238</v>
      </c>
      <c r="D14" s="182" t="e">
        <f>+VLOOKUP(Tabla335[[#This Row],[CEDULA ]],'OCTUBRE 2025'!$C$8:$J$10,2,0)</f>
        <v>#N/A</v>
      </c>
      <c r="E14" s="182" t="e">
        <f>+VLOOKUP(Tabla335[[#This Row],[CEDULA ]],'OCTUBRE 2025'!$C$8:$J$10,4,0)</f>
        <v>#N/A</v>
      </c>
      <c r="F14" s="357" t="e">
        <f>+VLOOKUP(Tabla335[[#This Row],[CEDULA ]],'OCTUBRE 2025'!$C$8:$J$10,6,0)</f>
        <v>#N/A</v>
      </c>
      <c r="G14" s="183" t="e">
        <f>+VLOOKUP(Tabla335[[#This Row],[CEDULA ]],'OCTUBRE 2025'!$C$8:$J$10,8,0)</f>
        <v>#N/A</v>
      </c>
      <c r="H14" s="374"/>
      <c r="I14" s="374"/>
      <c r="J14" s="375"/>
      <c r="K14" s="262">
        <f>+Tabla335[[#This Row],[BONO BOLETOS]]+Tabla335[[#This Row],[COM. POR CARGO]]+Tabla335[[#This Row],[BONO CUMP]]</f>
        <v>0</v>
      </c>
    </row>
    <row r="15" spans="2:12" ht="18.600000000000001" customHeight="1">
      <c r="B15" s="230">
        <v>8</v>
      </c>
      <c r="C15" s="357">
        <v>914163654</v>
      </c>
      <c r="D15" s="182" t="e">
        <f>+VLOOKUP(Tabla335[[#This Row],[CEDULA ]],'OCTUBRE 2025'!$C$8:$J$10,2,0)</f>
        <v>#N/A</v>
      </c>
      <c r="E15" s="182" t="e">
        <f>+VLOOKUP(Tabla335[[#This Row],[CEDULA ]],'OCTUBRE 2025'!$C$8:$J$10,4,0)</f>
        <v>#N/A</v>
      </c>
      <c r="F15" s="357" t="e">
        <f>+VLOOKUP(Tabla335[[#This Row],[CEDULA ]],'OCTUBRE 2025'!$C$8:$J$10,6,0)</f>
        <v>#N/A</v>
      </c>
      <c r="G15" s="183" t="e">
        <f>+VLOOKUP(Tabla335[[#This Row],[CEDULA ]],'OCTUBRE 2025'!$C$8:$J$10,8,0)</f>
        <v>#N/A</v>
      </c>
      <c r="H15" s="374"/>
      <c r="I15" s="374"/>
      <c r="J15" s="375"/>
      <c r="K15" s="262">
        <f>+Tabla335[[#This Row],[BONO BOLETOS]]+Tabla335[[#This Row],[COM. POR CARGO]]+Tabla335[[#This Row],[BONO CUMP]]</f>
        <v>0</v>
      </c>
    </row>
    <row r="16" spans="2:12">
      <c r="B16" s="230">
        <v>9</v>
      </c>
      <c r="C16" s="357">
        <v>956668305</v>
      </c>
      <c r="D16" s="182" t="e">
        <f>+VLOOKUP(Tabla335[[#This Row],[CEDULA ]],'OCTUBRE 2025'!$C$8:$J$10,2,0)</f>
        <v>#N/A</v>
      </c>
      <c r="E16" s="182" t="e">
        <f>+VLOOKUP(Tabla335[[#This Row],[CEDULA ]],'OCTUBRE 2025'!$C$8:$J$10,4,0)</f>
        <v>#N/A</v>
      </c>
      <c r="F16" s="357" t="e">
        <f>+VLOOKUP(Tabla335[[#This Row],[CEDULA ]],'OCTUBRE 2025'!$C$8:$J$10,6,0)</f>
        <v>#N/A</v>
      </c>
      <c r="G16" s="183" t="e">
        <f>+VLOOKUP(Tabla335[[#This Row],[CEDULA ]],'OCTUBRE 2025'!$C$8:$J$10,8,0)</f>
        <v>#N/A</v>
      </c>
      <c r="H16" s="374"/>
      <c r="I16" s="374"/>
      <c r="J16" s="375">
        <v>0</v>
      </c>
      <c r="K16" s="262">
        <f>+Tabla335[[#This Row],[BONO BOLETOS]]+Tabla335[[#This Row],[COM. POR CARGO]]+Tabla335[[#This Row],[BONO CUMP]]</f>
        <v>0</v>
      </c>
    </row>
    <row r="17" spans="2:11">
      <c r="B17" s="230">
        <v>10</v>
      </c>
      <c r="C17" s="357" t="s">
        <v>470</v>
      </c>
      <c r="D17" s="182" t="e">
        <f>+VLOOKUP(Tabla335[[#This Row],[CEDULA ]],'OCTUBRE 2025'!$C$8:$J$10,2,0)</f>
        <v>#N/A</v>
      </c>
      <c r="E17" s="182" t="e">
        <f>+VLOOKUP(Tabla335[[#This Row],[CEDULA ]],'OCTUBRE 2025'!$C$8:$J$10,4,0)</f>
        <v>#N/A</v>
      </c>
      <c r="F17" s="357" t="e">
        <f>+VLOOKUP(Tabla335[[#This Row],[CEDULA ]],'OCTUBRE 2025'!$C$8:$J$10,6,0)</f>
        <v>#N/A</v>
      </c>
      <c r="G17" s="183" t="e">
        <f>+VLOOKUP(Tabla335[[#This Row],[CEDULA ]],'OCTUBRE 2025'!$C$8:$J$10,8,0)</f>
        <v>#N/A</v>
      </c>
      <c r="H17" s="374"/>
      <c r="I17" s="374"/>
      <c r="J17" s="375"/>
      <c r="K17" s="262">
        <f>+Tabla335[[#This Row],[BONO BOLETOS]]+Tabla335[[#This Row],[COM. POR CARGO]]+Tabla335[[#This Row],[BONO CUMP]]</f>
        <v>0</v>
      </c>
    </row>
    <row r="18" spans="2:11">
      <c r="B18" s="230">
        <v>11</v>
      </c>
      <c r="C18" s="357">
        <v>931097620</v>
      </c>
      <c r="D18" s="182" t="e">
        <f>+VLOOKUP(Tabla335[[#This Row],[CEDULA ]],'OCTUBRE 2025'!$C$8:$J$10,2,0)</f>
        <v>#N/A</v>
      </c>
      <c r="E18" s="182" t="e">
        <f>+VLOOKUP(Tabla335[[#This Row],[CEDULA ]],'OCTUBRE 2025'!$C$8:$J$10,4,0)</f>
        <v>#N/A</v>
      </c>
      <c r="F18" s="357" t="e">
        <f>+VLOOKUP(Tabla335[[#This Row],[CEDULA ]],'OCTUBRE 2025'!$C$8:$J$10,6,0)</f>
        <v>#N/A</v>
      </c>
      <c r="G18" s="183" t="e">
        <f>+VLOOKUP(Tabla335[[#This Row],[CEDULA ]],'OCTUBRE 2025'!$C$8:$J$10,8,0)</f>
        <v>#N/A</v>
      </c>
      <c r="H18" s="374"/>
      <c r="I18" s="374"/>
      <c r="J18" s="375">
        <v>368.77</v>
      </c>
      <c r="K18" s="262">
        <f>+Tabla335[[#This Row],[BONO BOLETOS]]+Tabla335[[#This Row],[COM. POR CARGO]]+Tabla335[[#This Row],[BONO CUMP]]</f>
        <v>368.77</v>
      </c>
    </row>
    <row r="19" spans="2:11" ht="18.600000000000001" customHeight="1">
      <c r="B19" s="230">
        <v>12</v>
      </c>
      <c r="C19" s="357">
        <v>1105483422</v>
      </c>
      <c r="D19" s="182" t="e">
        <f>+VLOOKUP(Tabla335[[#This Row],[CEDULA ]],'OCTUBRE 2025'!$C$8:$J$10,2,0)</f>
        <v>#N/A</v>
      </c>
      <c r="E19" s="182" t="e">
        <f>+VLOOKUP(Tabla335[[#This Row],[CEDULA ]],'OCTUBRE 2025'!$C$8:$J$10,4,0)</f>
        <v>#N/A</v>
      </c>
      <c r="F19" s="357" t="e">
        <f>+VLOOKUP(Tabla335[[#This Row],[CEDULA ]],'OCTUBRE 2025'!$C$8:$J$10,6,0)</f>
        <v>#N/A</v>
      </c>
      <c r="G19" s="183" t="e">
        <f>+VLOOKUP(Tabla335[[#This Row],[CEDULA ]],'OCTUBRE 2025'!$C$8:$J$10,8,0)</f>
        <v>#N/A</v>
      </c>
      <c r="H19" s="374"/>
      <c r="I19" s="374"/>
      <c r="J19" s="375"/>
      <c r="K19" s="262">
        <f>+Tabla335[[#This Row],[BONO BOLETOS]]+Tabla335[[#This Row],[COM. POR CARGO]]+Tabla335[[#This Row],[BONO CUMP]]</f>
        <v>0</v>
      </c>
    </row>
    <row r="20" spans="2:11" ht="18.600000000000001" customHeight="1">
      <c r="B20" s="230">
        <v>13</v>
      </c>
      <c r="C20" s="357">
        <v>942614645</v>
      </c>
      <c r="D20" s="182" t="e">
        <f>+VLOOKUP(Tabla335[[#This Row],[CEDULA ]],'OCTUBRE 2025'!$C$8:$J$10,2,0)</f>
        <v>#N/A</v>
      </c>
      <c r="E20" s="182" t="e">
        <f>+VLOOKUP(Tabla335[[#This Row],[CEDULA ]],'OCTUBRE 2025'!$C$8:$J$10,4,0)</f>
        <v>#N/A</v>
      </c>
      <c r="F20" s="357" t="e">
        <f>+VLOOKUP(Tabla335[[#This Row],[CEDULA ]],'OCTUBRE 2025'!$C$8:$J$10,6,0)</f>
        <v>#N/A</v>
      </c>
      <c r="G20" s="183" t="e">
        <f>+VLOOKUP(Tabla335[[#This Row],[CEDULA ]],'OCTUBRE 2025'!$C$8:$J$10,8,0)</f>
        <v>#N/A</v>
      </c>
      <c r="H20" s="374"/>
      <c r="I20" s="374"/>
      <c r="J20" s="375"/>
      <c r="K20" s="262">
        <f>+Tabla335[[#This Row],[BONO BOLETOS]]+Tabla335[[#This Row],[COM. POR CARGO]]+Tabla335[[#This Row],[BONO CUMP]]</f>
        <v>0</v>
      </c>
    </row>
    <row r="21" spans="2:11" ht="18.600000000000001" customHeight="1">
      <c r="B21" s="230">
        <v>14</v>
      </c>
      <c r="C21" s="357">
        <v>951200062</v>
      </c>
      <c r="D21" s="182" t="e">
        <f>+VLOOKUP(Tabla335[[#This Row],[CEDULA ]],'OCTUBRE 2025'!$C$8:$J$10,2,0)</f>
        <v>#N/A</v>
      </c>
      <c r="E21" s="182" t="e">
        <f>+VLOOKUP(Tabla335[[#This Row],[CEDULA ]],'OCTUBRE 2025'!$C$8:$J$10,4,0)</f>
        <v>#N/A</v>
      </c>
      <c r="F21" s="357" t="e">
        <f>+VLOOKUP(Tabla335[[#This Row],[CEDULA ]],'OCTUBRE 2025'!$C$8:$J$10,6,0)</f>
        <v>#N/A</v>
      </c>
      <c r="G21" s="183" t="e">
        <f>+VLOOKUP(Tabla335[[#This Row],[CEDULA ]],'OCTUBRE 2025'!$C$8:$J$10,8,0)</f>
        <v>#N/A</v>
      </c>
      <c r="H21" s="374"/>
      <c r="I21" s="374"/>
      <c r="J21" s="375"/>
      <c r="K21" s="262">
        <f>+Tabla335[[#This Row],[BONO BOLETOS]]+Tabla335[[#This Row],[COM. POR CARGO]]+Tabla335[[#This Row],[BONO CUMP]]</f>
        <v>0</v>
      </c>
    </row>
    <row r="22" spans="2:11" ht="18.600000000000001" customHeight="1">
      <c r="B22" s="230">
        <v>15</v>
      </c>
      <c r="C22" s="357">
        <v>950929232</v>
      </c>
      <c r="D22" s="182" t="e">
        <f>+VLOOKUP(Tabla335[[#This Row],[CEDULA ]],'OCTUBRE 2025'!$C$8:$J$10,2,0)</f>
        <v>#N/A</v>
      </c>
      <c r="E22" s="182" t="e">
        <f>+VLOOKUP(Tabla335[[#This Row],[CEDULA ]],'OCTUBRE 2025'!$C$8:$J$10,4,0)</f>
        <v>#N/A</v>
      </c>
      <c r="F22" s="357" t="e">
        <f>+VLOOKUP(Tabla335[[#This Row],[CEDULA ]],'OCTUBRE 2025'!$C$8:$J$10,6,0)</f>
        <v>#N/A</v>
      </c>
      <c r="G22" s="183" t="e">
        <f>+VLOOKUP(Tabla335[[#This Row],[CEDULA ]],'OCTUBRE 2025'!$C$8:$J$10,8,0)</f>
        <v>#N/A</v>
      </c>
      <c r="H22" s="374"/>
      <c r="I22" s="374"/>
      <c r="J22" s="375"/>
      <c r="K22" s="262">
        <f>+Tabla335[[#This Row],[BONO BOLETOS]]+Tabla335[[#This Row],[COM. POR CARGO]]+Tabla335[[#This Row],[BONO CUMP]]</f>
        <v>0</v>
      </c>
    </row>
    <row r="23" spans="2:11" ht="18.600000000000001" customHeight="1">
      <c r="B23" s="230">
        <v>16</v>
      </c>
      <c r="C23" s="357">
        <v>953819646</v>
      </c>
      <c r="D23" s="182" t="e">
        <f>+VLOOKUP(Tabla335[[#This Row],[CEDULA ]],'OCTUBRE 2025'!$C$8:$J$10,2,0)</f>
        <v>#N/A</v>
      </c>
      <c r="E23" s="182" t="e">
        <f>+VLOOKUP(Tabla335[[#This Row],[CEDULA ]],'OCTUBRE 2025'!$C$8:$J$10,4,0)</f>
        <v>#N/A</v>
      </c>
      <c r="F23" s="357" t="e">
        <f>+VLOOKUP(Tabla335[[#This Row],[CEDULA ]],'OCTUBRE 2025'!$C$8:$J$10,6,0)</f>
        <v>#N/A</v>
      </c>
      <c r="G23" s="183" t="e">
        <f>+VLOOKUP(Tabla335[[#This Row],[CEDULA ]],'OCTUBRE 2025'!$C$8:$J$10,8,0)</f>
        <v>#N/A</v>
      </c>
      <c r="H23" s="374"/>
      <c r="I23" s="374"/>
      <c r="J23" s="375"/>
      <c r="K23" s="262">
        <f>+Tabla335[[#This Row],[BONO BOLETOS]]+Tabla335[[#This Row],[COM. POR CARGO]]+Tabla335[[#This Row],[BONO CUMP]]</f>
        <v>0</v>
      </c>
    </row>
    <row r="24" spans="2:11" ht="18.600000000000001" customHeight="1">
      <c r="B24" s="230">
        <v>17</v>
      </c>
      <c r="C24" s="357">
        <v>956953392</v>
      </c>
      <c r="D24" s="182" t="e">
        <f>+VLOOKUP(Tabla335[[#This Row],[CEDULA ]],'OCTUBRE 2025'!$C$8:$J$10,2,0)</f>
        <v>#N/A</v>
      </c>
      <c r="E24" s="182" t="e">
        <f>+VLOOKUP(Tabla335[[#This Row],[CEDULA ]],'OCTUBRE 2025'!$C$8:$J$10,4,0)</f>
        <v>#N/A</v>
      </c>
      <c r="F24" s="357" t="e">
        <f>+VLOOKUP(Tabla335[[#This Row],[CEDULA ]],'OCTUBRE 2025'!$C$8:$J$10,6,0)</f>
        <v>#N/A</v>
      </c>
      <c r="G24" s="183" t="e">
        <f>+VLOOKUP(Tabla335[[#This Row],[CEDULA ]],'OCTUBRE 2025'!$C$8:$J$10,8,0)</f>
        <v>#N/A</v>
      </c>
      <c r="H24" s="374"/>
      <c r="I24" s="374"/>
      <c r="J24" s="375"/>
      <c r="K24" s="262">
        <f>+Tabla335[[#This Row],[BONO BOLETOS]]+Tabla335[[#This Row],[COM. POR CARGO]]+Tabla335[[#This Row],[BONO CUMP]]</f>
        <v>0</v>
      </c>
    </row>
    <row r="25" spans="2:11" ht="18.600000000000001" customHeight="1">
      <c r="B25" s="230">
        <v>18</v>
      </c>
      <c r="C25" s="357">
        <v>956796767</v>
      </c>
      <c r="D25" s="182" t="e">
        <f>+VLOOKUP(Tabla335[[#This Row],[CEDULA ]],'OCTUBRE 2025'!$C$8:$J$10,2,0)</f>
        <v>#N/A</v>
      </c>
      <c r="E25" s="182" t="e">
        <f>+VLOOKUP(Tabla335[[#This Row],[CEDULA ]],'OCTUBRE 2025'!$C$8:$J$10,4,0)</f>
        <v>#N/A</v>
      </c>
      <c r="F25" s="357" t="e">
        <f>+VLOOKUP(Tabla335[[#This Row],[CEDULA ]],'OCTUBRE 2025'!$C$8:$J$10,6,0)</f>
        <v>#N/A</v>
      </c>
      <c r="G25" s="183" t="e">
        <f>+VLOOKUP(Tabla335[[#This Row],[CEDULA ]],'OCTUBRE 2025'!$C$8:$J$10,8,0)</f>
        <v>#N/A</v>
      </c>
      <c r="H25" s="374"/>
      <c r="I25" s="374"/>
      <c r="J25" s="375"/>
      <c r="K25" s="262">
        <f>+Tabla335[[#This Row],[BONO BOLETOS]]+Tabla335[[#This Row],[COM. POR CARGO]]+Tabla335[[#This Row],[BONO CUMP]]</f>
        <v>0</v>
      </c>
    </row>
    <row r="26" spans="2:11" ht="18.600000000000001" customHeight="1">
      <c r="B26" s="230">
        <v>19</v>
      </c>
      <c r="C26" s="357" t="s">
        <v>417</v>
      </c>
      <c r="D26" s="182" t="e">
        <f>+VLOOKUP(Tabla335[[#This Row],[CEDULA ]],'OCTUBRE 2025'!$C$8:$J$10,2,0)</f>
        <v>#N/A</v>
      </c>
      <c r="E26" s="182" t="e">
        <f>+VLOOKUP(Tabla335[[#This Row],[CEDULA ]],'OCTUBRE 2025'!$C$8:$J$10,4,0)</f>
        <v>#N/A</v>
      </c>
      <c r="F26" s="357" t="e">
        <f>+VLOOKUP(Tabla335[[#This Row],[CEDULA ]],'OCTUBRE 2025'!$C$8:$J$10,6,0)</f>
        <v>#N/A</v>
      </c>
      <c r="G26" s="183" t="e">
        <f>+VLOOKUP(Tabla335[[#This Row],[CEDULA ]],'OCTUBRE 2025'!$C$8:$J$10,8,0)</f>
        <v>#N/A</v>
      </c>
      <c r="H26" s="374"/>
      <c r="I26" s="374"/>
      <c r="J26" s="375"/>
      <c r="K26" s="262">
        <f>+Tabla335[[#This Row],[BONO BOLETOS]]+Tabla335[[#This Row],[COM. POR CARGO]]+Tabla335[[#This Row],[BONO CUMP]]</f>
        <v>0</v>
      </c>
    </row>
    <row r="27" spans="2:11" ht="18.600000000000001" customHeight="1">
      <c r="B27" s="230">
        <v>20</v>
      </c>
      <c r="C27" s="357">
        <v>1724102940</v>
      </c>
      <c r="D27" s="182" t="e">
        <f>+VLOOKUP(Tabla335[[#This Row],[CEDULA ]],'OCTUBRE 2025'!$C$8:$J$10,2,0)</f>
        <v>#N/A</v>
      </c>
      <c r="E27" s="182" t="e">
        <f>+VLOOKUP(Tabla335[[#This Row],[CEDULA ]],'OCTUBRE 2025'!$C$8:$J$10,4,0)</f>
        <v>#N/A</v>
      </c>
      <c r="F27" s="357" t="e">
        <f>+VLOOKUP(Tabla335[[#This Row],[CEDULA ]],'OCTUBRE 2025'!$C$8:$J$10,6,0)</f>
        <v>#N/A</v>
      </c>
      <c r="G27" s="183" t="e">
        <f>+VLOOKUP(Tabla335[[#This Row],[CEDULA ]],'OCTUBRE 2025'!$C$8:$J$10,8,0)</f>
        <v>#N/A</v>
      </c>
      <c r="H27" s="374"/>
      <c r="I27" s="374"/>
      <c r="J27" s="375">
        <v>0</v>
      </c>
      <c r="K27" s="262">
        <f>+Tabla335[[#This Row],[BONO BOLETOS]]+Tabla335[[#This Row],[COM. POR CARGO]]+Tabla335[[#This Row],[BONO CUMP]]</f>
        <v>0</v>
      </c>
    </row>
    <row r="28" spans="2:11" ht="19.2" customHeight="1">
      <c r="B28" s="230">
        <v>21</v>
      </c>
      <c r="C28" s="357">
        <v>943322974</v>
      </c>
      <c r="D28" s="182" t="e">
        <f>+VLOOKUP(Tabla335[[#This Row],[CEDULA ]],'OCTUBRE 2025'!$C$8:$J$10,2,0)</f>
        <v>#N/A</v>
      </c>
      <c r="E28" s="182" t="e">
        <f>+VLOOKUP(Tabla335[[#This Row],[CEDULA ]],'OCTUBRE 2025'!$C$8:$J$10,4,0)</f>
        <v>#N/A</v>
      </c>
      <c r="F28" s="357" t="e">
        <f>+VLOOKUP(Tabla335[[#This Row],[CEDULA ]],'OCTUBRE 2025'!$C$8:$J$10,6,0)</f>
        <v>#N/A</v>
      </c>
      <c r="G28" s="183" t="e">
        <f>+VLOOKUP(Tabla335[[#This Row],[CEDULA ]],'OCTUBRE 2025'!$C$8:$J$10,8,0)</f>
        <v>#N/A</v>
      </c>
      <c r="H28" s="374"/>
      <c r="I28" s="374"/>
      <c r="J28" s="375"/>
      <c r="K28" s="262">
        <f>+Tabla335[[#This Row],[BONO BOLETOS]]+Tabla335[[#This Row],[COM. POR CARGO]]+Tabla335[[#This Row],[BONO CUMP]]</f>
        <v>0</v>
      </c>
    </row>
    <row r="29" spans="2:11" ht="18.600000000000001" customHeight="1">
      <c r="B29" s="230">
        <v>22</v>
      </c>
      <c r="C29" s="357">
        <v>941096851</v>
      </c>
      <c r="D29" s="182" t="e">
        <f>+VLOOKUP(Tabla335[[#This Row],[CEDULA ]],'OCTUBRE 2025'!$C$8:$J$10,2,0)</f>
        <v>#N/A</v>
      </c>
      <c r="E29" s="182" t="e">
        <f>+VLOOKUP(Tabla335[[#This Row],[CEDULA ]],'OCTUBRE 2025'!$C$8:$J$10,4,0)</f>
        <v>#N/A</v>
      </c>
      <c r="F29" s="357" t="e">
        <f>+VLOOKUP(Tabla335[[#This Row],[CEDULA ]],'OCTUBRE 2025'!$C$8:$J$10,6,0)</f>
        <v>#N/A</v>
      </c>
      <c r="G29" s="183" t="e">
        <f>+VLOOKUP(Tabla335[[#This Row],[CEDULA ]],'OCTUBRE 2025'!$C$8:$J$10,8,0)</f>
        <v>#N/A</v>
      </c>
      <c r="H29" s="374"/>
      <c r="I29" s="374"/>
      <c r="J29" s="375">
        <v>0</v>
      </c>
      <c r="K29" s="262">
        <f>+Tabla335[[#This Row],[BONO BOLETOS]]+Tabla335[[#This Row],[COM. POR CARGO]]+Tabla335[[#This Row],[BONO CUMP]]</f>
        <v>0</v>
      </c>
    </row>
    <row r="30" spans="2:11" ht="18.600000000000001" customHeight="1">
      <c r="B30" s="230">
        <v>23</v>
      </c>
      <c r="C30" s="357">
        <v>957093800</v>
      </c>
      <c r="D30" s="182" t="e">
        <f>+VLOOKUP(Tabla335[[#This Row],[CEDULA ]],'OCTUBRE 2025'!$C$8:$J$10,2,0)</f>
        <v>#N/A</v>
      </c>
      <c r="E30" s="182" t="e">
        <f>+VLOOKUP(Tabla335[[#This Row],[CEDULA ]],'OCTUBRE 2025'!$C$8:$J$10,4,0)</f>
        <v>#N/A</v>
      </c>
      <c r="F30" s="357" t="e">
        <f>+VLOOKUP(Tabla335[[#This Row],[CEDULA ]],'OCTUBRE 2025'!$C$8:$J$10,6,0)</f>
        <v>#N/A</v>
      </c>
      <c r="G30" s="183" t="e">
        <f>+VLOOKUP(Tabla335[[#This Row],[CEDULA ]],'OCTUBRE 2025'!$C$8:$J$10,8,0)</f>
        <v>#N/A</v>
      </c>
      <c r="H30" s="374"/>
      <c r="I30" s="374"/>
      <c r="J30" s="375"/>
      <c r="K30" s="262">
        <f>+Tabla335[[#This Row],[BONO BOLETOS]]+Tabla335[[#This Row],[COM. POR CARGO]]+Tabla335[[#This Row],[BONO CUMP]]</f>
        <v>0</v>
      </c>
    </row>
    <row r="31" spans="2:11" ht="18.600000000000001" customHeight="1">
      <c r="B31" s="230">
        <v>24</v>
      </c>
      <c r="C31" s="357">
        <v>957924350</v>
      </c>
      <c r="D31" s="182" t="e">
        <f>+VLOOKUP(Tabla335[[#This Row],[CEDULA ]],'OCTUBRE 2025'!$C$8:$J$10,2,0)</f>
        <v>#N/A</v>
      </c>
      <c r="E31" s="182" t="e">
        <f>+VLOOKUP(Tabla335[[#This Row],[CEDULA ]],'OCTUBRE 2025'!$C$8:$J$10,4,0)</f>
        <v>#N/A</v>
      </c>
      <c r="F31" s="357" t="e">
        <f>+VLOOKUP(Tabla335[[#This Row],[CEDULA ]],'OCTUBRE 2025'!$C$8:$J$10,6,0)</f>
        <v>#N/A</v>
      </c>
      <c r="G31" s="183" t="e">
        <f>+VLOOKUP(Tabla335[[#This Row],[CEDULA ]],'OCTUBRE 2025'!$C$8:$J$10,8,0)</f>
        <v>#N/A</v>
      </c>
      <c r="H31" s="374"/>
      <c r="I31" s="374"/>
      <c r="J31" s="375"/>
      <c r="K31" s="262">
        <f>+Tabla335[[#This Row],[BONO BOLETOS]]+Tabla335[[#This Row],[COM. POR CARGO]]+Tabla335[[#This Row],[BONO CUMP]]</f>
        <v>0</v>
      </c>
    </row>
    <row r="32" spans="2:11" ht="18.600000000000001" customHeight="1">
      <c r="B32" s="230">
        <v>25</v>
      </c>
      <c r="C32" s="357">
        <v>603838657</v>
      </c>
      <c r="D32" s="182" t="e">
        <f>+VLOOKUP(Tabla335[[#This Row],[CEDULA ]],'OCTUBRE 2025'!$C$8:$J$10,2,0)</f>
        <v>#N/A</v>
      </c>
      <c r="E32" s="182" t="e">
        <f>+VLOOKUP(Tabla335[[#This Row],[CEDULA ]],'OCTUBRE 2025'!$C$8:$J$10,4,0)</f>
        <v>#N/A</v>
      </c>
      <c r="F32" s="357" t="e">
        <f>+VLOOKUP(Tabla335[[#This Row],[CEDULA ]],'OCTUBRE 2025'!$C$8:$J$10,6,0)</f>
        <v>#N/A</v>
      </c>
      <c r="G32" s="183" t="e">
        <f>+VLOOKUP(Tabla335[[#This Row],[CEDULA ]],'OCTUBRE 2025'!$C$8:$J$10,8,0)</f>
        <v>#N/A</v>
      </c>
      <c r="H32" s="374"/>
      <c r="I32" s="374"/>
      <c r="J32" s="375"/>
      <c r="K32" s="262">
        <f>+Tabla335[[#This Row],[BONO BOLETOS]]+Tabla335[[#This Row],[COM. POR CARGO]]+Tabla335[[#This Row],[BONO CUMP]]</f>
        <v>0</v>
      </c>
    </row>
    <row r="33" spans="2:11" ht="18.600000000000001" customHeight="1">
      <c r="B33" s="230">
        <v>26</v>
      </c>
      <c r="C33" s="357">
        <v>925240525</v>
      </c>
      <c r="D33" s="182" t="e">
        <f>+VLOOKUP(Tabla335[[#This Row],[CEDULA ]],'OCTUBRE 2025'!$C$8:$J$10,2,0)</f>
        <v>#N/A</v>
      </c>
      <c r="E33" s="182" t="e">
        <f>+VLOOKUP(Tabla335[[#This Row],[CEDULA ]],'OCTUBRE 2025'!$C$8:$J$10,4,0)</f>
        <v>#N/A</v>
      </c>
      <c r="F33" s="357" t="e">
        <f>+VLOOKUP(Tabla335[[#This Row],[CEDULA ]],'OCTUBRE 2025'!$C$8:$J$10,6,0)</f>
        <v>#N/A</v>
      </c>
      <c r="G33" s="183" t="e">
        <f>+VLOOKUP(Tabla335[[#This Row],[CEDULA ]],'OCTUBRE 2025'!$C$8:$J$10,8,0)</f>
        <v>#N/A</v>
      </c>
      <c r="H33" s="374"/>
      <c r="I33" s="374"/>
      <c r="J33" s="375"/>
      <c r="K33" s="262">
        <f>+Tabla335[[#This Row],[BONO BOLETOS]]+Tabla335[[#This Row],[COM. POR CARGO]]+Tabla335[[#This Row],[BONO CUMP]]</f>
        <v>0</v>
      </c>
    </row>
    <row r="34" spans="2:11" ht="18.600000000000001" customHeight="1">
      <c r="B34" s="230">
        <v>27</v>
      </c>
      <c r="C34" s="357">
        <v>954520599</v>
      </c>
      <c r="D34" s="182" t="e">
        <f>+VLOOKUP(Tabla335[[#This Row],[CEDULA ]],'OCTUBRE 2025'!$C$8:$J$10,2,0)</f>
        <v>#N/A</v>
      </c>
      <c r="E34" s="182" t="e">
        <f>+VLOOKUP(Tabla335[[#This Row],[CEDULA ]],'OCTUBRE 2025'!$C$8:$J$10,4,0)</f>
        <v>#N/A</v>
      </c>
      <c r="F34" s="357" t="e">
        <f>+VLOOKUP(Tabla335[[#This Row],[CEDULA ]],'OCTUBRE 2025'!$C$8:$J$10,6,0)</f>
        <v>#N/A</v>
      </c>
      <c r="G34" s="183" t="e">
        <f>+VLOOKUP(Tabla335[[#This Row],[CEDULA ]],'OCTUBRE 2025'!$C$8:$J$10,8,0)</f>
        <v>#N/A</v>
      </c>
      <c r="H34" s="374"/>
      <c r="I34" s="374"/>
      <c r="J34" s="375">
        <v>0</v>
      </c>
      <c r="K34" s="262">
        <f>+Tabla335[[#This Row],[BONO BOLETOS]]+Tabla335[[#This Row],[COM. POR CARGO]]+Tabla335[[#This Row],[BONO CUMP]]</f>
        <v>0</v>
      </c>
    </row>
    <row r="35" spans="2:11" ht="18.600000000000001" customHeight="1">
      <c r="B35" s="230">
        <v>28</v>
      </c>
      <c r="C35" s="357" t="s">
        <v>275</v>
      </c>
      <c r="D35" s="182" t="e">
        <f>+VLOOKUP(Tabla335[[#This Row],[CEDULA ]],'OCTUBRE 2025'!$C$8:$J$10,2,0)</f>
        <v>#N/A</v>
      </c>
      <c r="E35" s="182" t="e">
        <f>+VLOOKUP(Tabla335[[#This Row],[CEDULA ]],'OCTUBRE 2025'!$C$8:$J$10,4,0)</f>
        <v>#N/A</v>
      </c>
      <c r="F35" s="357" t="e">
        <f>+VLOOKUP(Tabla335[[#This Row],[CEDULA ]],'OCTUBRE 2025'!$C$8:$J$10,6,0)</f>
        <v>#N/A</v>
      </c>
      <c r="G35" s="183" t="e">
        <f>+VLOOKUP(Tabla335[[#This Row],[CEDULA ]],'OCTUBRE 2025'!$C$8:$J$10,8,0)</f>
        <v>#N/A</v>
      </c>
      <c r="H35" s="374"/>
      <c r="I35" s="374"/>
      <c r="J35" s="375"/>
      <c r="K35" s="262">
        <f>+Tabla335[[#This Row],[BONO BOLETOS]]+Tabla335[[#This Row],[COM. POR CARGO]]+Tabla335[[#This Row],[BONO CUMP]]</f>
        <v>0</v>
      </c>
    </row>
    <row r="36" spans="2:11" ht="18.600000000000001" customHeight="1">
      <c r="B36" s="230">
        <v>29</v>
      </c>
      <c r="C36" s="357" t="s">
        <v>239</v>
      </c>
      <c r="D36" s="182" t="e">
        <f>+VLOOKUP(Tabla335[[#This Row],[CEDULA ]],'OCTUBRE 2025'!$C$8:$J$10,2,0)</f>
        <v>#N/A</v>
      </c>
      <c r="E36" s="182" t="e">
        <f>+VLOOKUP(Tabla335[[#This Row],[CEDULA ]],'OCTUBRE 2025'!$C$8:$J$10,4,0)</f>
        <v>#N/A</v>
      </c>
      <c r="F36" s="357" t="e">
        <f>+VLOOKUP(Tabla335[[#This Row],[CEDULA ]],'OCTUBRE 2025'!$C$8:$J$10,6,0)</f>
        <v>#N/A</v>
      </c>
      <c r="G36" s="183" t="e">
        <f>+VLOOKUP(Tabla335[[#This Row],[CEDULA ]],'OCTUBRE 2025'!$C$8:$J$10,8,0)</f>
        <v>#N/A</v>
      </c>
      <c r="H36" s="374"/>
      <c r="I36" s="374"/>
      <c r="J36" s="375"/>
      <c r="K36" s="262">
        <f>+Tabla335[[#This Row],[BONO BOLETOS]]+Tabla335[[#This Row],[COM. POR CARGO]]+Tabla335[[#This Row],[BONO CUMP]]</f>
        <v>0</v>
      </c>
    </row>
    <row r="37" spans="2:11" ht="18.600000000000001" customHeight="1">
      <c r="B37" s="230">
        <v>30</v>
      </c>
      <c r="C37" s="357" t="s">
        <v>326</v>
      </c>
      <c r="D37" s="182" t="e">
        <f>+VLOOKUP(Tabla335[[#This Row],[CEDULA ]],'OCTUBRE 2025'!$C$8:$J$10,2,0)</f>
        <v>#N/A</v>
      </c>
      <c r="E37" s="182" t="e">
        <f>+VLOOKUP(Tabla335[[#This Row],[CEDULA ]],'OCTUBRE 2025'!$C$8:$J$10,4,0)</f>
        <v>#N/A</v>
      </c>
      <c r="F37" s="357" t="e">
        <f>+VLOOKUP(Tabla335[[#This Row],[CEDULA ]],'OCTUBRE 2025'!$C$8:$J$10,6,0)</f>
        <v>#N/A</v>
      </c>
      <c r="G37" s="183" t="e">
        <f>+VLOOKUP(Tabla335[[#This Row],[CEDULA ]],'OCTUBRE 2025'!$C$8:$J$10,8,0)</f>
        <v>#N/A</v>
      </c>
      <c r="H37" s="374"/>
      <c r="I37" s="374"/>
      <c r="J37" s="375"/>
      <c r="K37" s="262">
        <f>+Tabla335[[#This Row],[BONO BOLETOS]]+Tabla335[[#This Row],[COM. POR CARGO]]+Tabla335[[#This Row],[BONO CUMP]]</f>
        <v>0</v>
      </c>
    </row>
    <row r="38" spans="2:11" ht="18.600000000000001" customHeight="1">
      <c r="B38" s="230">
        <v>31</v>
      </c>
      <c r="C38" s="357">
        <v>955395686</v>
      </c>
      <c r="D38" s="182" t="e">
        <f>+VLOOKUP(Tabla335[[#This Row],[CEDULA ]],'OCTUBRE 2025'!$C$8:$J$10,2,0)</f>
        <v>#N/A</v>
      </c>
      <c r="E38" s="182" t="e">
        <f>+VLOOKUP(Tabla335[[#This Row],[CEDULA ]],'OCTUBRE 2025'!$C$8:$J$10,4,0)</f>
        <v>#N/A</v>
      </c>
      <c r="F38" s="357" t="e">
        <f>+VLOOKUP(Tabla335[[#This Row],[CEDULA ]],'OCTUBRE 2025'!$C$8:$J$10,6,0)</f>
        <v>#N/A</v>
      </c>
      <c r="G38" s="183" t="e">
        <f>+VLOOKUP(Tabla335[[#This Row],[CEDULA ]],'OCTUBRE 2025'!$C$8:$J$10,8,0)</f>
        <v>#N/A</v>
      </c>
      <c r="H38" s="374">
        <v>0</v>
      </c>
      <c r="I38" s="374"/>
      <c r="J38" s="375">
        <v>0</v>
      </c>
      <c r="K38" s="262">
        <f>+Tabla335[[#This Row],[BONO BOLETOS]]+Tabla335[[#This Row],[COM. POR CARGO]]+Tabla335[[#This Row],[BONO CUMP]]</f>
        <v>0</v>
      </c>
    </row>
    <row r="39" spans="2:11" ht="18.600000000000001" customHeight="1">
      <c r="B39" s="230">
        <v>32</v>
      </c>
      <c r="C39" s="357">
        <v>940991987</v>
      </c>
      <c r="D39" s="182" t="e">
        <f>+VLOOKUP(Tabla335[[#This Row],[CEDULA ]],'OCTUBRE 2025'!$C$8:$J$10,2,0)</f>
        <v>#N/A</v>
      </c>
      <c r="E39" s="182" t="e">
        <f>+VLOOKUP(Tabla335[[#This Row],[CEDULA ]],'OCTUBRE 2025'!$C$8:$J$10,4,0)</f>
        <v>#N/A</v>
      </c>
      <c r="F39" s="357" t="e">
        <f>+VLOOKUP(Tabla335[[#This Row],[CEDULA ]],'OCTUBRE 2025'!$C$8:$J$10,6,0)</f>
        <v>#N/A</v>
      </c>
      <c r="G39" s="183" t="e">
        <f>+VLOOKUP(Tabla335[[#This Row],[CEDULA ]],'OCTUBRE 2025'!$C$8:$J$10,8,0)</f>
        <v>#N/A</v>
      </c>
      <c r="H39" s="374"/>
      <c r="I39" s="374"/>
      <c r="J39" s="375"/>
      <c r="K39" s="262">
        <f>+Tabla335[[#This Row],[BONO BOLETOS]]+Tabla335[[#This Row],[COM. POR CARGO]]+Tabla335[[#This Row],[BONO CUMP]]</f>
        <v>0</v>
      </c>
    </row>
    <row r="40" spans="2:11" ht="18.600000000000001" customHeight="1">
      <c r="B40" s="230">
        <v>33</v>
      </c>
      <c r="C40" s="357">
        <v>956929277</v>
      </c>
      <c r="D40" s="182" t="e">
        <f>+VLOOKUP(Tabla335[[#This Row],[CEDULA ]],'OCTUBRE 2025'!$C$8:$J$10,2,0)</f>
        <v>#N/A</v>
      </c>
      <c r="E40" s="182" t="e">
        <f>+VLOOKUP(Tabla335[[#This Row],[CEDULA ]],'OCTUBRE 2025'!$C$8:$J$10,4,0)</f>
        <v>#N/A</v>
      </c>
      <c r="F40" s="357" t="e">
        <f>+VLOOKUP(Tabla335[[#This Row],[CEDULA ]],'OCTUBRE 2025'!$C$8:$J$10,6,0)</f>
        <v>#N/A</v>
      </c>
      <c r="G40" s="183" t="e">
        <f>+VLOOKUP(Tabla335[[#This Row],[CEDULA ]],'OCTUBRE 2025'!$C$8:$J$10,8,0)</f>
        <v>#N/A</v>
      </c>
      <c r="H40" s="374"/>
      <c r="I40" s="374"/>
      <c r="J40" s="375"/>
      <c r="K40" s="262">
        <f>+Tabla335[[#This Row],[BONO BOLETOS]]+Tabla335[[#This Row],[COM. POR CARGO]]+Tabla335[[#This Row],[BONO CUMP]]</f>
        <v>0</v>
      </c>
    </row>
    <row r="41" spans="2:11" ht="18.600000000000001" customHeight="1">
      <c r="B41" s="230">
        <v>34</v>
      </c>
      <c r="C41" s="357">
        <v>951763994</v>
      </c>
      <c r="D41" s="182" t="e">
        <f>+VLOOKUP(Tabla335[[#This Row],[CEDULA ]],'OCTUBRE 2025'!$C$8:$J$10,2,0)</f>
        <v>#N/A</v>
      </c>
      <c r="E41" s="182" t="e">
        <f>+VLOOKUP(Tabla335[[#This Row],[CEDULA ]],'OCTUBRE 2025'!$C$8:$J$10,4,0)</f>
        <v>#N/A</v>
      </c>
      <c r="F41" s="357" t="e">
        <f>+VLOOKUP(Tabla335[[#This Row],[CEDULA ]],'OCTUBRE 2025'!$C$8:$J$10,6,0)</f>
        <v>#N/A</v>
      </c>
      <c r="G41" s="183" t="e">
        <f>+VLOOKUP(Tabla335[[#This Row],[CEDULA ]],'OCTUBRE 2025'!$C$8:$J$10,8,0)</f>
        <v>#N/A</v>
      </c>
      <c r="H41" s="374"/>
      <c r="I41" s="374"/>
      <c r="J41" s="375"/>
      <c r="K41" s="262">
        <f>+Tabla335[[#This Row],[BONO BOLETOS]]+Tabla335[[#This Row],[COM. POR CARGO]]+Tabla335[[#This Row],[BONO CUMP]]</f>
        <v>0</v>
      </c>
    </row>
    <row r="42" spans="2:11" ht="18.600000000000001" customHeight="1">
      <c r="B42" s="230">
        <v>35</v>
      </c>
      <c r="C42" s="357">
        <v>950703199</v>
      </c>
      <c r="D42" s="182" t="e">
        <f>+VLOOKUP(Tabla335[[#This Row],[CEDULA ]],'OCTUBRE 2025'!$C$8:$J$10,2,0)</f>
        <v>#N/A</v>
      </c>
      <c r="E42" s="182" t="e">
        <f>+VLOOKUP(Tabla335[[#This Row],[CEDULA ]],'OCTUBRE 2025'!$C$8:$J$10,4,0)</f>
        <v>#N/A</v>
      </c>
      <c r="F42" s="357" t="e">
        <f>+VLOOKUP(Tabla335[[#This Row],[CEDULA ]],'OCTUBRE 2025'!$C$8:$J$10,6,0)</f>
        <v>#N/A</v>
      </c>
      <c r="G42" s="183" t="e">
        <f>+VLOOKUP(Tabla335[[#This Row],[CEDULA ]],'OCTUBRE 2025'!$C$8:$J$10,8,0)</f>
        <v>#N/A</v>
      </c>
      <c r="H42" s="374"/>
      <c r="I42" s="374"/>
      <c r="J42" s="375"/>
      <c r="K42" s="262">
        <f>+Tabla335[[#This Row],[BONO BOLETOS]]+Tabla335[[#This Row],[COM. POR CARGO]]+Tabla335[[#This Row],[BONO CUMP]]</f>
        <v>0</v>
      </c>
    </row>
    <row r="43" spans="2:11" ht="18.600000000000001" customHeight="1">
      <c r="B43" s="230">
        <v>36</v>
      </c>
      <c r="C43" s="357" t="s">
        <v>423</v>
      </c>
      <c r="D43" s="182" t="e">
        <f>+VLOOKUP(Tabla335[[#This Row],[CEDULA ]],'OCTUBRE 2025'!$C$8:$J$10,2,0)</f>
        <v>#N/A</v>
      </c>
      <c r="E43" s="182" t="e">
        <f>+VLOOKUP(Tabla335[[#This Row],[CEDULA ]],'OCTUBRE 2025'!$C$8:$J$10,4,0)</f>
        <v>#N/A</v>
      </c>
      <c r="F43" s="357" t="e">
        <f>+VLOOKUP(Tabla335[[#This Row],[CEDULA ]],'OCTUBRE 2025'!$C$8:$J$10,6,0)</f>
        <v>#N/A</v>
      </c>
      <c r="G43" s="183" t="e">
        <f>+VLOOKUP(Tabla335[[#This Row],[CEDULA ]],'OCTUBRE 2025'!$C$8:$J$10,8,0)</f>
        <v>#N/A</v>
      </c>
      <c r="H43" s="374"/>
      <c r="I43" s="374"/>
      <c r="J43" s="375"/>
      <c r="K43" s="262">
        <f>+Tabla335[[#This Row],[BONO BOLETOS]]+Tabla335[[#This Row],[COM. POR CARGO]]+Tabla335[[#This Row],[BONO CUMP]]</f>
        <v>0</v>
      </c>
    </row>
    <row r="44" spans="2:11" ht="18.600000000000001" customHeight="1">
      <c r="B44" s="230">
        <v>37</v>
      </c>
      <c r="C44" s="357">
        <v>925830689</v>
      </c>
      <c r="D44" s="182" t="e">
        <f>+VLOOKUP(Tabla335[[#This Row],[CEDULA ]],'OCTUBRE 2025'!$C$8:$J$10,2,0)</f>
        <v>#N/A</v>
      </c>
      <c r="E44" s="182" t="e">
        <f>+VLOOKUP(Tabla335[[#This Row],[CEDULA ]],'OCTUBRE 2025'!$C$8:$J$10,4,0)</f>
        <v>#N/A</v>
      </c>
      <c r="F44" s="357" t="e">
        <f>+VLOOKUP(Tabla335[[#This Row],[CEDULA ]],'OCTUBRE 2025'!$C$8:$J$10,6,0)</f>
        <v>#N/A</v>
      </c>
      <c r="G44" s="183" t="e">
        <f>+VLOOKUP(Tabla335[[#This Row],[CEDULA ]],'OCTUBRE 2025'!$C$8:$J$10,8,0)</f>
        <v>#N/A</v>
      </c>
      <c r="H44" s="374"/>
      <c r="I44" s="374"/>
      <c r="J44" s="375"/>
      <c r="K44" s="262">
        <f>+Tabla335[[#This Row],[BONO BOLETOS]]+Tabla335[[#This Row],[COM. POR CARGO]]+Tabla335[[#This Row],[BONO CUMP]]</f>
        <v>0</v>
      </c>
    </row>
    <row r="45" spans="2:11" ht="18.600000000000001" customHeight="1">
      <c r="B45" s="230">
        <v>38</v>
      </c>
      <c r="C45" s="357">
        <v>944034842</v>
      </c>
      <c r="D45" s="182" t="e">
        <f>+VLOOKUP(Tabla335[[#This Row],[CEDULA ]],'OCTUBRE 2025'!$C$8:$J$10,2,0)</f>
        <v>#N/A</v>
      </c>
      <c r="E45" s="182" t="e">
        <f>+VLOOKUP(Tabla335[[#This Row],[CEDULA ]],'OCTUBRE 2025'!$C$8:$J$10,4,0)</f>
        <v>#N/A</v>
      </c>
      <c r="F45" s="357" t="e">
        <f>+VLOOKUP(Tabla335[[#This Row],[CEDULA ]],'OCTUBRE 2025'!$C$8:$J$10,6,0)</f>
        <v>#N/A</v>
      </c>
      <c r="G45" s="183" t="e">
        <f>+VLOOKUP(Tabla335[[#This Row],[CEDULA ]],'OCTUBRE 2025'!$C$8:$J$10,8,0)</f>
        <v>#N/A</v>
      </c>
      <c r="H45" s="374"/>
      <c r="I45" s="374"/>
      <c r="J45" s="375"/>
      <c r="K45" s="262">
        <f>+Tabla335[[#This Row],[BONO BOLETOS]]+Tabla335[[#This Row],[COM. POR CARGO]]+Tabla335[[#This Row],[BONO CUMP]]</f>
        <v>0</v>
      </c>
    </row>
    <row r="46" spans="2:11" ht="18.600000000000001" customHeight="1">
      <c r="B46" s="230">
        <v>39</v>
      </c>
      <c r="C46" s="357">
        <v>951340702</v>
      </c>
      <c r="D46" s="182" t="e">
        <f>+VLOOKUP(Tabla335[[#This Row],[CEDULA ]],'OCTUBRE 2025'!$C$8:$J$10,2,0)</f>
        <v>#N/A</v>
      </c>
      <c r="E46" s="182" t="e">
        <f>+VLOOKUP(Tabla335[[#This Row],[CEDULA ]],'OCTUBRE 2025'!$C$8:$J$10,4,0)</f>
        <v>#N/A</v>
      </c>
      <c r="F46" s="357" t="e">
        <f>+VLOOKUP(Tabla335[[#This Row],[CEDULA ]],'OCTUBRE 2025'!$C$8:$J$10,6,0)</f>
        <v>#N/A</v>
      </c>
      <c r="G46" s="183" t="e">
        <f>+VLOOKUP(Tabla335[[#This Row],[CEDULA ]],'OCTUBRE 2025'!$C$8:$J$10,8,0)</f>
        <v>#N/A</v>
      </c>
      <c r="H46" s="374"/>
      <c r="I46" s="374"/>
      <c r="J46" s="375"/>
      <c r="K46" s="262">
        <f>+Tabla335[[#This Row],[BONO BOLETOS]]+Tabla335[[#This Row],[COM. POR CARGO]]+Tabla335[[#This Row],[BONO CUMP]]</f>
        <v>0</v>
      </c>
    </row>
    <row r="47" spans="2:11" ht="18.600000000000001" customHeight="1">
      <c r="B47" s="230">
        <v>40</v>
      </c>
      <c r="C47" s="357">
        <v>650112949</v>
      </c>
      <c r="D47" s="182" t="e">
        <f>+VLOOKUP(Tabla335[[#This Row],[CEDULA ]],'OCTUBRE 2025'!$C$8:$J$10,2,0)</f>
        <v>#N/A</v>
      </c>
      <c r="E47" s="182" t="e">
        <f>+VLOOKUP(Tabla335[[#This Row],[CEDULA ]],'OCTUBRE 2025'!$C$8:$J$10,4,0)</f>
        <v>#N/A</v>
      </c>
      <c r="F47" s="357" t="e">
        <f>+VLOOKUP(Tabla335[[#This Row],[CEDULA ]],'OCTUBRE 2025'!$C$8:$J$10,6,0)</f>
        <v>#N/A</v>
      </c>
      <c r="G47" s="183" t="e">
        <f>+VLOOKUP(Tabla335[[#This Row],[CEDULA ]],'OCTUBRE 2025'!$C$8:$J$10,8,0)</f>
        <v>#N/A</v>
      </c>
      <c r="H47" s="374"/>
      <c r="I47" s="374"/>
      <c r="J47" s="375"/>
      <c r="K47" s="262">
        <f>+Tabla335[[#This Row],[BONO BOLETOS]]+Tabla335[[#This Row],[COM. POR CARGO]]+Tabla335[[#This Row],[BONO CUMP]]</f>
        <v>0</v>
      </c>
    </row>
    <row r="48" spans="2:11" ht="18.600000000000001" customHeight="1">
      <c r="B48" s="230">
        <v>41</v>
      </c>
      <c r="C48" s="357">
        <v>924232804</v>
      </c>
      <c r="D48" s="182" t="e">
        <f>+VLOOKUP(Tabla335[[#This Row],[CEDULA ]],'OCTUBRE 2025'!$C$8:$J$10,2,0)</f>
        <v>#N/A</v>
      </c>
      <c r="E48" s="182" t="e">
        <f>+VLOOKUP(Tabla335[[#This Row],[CEDULA ]],'OCTUBRE 2025'!$C$8:$J$10,4,0)</f>
        <v>#N/A</v>
      </c>
      <c r="F48" s="357" t="e">
        <f>+VLOOKUP(Tabla335[[#This Row],[CEDULA ]],'OCTUBRE 2025'!$C$8:$J$10,6,0)</f>
        <v>#N/A</v>
      </c>
      <c r="G48" s="183" t="e">
        <f>+VLOOKUP(Tabla335[[#This Row],[CEDULA ]],'OCTUBRE 2025'!$C$8:$J$10,8,0)</f>
        <v>#N/A</v>
      </c>
      <c r="H48" s="374"/>
      <c r="I48" s="374"/>
      <c r="J48" s="375"/>
      <c r="K48" s="262">
        <f>+Tabla335[[#This Row],[BONO BOLETOS]]+Tabla335[[#This Row],[COM. POR CARGO]]+Tabla335[[#This Row],[BONO CUMP]]</f>
        <v>0</v>
      </c>
    </row>
    <row r="49" spans="2:19" ht="18.600000000000001" customHeight="1">
      <c r="B49" s="230">
        <v>42</v>
      </c>
      <c r="C49" s="357">
        <v>605031145</v>
      </c>
      <c r="D49" s="182" t="e">
        <f>+VLOOKUP(Tabla335[[#This Row],[CEDULA ]],'OCTUBRE 2025'!$C$8:$J$10,2,0)</f>
        <v>#N/A</v>
      </c>
      <c r="E49" s="182" t="e">
        <f>+VLOOKUP(Tabla335[[#This Row],[CEDULA ]],'OCTUBRE 2025'!$C$8:$J$10,4,0)</f>
        <v>#N/A</v>
      </c>
      <c r="F49" s="357" t="e">
        <f>+VLOOKUP(Tabla335[[#This Row],[CEDULA ]],'OCTUBRE 2025'!$C$8:$J$10,6,0)</f>
        <v>#N/A</v>
      </c>
      <c r="G49" s="183" t="e">
        <f>+VLOOKUP(Tabla335[[#This Row],[CEDULA ]],'OCTUBRE 2025'!$C$8:$J$10,8,0)</f>
        <v>#N/A</v>
      </c>
      <c r="H49" s="374"/>
      <c r="I49" s="374"/>
      <c r="J49" s="375">
        <v>0</v>
      </c>
      <c r="K49" s="262">
        <f>+Tabla335[[#This Row],[BONO BOLETOS]]+Tabla335[[#This Row],[COM. POR CARGO]]+Tabla335[[#This Row],[BONO CUMP]]</f>
        <v>0</v>
      </c>
    </row>
    <row r="50" spans="2:19" ht="18.600000000000001" customHeight="1">
      <c r="B50" s="230">
        <v>43</v>
      </c>
      <c r="C50" s="357">
        <v>927257576</v>
      </c>
      <c r="D50" s="182" t="e">
        <f>+VLOOKUP(Tabla335[[#This Row],[CEDULA ]],'OCTUBRE 2025'!$C$8:$J$10,2,0)</f>
        <v>#N/A</v>
      </c>
      <c r="E50" s="182" t="e">
        <f>+VLOOKUP(Tabla335[[#This Row],[CEDULA ]],'OCTUBRE 2025'!$C$8:$J$10,4,0)</f>
        <v>#N/A</v>
      </c>
      <c r="F50" s="357" t="e">
        <f>+VLOOKUP(Tabla335[[#This Row],[CEDULA ]],'OCTUBRE 2025'!$C$8:$J$10,6,0)</f>
        <v>#N/A</v>
      </c>
      <c r="G50" s="183" t="e">
        <f>+VLOOKUP(Tabla335[[#This Row],[CEDULA ]],'OCTUBRE 2025'!$C$8:$J$10,8,0)</f>
        <v>#N/A</v>
      </c>
      <c r="H50" s="374"/>
      <c r="I50" s="374"/>
      <c r="J50" s="375"/>
      <c r="K50" s="262">
        <f>+Tabla335[[#This Row],[BONO BOLETOS]]+Tabla335[[#This Row],[COM. POR CARGO]]+Tabla335[[#This Row],[BONO CUMP]]</f>
        <v>0</v>
      </c>
    </row>
    <row r="51" spans="2:19" ht="18.600000000000001" customHeight="1">
      <c r="B51" s="230">
        <v>44</v>
      </c>
      <c r="C51" s="357">
        <v>928901800</v>
      </c>
      <c r="D51" s="182" t="e">
        <f>+VLOOKUP(Tabla335[[#This Row],[CEDULA ]],'OCTUBRE 2025'!$C$8:$J$10,2,0)</f>
        <v>#N/A</v>
      </c>
      <c r="E51" s="182" t="e">
        <f>+VLOOKUP(Tabla335[[#This Row],[CEDULA ]],'OCTUBRE 2025'!$C$8:$J$10,4,0)</f>
        <v>#N/A</v>
      </c>
      <c r="F51" s="357" t="e">
        <f>+VLOOKUP(Tabla335[[#This Row],[CEDULA ]],'OCTUBRE 2025'!$C$8:$J$10,6,0)</f>
        <v>#N/A</v>
      </c>
      <c r="G51" s="183" t="e">
        <f>+VLOOKUP(Tabla335[[#This Row],[CEDULA ]],'OCTUBRE 2025'!$C$8:$J$10,8,0)</f>
        <v>#N/A</v>
      </c>
      <c r="H51" s="374"/>
      <c r="I51" s="374"/>
      <c r="J51" s="375"/>
      <c r="K51" s="262">
        <f>+Tabla335[[#This Row],[BONO BOLETOS]]+Tabla335[[#This Row],[COM. POR CARGO]]+Tabla335[[#This Row],[BONO CUMP]]</f>
        <v>0</v>
      </c>
    </row>
    <row r="52" spans="2:19" ht="18.600000000000001" customHeight="1">
      <c r="B52" s="230">
        <v>45</v>
      </c>
      <c r="C52" s="357">
        <v>951315746</v>
      </c>
      <c r="D52" s="182" t="e">
        <f>+VLOOKUP(Tabla335[[#This Row],[CEDULA ]],'OCTUBRE 2025'!$C$8:$J$10,2,0)</f>
        <v>#N/A</v>
      </c>
      <c r="E52" s="182" t="e">
        <f>+VLOOKUP(Tabla335[[#This Row],[CEDULA ]],'OCTUBRE 2025'!$C$8:$J$10,4,0)</f>
        <v>#N/A</v>
      </c>
      <c r="F52" s="357" t="e">
        <f>+VLOOKUP(Tabla335[[#This Row],[CEDULA ]],'OCTUBRE 2025'!$C$8:$J$10,6,0)</f>
        <v>#N/A</v>
      </c>
      <c r="G52" s="183" t="e">
        <f>+VLOOKUP(Tabla335[[#This Row],[CEDULA ]],'OCTUBRE 2025'!$C$8:$J$10,8,0)</f>
        <v>#N/A</v>
      </c>
      <c r="H52" s="374"/>
      <c r="I52" s="374"/>
      <c r="J52" s="375">
        <v>0</v>
      </c>
      <c r="K52" s="262">
        <f>+Tabla335[[#This Row],[BONO BOLETOS]]+Tabla335[[#This Row],[COM. POR CARGO]]+Tabla335[[#This Row],[BONO CUMP]]</f>
        <v>0</v>
      </c>
    </row>
    <row r="53" spans="2:19" ht="18.600000000000001" customHeight="1">
      <c r="B53" s="230">
        <v>46</v>
      </c>
      <c r="C53" s="357">
        <v>954184321</v>
      </c>
      <c r="D53" s="182" t="e">
        <f>+VLOOKUP(Tabla335[[#This Row],[CEDULA ]],'OCTUBRE 2025'!$C$8:$J$10,2,0)</f>
        <v>#N/A</v>
      </c>
      <c r="E53" s="182" t="e">
        <f>+VLOOKUP(Tabla335[[#This Row],[CEDULA ]],'OCTUBRE 2025'!$C$8:$J$10,4,0)</f>
        <v>#N/A</v>
      </c>
      <c r="F53" s="357" t="e">
        <f>+VLOOKUP(Tabla335[[#This Row],[CEDULA ]],'OCTUBRE 2025'!$C$8:$J$10,6,0)</f>
        <v>#N/A</v>
      </c>
      <c r="G53" s="183" t="e">
        <f>+VLOOKUP(Tabla335[[#This Row],[CEDULA ]],'OCTUBRE 2025'!$C$8:$J$10,8,0)</f>
        <v>#N/A</v>
      </c>
      <c r="H53" s="374"/>
      <c r="I53" s="374"/>
      <c r="J53" s="375"/>
      <c r="K53" s="262">
        <f>+Tabla335[[#This Row],[BONO BOLETOS]]+Tabla335[[#This Row],[COM. POR CARGO]]+Tabla335[[#This Row],[BONO CUMP]]</f>
        <v>0</v>
      </c>
    </row>
    <row r="54" spans="2:19" ht="18.600000000000001" customHeight="1">
      <c r="B54" s="230">
        <v>47</v>
      </c>
      <c r="C54" s="357">
        <v>922034772</v>
      </c>
      <c r="D54" s="182" t="e">
        <f>+VLOOKUP(Tabla335[[#This Row],[CEDULA ]],'OCTUBRE 2025'!$C$8:$J$10,2,0)</f>
        <v>#N/A</v>
      </c>
      <c r="E54" s="182" t="e">
        <f>+VLOOKUP(Tabla335[[#This Row],[CEDULA ]],'OCTUBRE 2025'!$C$8:$J$10,4,0)</f>
        <v>#N/A</v>
      </c>
      <c r="F54" s="357" t="e">
        <f>+VLOOKUP(Tabla335[[#This Row],[CEDULA ]],'OCTUBRE 2025'!$C$8:$J$10,6,0)</f>
        <v>#N/A</v>
      </c>
      <c r="G54" s="183" t="e">
        <f>+VLOOKUP(Tabla335[[#This Row],[CEDULA ]],'OCTUBRE 2025'!$C$8:$J$10,8,0)</f>
        <v>#N/A</v>
      </c>
      <c r="H54" s="374"/>
      <c r="I54" s="374"/>
      <c r="J54" s="375">
        <v>0</v>
      </c>
      <c r="K54" s="262">
        <f>+Tabla335[[#This Row],[BONO BOLETOS]]+Tabla335[[#This Row],[COM. POR CARGO]]+Tabla335[[#This Row],[BONO CUMP]]</f>
        <v>0</v>
      </c>
    </row>
    <row r="55" spans="2:19" ht="18.600000000000001" customHeight="1">
      <c r="B55" s="230">
        <v>48</v>
      </c>
      <c r="C55" s="357">
        <v>923837991</v>
      </c>
      <c r="D55" s="182" t="str">
        <f>+VLOOKUP(Tabla335[[#This Row],[CEDULA ]],'OCTUBRE 2025'!$C$8:$J$10,2,0)</f>
        <v>YUNDA CUJILEMA MARIA TERESA</v>
      </c>
      <c r="E55" s="182" t="str">
        <f>+VLOOKUP(Tabla335[[#This Row],[CEDULA ]],'OCTUBRE 2025'!$C$8:$J$10,4,0)</f>
        <v>CONTADOR GENERAL</v>
      </c>
      <c r="F55" s="357" t="str">
        <f>+VLOOKUP(Tabla335[[#This Row],[CEDULA ]],'OCTUBRE 2025'!$C$8:$J$10,6,0)</f>
        <v>Matriz</v>
      </c>
      <c r="G55" s="183">
        <f>+VLOOKUP(Tabla335[[#This Row],[CEDULA ]],'OCTUBRE 2025'!$C$8:$J$10,8,0)</f>
        <v>1022.2</v>
      </c>
      <c r="H55" s="374"/>
      <c r="I55" s="374"/>
      <c r="J55" s="375"/>
      <c r="K55" s="262">
        <f>+Tabla335[[#This Row],[BONO BOLETOS]]+Tabla335[[#This Row],[COM. POR CARGO]]+Tabla335[[#This Row],[BONO CUMP]]</f>
        <v>0</v>
      </c>
    </row>
    <row r="56" spans="2:19" ht="18.600000000000001" customHeight="1">
      <c r="B56" s="230">
        <v>49</v>
      </c>
      <c r="C56" s="357">
        <v>941508905</v>
      </c>
      <c r="D56" s="182" t="str">
        <f>+VLOOKUP(Tabla335[[#This Row],[CEDULA ]],'OCTUBRE 2025'!$C$8:$J$10,2,0)</f>
        <v>YUQUILEMA CACUANGO ANGEL JOSE</v>
      </c>
      <c r="E56" s="182" t="str">
        <f>+VLOOKUP(Tabla335[[#This Row],[CEDULA ]],'OCTUBRE 2025'!$C$8:$J$10,4,0)</f>
        <v>OFICIAL DE RECAUDACIONES</v>
      </c>
      <c r="F56" s="357" t="str">
        <f>+VLOOKUP(Tabla335[[#This Row],[CEDULA ]],'OCTUBRE 2025'!$C$8:$J$10,6,0)</f>
        <v>Matriz</v>
      </c>
      <c r="G56" s="183">
        <f>+VLOOKUP(Tabla335[[#This Row],[CEDULA ]],'OCTUBRE 2025'!$C$8:$J$10,8,0)</f>
        <v>511.1</v>
      </c>
      <c r="H56" s="374"/>
      <c r="I56" s="374"/>
      <c r="J56" s="375"/>
      <c r="K56" s="262">
        <f>+Tabla335[[#This Row],[BONO BOLETOS]]+Tabla335[[#This Row],[COM. POR CARGO]]+Tabla335[[#This Row],[BONO CUMP]]</f>
        <v>0</v>
      </c>
    </row>
    <row r="57" spans="2:19" ht="18.600000000000001" customHeight="1">
      <c r="B57" s="230">
        <v>50</v>
      </c>
      <c r="C57" s="357">
        <v>604154575</v>
      </c>
      <c r="D57" s="182" t="str">
        <f>+VLOOKUP(Tabla335[[#This Row],[CEDULA ]],'OCTUBRE 2025'!$C$8:$J$10,2,0)</f>
        <v>YUQUILEMA DELGADO PEDRO ANTONIO</v>
      </c>
      <c r="E57" s="182" t="str">
        <f>+VLOOKUP(Tabla335[[#This Row],[CEDULA ]],'OCTUBRE 2025'!$C$8:$J$10,4,0)</f>
        <v>JEFE DE CRÉDITO</v>
      </c>
      <c r="F57" s="357" t="str">
        <f>+VLOOKUP(Tabla335[[#This Row],[CEDULA ]],'OCTUBRE 2025'!$C$8:$J$10,6,0)</f>
        <v>Durán</v>
      </c>
      <c r="G57" s="183">
        <f>+VLOOKUP(Tabla335[[#This Row],[CEDULA ]],'OCTUBRE 2025'!$C$8:$J$10,8,0)</f>
        <v>1022.2</v>
      </c>
      <c r="H57" s="374"/>
      <c r="I57" s="374"/>
      <c r="J57" s="375"/>
      <c r="K57" s="262">
        <f>+Tabla335[[#This Row],[BONO BOLETOS]]+Tabla335[[#This Row],[COM. POR CARGO]]+Tabla335[[#This Row],[BONO CUMP]]</f>
        <v>0</v>
      </c>
    </row>
    <row r="58" spans="2:19" ht="18.600000000000001" customHeight="1">
      <c r="B58" s="64"/>
      <c r="C58" s="589"/>
      <c r="D58" s="187"/>
      <c r="E58" s="69"/>
      <c r="F58" s="586"/>
      <c r="G58" s="70"/>
      <c r="H58" s="261"/>
      <c r="I58" s="261"/>
      <c r="J58" s="261">
        <v>0</v>
      </c>
      <c r="K58" s="262">
        <f>+Tabla335[[#This Row],[BONO BOLETOS]]+Tabla335[[#This Row],[COM. POR CARGO]]+Tabla335[[#This Row],[BONO CUMP]]</f>
        <v>0</v>
      </c>
    </row>
    <row r="59" spans="2:19" ht="21.6" customHeight="1">
      <c r="B59" s="71"/>
      <c r="C59" s="186"/>
      <c r="D59" s="72" t="s">
        <v>32</v>
      </c>
      <c r="E59" s="72"/>
      <c r="F59" s="584"/>
      <c r="G59" s="73" t="e">
        <f>SUBTOTAL(109,Tabla335[SUELDO])</f>
        <v>#N/A</v>
      </c>
      <c r="H59" s="75">
        <f>SUBTOTAL(109,Tabla335[BONO BOLETOS])</f>
        <v>0</v>
      </c>
      <c r="I59" s="75">
        <f>SUBTOTAL(109,Tabla335[COM. POR CARGO])</f>
        <v>0</v>
      </c>
      <c r="J59" s="75">
        <f>SUBTOTAL(109,Tabla335[BONO CUMP])</f>
        <v>737.54</v>
      </c>
      <c r="K59" s="75">
        <f>SUBTOTAL(109,Tabla335[US$,,])</f>
        <v>737.54</v>
      </c>
    </row>
    <row r="60" spans="2:19">
      <c r="N60" s="248"/>
      <c r="O60" s="248"/>
      <c r="P60" s="247"/>
      <c r="Q60" s="248"/>
      <c r="R60" s="248"/>
      <c r="S60" s="247"/>
    </row>
    <row r="61" spans="2:19">
      <c r="N61" s="251"/>
      <c r="O61" s="252"/>
      <c r="P61" s="251"/>
      <c r="Q61" s="253"/>
      <c r="R61" s="254"/>
      <c r="S61" s="113"/>
    </row>
    <row r="62" spans="2:19">
      <c r="N62" s="251"/>
      <c r="O62" s="252"/>
      <c r="P62" s="251"/>
      <c r="Q62" s="253"/>
      <c r="R62" s="254"/>
      <c r="S62" s="113"/>
    </row>
  </sheetData>
  <sheetProtection autoFilter="0"/>
  <mergeCells count="4">
    <mergeCell ref="B2:K2"/>
    <mergeCell ref="B3:K3"/>
    <mergeCell ref="H5:J5"/>
    <mergeCell ref="K5:K6"/>
  </mergeCells>
  <conditionalFormatting sqref="Q61:Q62">
    <cfRule type="cellIs" dxfId="3" priority="1" operator="between">
      <formula>80</formula>
      <formula>85</formula>
    </cfRule>
  </conditionalFormatting>
  <dataValidations count="1">
    <dataValidation type="list" allowBlank="1" showInputMessage="1" showErrorMessage="1" sqref="S61" xr:uid="{6A866B65-3C9A-40CF-ACD3-AE26CBF71085}">
      <formula1>$AG$6:$AG$32</formula1>
    </dataValidation>
  </dataValidations>
  <pageMargins left="0.65" right="0.25" top="0.4" bottom="0.75" header="0.52" footer="0.3"/>
  <pageSetup scale="58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AE99-E95E-44ED-99E5-6B1A6CB3334B}">
  <sheetPr codeName="Hoja6">
    <tabColor theme="5" tint="-0.249977111117893"/>
  </sheetPr>
  <dimension ref="B1:V62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C17" sqref="C17"/>
    </sheetView>
  </sheetViews>
  <sheetFormatPr baseColWidth="10" defaultRowHeight="14.4"/>
  <cols>
    <col min="1" max="1" width="2.88671875" customWidth="1"/>
    <col min="2" max="2" width="4.88671875" style="17" customWidth="1"/>
    <col min="3" max="3" width="12.88671875" style="587" customWidth="1"/>
    <col min="4" max="4" width="32.5546875" style="10" customWidth="1"/>
    <col min="5" max="5" width="24.44140625" customWidth="1"/>
    <col min="6" max="6" width="9" bestFit="1" customWidth="1"/>
    <col min="8" max="8" width="9.6640625" customWidth="1"/>
    <col min="9" max="9" width="11.33203125" customWidth="1"/>
    <col min="10" max="10" width="8.88671875" customWidth="1"/>
    <col min="11" max="11" width="9.88671875" customWidth="1"/>
    <col min="12" max="12" width="11.5546875" style="33"/>
    <col min="13" max="13" width="6.109375" customWidth="1"/>
    <col min="15" max="15" width="14.5546875" customWidth="1"/>
    <col min="16" max="16" width="35.109375" customWidth="1"/>
    <col min="17" max="17" width="17.5546875" customWidth="1"/>
    <col min="22" max="22" width="27.33203125" customWidth="1"/>
  </cols>
  <sheetData>
    <row r="1" spans="2:13" ht="10.5" customHeight="1"/>
    <row r="2" spans="2:13" ht="15.75" customHeight="1">
      <c r="B2" s="867" t="s">
        <v>251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</row>
    <row r="3" spans="2:13" ht="15" customHeight="1">
      <c r="B3" s="868" t="s">
        <v>428</v>
      </c>
      <c r="C3" s="868"/>
      <c r="D3" s="868"/>
      <c r="E3" s="868"/>
      <c r="F3" s="868"/>
      <c r="G3" s="868"/>
      <c r="H3" s="868"/>
      <c r="I3" s="868"/>
      <c r="J3" s="868"/>
      <c r="K3" s="868"/>
      <c r="L3" s="868"/>
    </row>
    <row r="4" spans="2:13" ht="7.5" customHeight="1" thickBot="1"/>
    <row r="5" spans="2:13" ht="18" customHeight="1" thickTop="1" thickBot="1">
      <c r="D5" s="54"/>
      <c r="E5" s="54"/>
      <c r="F5" s="239"/>
      <c r="G5" s="54"/>
      <c r="H5" s="869" t="s">
        <v>232</v>
      </c>
      <c r="I5" s="871"/>
      <c r="J5" s="869" t="s">
        <v>87</v>
      </c>
      <c r="K5" s="871"/>
      <c r="L5" s="872" t="s">
        <v>235</v>
      </c>
      <c r="M5" s="51"/>
    </row>
    <row r="6" spans="2:13" ht="13.5" customHeight="1" thickTop="1" thickBot="1">
      <c r="C6" s="588"/>
      <c r="D6" s="54"/>
      <c r="E6" s="54"/>
      <c r="F6" s="239"/>
      <c r="G6" s="54"/>
      <c r="H6" s="55" t="s">
        <v>233</v>
      </c>
      <c r="I6" s="56" t="s">
        <v>234</v>
      </c>
      <c r="J6" s="315">
        <v>5</v>
      </c>
      <c r="K6" s="316">
        <v>10</v>
      </c>
      <c r="L6" s="873"/>
    </row>
    <row r="7" spans="2:13" ht="19.95" customHeight="1" thickTop="1">
      <c r="B7" s="57" t="s">
        <v>124</v>
      </c>
      <c r="C7" s="357" t="s">
        <v>125</v>
      </c>
      <c r="D7" s="182" t="s">
        <v>2</v>
      </c>
      <c r="E7" s="58" t="s">
        <v>103</v>
      </c>
      <c r="F7" s="240" t="s">
        <v>126</v>
      </c>
      <c r="G7" s="59" t="s">
        <v>116</v>
      </c>
      <c r="H7" s="60" t="s">
        <v>127</v>
      </c>
      <c r="I7" s="61" t="s">
        <v>128</v>
      </c>
      <c r="J7" s="62" t="s">
        <v>129</v>
      </c>
      <c r="K7" s="63" t="s">
        <v>199</v>
      </c>
      <c r="L7" s="63" t="s">
        <v>200</v>
      </c>
    </row>
    <row r="8" spans="2:13" ht="18.600000000000001" customHeight="1">
      <c r="B8" s="230">
        <v>1</v>
      </c>
      <c r="C8" s="357">
        <v>925813685</v>
      </c>
      <c r="D8" s="182" t="e">
        <f>+VLOOKUP(Tabla33[[#This Row],[CEDULA ]],'OCTUBRE 2025'!$C$8:$J$10,2,0)</f>
        <v>#N/A</v>
      </c>
      <c r="E8" s="182" t="e">
        <f>+VLOOKUP(Tabla33[[#This Row],[CEDULA ]],'OCTUBRE 2025'!$C$8:$J$10,4,0)</f>
        <v>#N/A</v>
      </c>
      <c r="F8" s="182" t="e">
        <f>+VLOOKUP(Tabla33[[#This Row],[CEDULA ]],'OCTUBRE 2025'!$C$8:$J$10,6,0)</f>
        <v>#N/A</v>
      </c>
      <c r="G8" s="637" t="e">
        <f>+VLOOKUP(Tabla33[[#This Row],[CEDULA ]],'OCTUBRE 2025'!$C$8:$J$10,8,0)</f>
        <v>#N/A</v>
      </c>
      <c r="H8" s="318"/>
      <c r="I8" s="317"/>
      <c r="J8" s="65">
        <f>+Tabla33[[#This Row],[Cantidad]]*$J$6</f>
        <v>0</v>
      </c>
      <c r="K8" s="65">
        <f>+Tabla33[[#This Row],[Cantidad2]]*$K$6</f>
        <v>0</v>
      </c>
      <c r="L8" s="262">
        <f>+Tabla33[[#This Row],[US$]]+Tabla33[[#This Row],[US$,]]</f>
        <v>0</v>
      </c>
    </row>
    <row r="9" spans="2:13" ht="18.600000000000001" customHeight="1">
      <c r="B9" s="230">
        <v>2</v>
      </c>
      <c r="C9" s="357">
        <v>944405737</v>
      </c>
      <c r="D9" s="182" t="e">
        <f>+VLOOKUP(Tabla33[[#This Row],[CEDULA ]],'OCTUBRE 2025'!$C$8:$J$10,2,0)</f>
        <v>#N/A</v>
      </c>
      <c r="E9" s="182" t="e">
        <f>+VLOOKUP(Tabla33[[#This Row],[CEDULA ]],'OCTUBRE 2025'!$C$8:$J$10,4,0)</f>
        <v>#N/A</v>
      </c>
      <c r="F9" s="182" t="e">
        <f>+VLOOKUP(Tabla33[[#This Row],[CEDULA ]],'OCTUBRE 2025'!$C$8:$J$10,6,0)</f>
        <v>#N/A</v>
      </c>
      <c r="G9" s="637" t="e">
        <f>+VLOOKUP(Tabla33[[#This Row],[CEDULA ]],'OCTUBRE 2025'!$C$8:$J$10,8,0)</f>
        <v>#N/A</v>
      </c>
      <c r="H9" s="318"/>
      <c r="I9" s="317"/>
      <c r="J9" s="65">
        <f>+Tabla33[[#This Row],[Cantidad]]*$J$6</f>
        <v>0</v>
      </c>
      <c r="K9" s="65">
        <f>+Tabla33[[#This Row],[Cantidad2]]*$K$6</f>
        <v>0</v>
      </c>
      <c r="L9" s="262">
        <f>+Tabla33[[#This Row],[US$]]+Tabla33[[#This Row],[US$,]]</f>
        <v>0</v>
      </c>
    </row>
    <row r="10" spans="2:13" ht="18.600000000000001" customHeight="1">
      <c r="B10" s="230">
        <v>3</v>
      </c>
      <c r="C10" s="357">
        <v>604394502</v>
      </c>
      <c r="D10" s="182" t="e">
        <f>+VLOOKUP(Tabla33[[#This Row],[CEDULA ]],'OCTUBRE 2025'!$C$8:$J$10,2,0)</f>
        <v>#N/A</v>
      </c>
      <c r="E10" s="182" t="e">
        <f>+VLOOKUP(Tabla33[[#This Row],[CEDULA ]],'OCTUBRE 2025'!$C$8:$J$10,4,0)</f>
        <v>#N/A</v>
      </c>
      <c r="F10" s="182" t="e">
        <f>+VLOOKUP(Tabla33[[#This Row],[CEDULA ]],'OCTUBRE 2025'!$C$8:$J$10,6,0)</f>
        <v>#N/A</v>
      </c>
      <c r="G10" s="637" t="e">
        <f>+VLOOKUP(Tabla33[[#This Row],[CEDULA ]],'OCTUBRE 2025'!$C$8:$J$10,8,0)</f>
        <v>#N/A</v>
      </c>
      <c r="H10" s="318"/>
      <c r="I10" s="317"/>
      <c r="J10" s="65">
        <f>+Tabla33[[#This Row],[Cantidad]]*$J$6</f>
        <v>0</v>
      </c>
      <c r="K10" s="65">
        <f>+Tabla33[[#This Row],[Cantidad2]]*$K$6</f>
        <v>0</v>
      </c>
      <c r="L10" s="262">
        <f>+Tabla33[[#This Row],[US$]]+Tabla33[[#This Row],[US$,]]</f>
        <v>0</v>
      </c>
    </row>
    <row r="11" spans="2:13" ht="18.600000000000001" customHeight="1">
      <c r="B11" s="230">
        <v>4</v>
      </c>
      <c r="C11" s="357">
        <v>955741970</v>
      </c>
      <c r="D11" s="182" t="e">
        <f>+VLOOKUP(Tabla33[[#This Row],[CEDULA ]],'OCTUBRE 2025'!$C$8:$J$10,2,0)</f>
        <v>#N/A</v>
      </c>
      <c r="E11" s="182" t="e">
        <f>+VLOOKUP(Tabla33[[#This Row],[CEDULA ]],'OCTUBRE 2025'!$C$8:$J$10,4,0)</f>
        <v>#N/A</v>
      </c>
      <c r="F11" s="182" t="e">
        <f>+VLOOKUP(Tabla33[[#This Row],[CEDULA ]],'OCTUBRE 2025'!$C$8:$J$10,6,0)</f>
        <v>#N/A</v>
      </c>
      <c r="G11" s="637" t="e">
        <f>+VLOOKUP(Tabla33[[#This Row],[CEDULA ]],'OCTUBRE 2025'!$C$8:$J$10,8,0)</f>
        <v>#N/A</v>
      </c>
      <c r="H11" s="318"/>
      <c r="I11" s="317"/>
      <c r="J11" s="65">
        <f>+Tabla33[[#This Row],[Cantidad]]*$J$6</f>
        <v>0</v>
      </c>
      <c r="K11" s="65">
        <f>+Tabla33[[#This Row],[Cantidad2]]*$K$6</f>
        <v>0</v>
      </c>
      <c r="L11" s="262">
        <f>+Tabla33[[#This Row],[US$]]+Tabla33[[#This Row],[US$,]]</f>
        <v>0</v>
      </c>
    </row>
    <row r="12" spans="2:13" ht="18.600000000000001" customHeight="1">
      <c r="B12" s="230">
        <v>5</v>
      </c>
      <c r="C12" s="357" t="s">
        <v>467</v>
      </c>
      <c r="D12" s="182" t="e">
        <f>+VLOOKUP(Tabla33[[#This Row],[CEDULA ]],'OCTUBRE 2025'!$C$8:$J$10,2,0)</f>
        <v>#N/A</v>
      </c>
      <c r="E12" s="182" t="e">
        <f>+VLOOKUP(Tabla33[[#This Row],[CEDULA ]],'OCTUBRE 2025'!$C$8:$J$10,4,0)</f>
        <v>#N/A</v>
      </c>
      <c r="F12" s="182" t="e">
        <f>+VLOOKUP(Tabla33[[#This Row],[CEDULA ]],'OCTUBRE 2025'!$C$8:$J$10,6,0)</f>
        <v>#N/A</v>
      </c>
      <c r="G12" s="637" t="e">
        <f>+VLOOKUP(Tabla33[[#This Row],[CEDULA ]],'OCTUBRE 2025'!$C$8:$J$10,8,0)</f>
        <v>#N/A</v>
      </c>
      <c r="H12" s="318"/>
      <c r="I12" s="317"/>
      <c r="J12" s="65">
        <f>+Tabla33[[#This Row],[Cantidad]]*$J$6</f>
        <v>0</v>
      </c>
      <c r="K12" s="65">
        <f>+Tabla33[[#This Row],[Cantidad2]]*$K$6</f>
        <v>0</v>
      </c>
      <c r="L12" s="262">
        <f>+Tabla33[[#This Row],[US$]]+Tabla33[[#This Row],[US$,]]</f>
        <v>0</v>
      </c>
    </row>
    <row r="13" spans="2:13" ht="18.600000000000001" customHeight="1">
      <c r="B13" s="230">
        <v>6</v>
      </c>
      <c r="C13" s="357">
        <v>944143148</v>
      </c>
      <c r="D13" s="182" t="e">
        <f>+VLOOKUP(Tabla33[[#This Row],[CEDULA ]],'OCTUBRE 2025'!$C$8:$J$10,2,0)</f>
        <v>#N/A</v>
      </c>
      <c r="E13" s="182" t="e">
        <f>+VLOOKUP(Tabla33[[#This Row],[CEDULA ]],'OCTUBRE 2025'!$C$8:$J$10,4,0)</f>
        <v>#N/A</v>
      </c>
      <c r="F13" s="182" t="e">
        <f>+VLOOKUP(Tabla33[[#This Row],[CEDULA ]],'OCTUBRE 2025'!$C$8:$J$10,6,0)</f>
        <v>#N/A</v>
      </c>
      <c r="G13" s="637" t="e">
        <f>+VLOOKUP(Tabla33[[#This Row],[CEDULA ]],'OCTUBRE 2025'!$C$8:$J$10,8,0)</f>
        <v>#N/A</v>
      </c>
      <c r="H13" s="318"/>
      <c r="I13" s="317"/>
      <c r="J13" s="65">
        <f>+Tabla33[[#This Row],[Cantidad]]*$J$6</f>
        <v>0</v>
      </c>
      <c r="K13" s="65">
        <f>+Tabla33[[#This Row],[Cantidad2]]*$K$6</f>
        <v>0</v>
      </c>
      <c r="L13" s="262">
        <f>+Tabla33[[#This Row],[US$]]+Tabla33[[#This Row],[US$,]]</f>
        <v>0</v>
      </c>
    </row>
    <row r="14" spans="2:13" ht="18.600000000000001" customHeight="1">
      <c r="B14" s="230">
        <v>7</v>
      </c>
      <c r="C14" s="357">
        <v>955325238</v>
      </c>
      <c r="D14" s="182" t="e">
        <f>+VLOOKUP(Tabla33[[#This Row],[CEDULA ]],'OCTUBRE 2025'!$C$8:$J$10,2,0)</f>
        <v>#N/A</v>
      </c>
      <c r="E14" s="182" t="e">
        <f>+VLOOKUP(Tabla33[[#This Row],[CEDULA ]],'OCTUBRE 2025'!$C$8:$J$10,4,0)</f>
        <v>#N/A</v>
      </c>
      <c r="F14" s="182" t="e">
        <f>+VLOOKUP(Tabla33[[#This Row],[CEDULA ]],'OCTUBRE 2025'!$C$8:$J$10,6,0)</f>
        <v>#N/A</v>
      </c>
      <c r="G14" s="637" t="e">
        <f>+VLOOKUP(Tabla33[[#This Row],[CEDULA ]],'OCTUBRE 2025'!$C$8:$J$10,8,0)</f>
        <v>#N/A</v>
      </c>
      <c r="H14" s="318"/>
      <c r="I14" s="317"/>
      <c r="J14" s="65">
        <f>+Tabla33[[#This Row],[Cantidad]]*$J$6</f>
        <v>0</v>
      </c>
      <c r="K14" s="65">
        <f>+Tabla33[[#This Row],[Cantidad2]]*$K$6</f>
        <v>0</v>
      </c>
      <c r="L14" s="262">
        <f>+Tabla33[[#This Row],[US$]]+Tabla33[[#This Row],[US$,]]</f>
        <v>0</v>
      </c>
    </row>
    <row r="15" spans="2:13" ht="18.600000000000001" customHeight="1">
      <c r="B15" s="230">
        <v>8</v>
      </c>
      <c r="C15" s="357">
        <v>914163654</v>
      </c>
      <c r="D15" s="182" t="e">
        <f>+VLOOKUP(Tabla33[[#This Row],[CEDULA ]],'OCTUBRE 2025'!$C$8:$J$10,2,0)</f>
        <v>#N/A</v>
      </c>
      <c r="E15" s="182" t="e">
        <f>+VLOOKUP(Tabla33[[#This Row],[CEDULA ]],'OCTUBRE 2025'!$C$8:$J$10,4,0)</f>
        <v>#N/A</v>
      </c>
      <c r="F15" s="182" t="e">
        <f>+VLOOKUP(Tabla33[[#This Row],[CEDULA ]],'OCTUBRE 2025'!$C$8:$J$10,6,0)</f>
        <v>#N/A</v>
      </c>
      <c r="G15" s="637" t="e">
        <f>+VLOOKUP(Tabla33[[#This Row],[CEDULA ]],'OCTUBRE 2025'!$C$8:$J$10,8,0)</f>
        <v>#N/A</v>
      </c>
      <c r="H15" s="318"/>
      <c r="I15" s="317"/>
      <c r="J15" s="65">
        <f>+Tabla33[[#This Row],[Cantidad]]*$J$6</f>
        <v>0</v>
      </c>
      <c r="K15" s="65">
        <f>+Tabla33[[#This Row],[Cantidad2]]*$K$6</f>
        <v>0</v>
      </c>
      <c r="L15" s="262">
        <f>+Tabla33[[#This Row],[US$]]+Tabla33[[#This Row],[US$,]]</f>
        <v>0</v>
      </c>
    </row>
    <row r="16" spans="2:13" ht="18.600000000000001" customHeight="1">
      <c r="B16" s="230">
        <v>9</v>
      </c>
      <c r="C16" s="357">
        <v>956668305</v>
      </c>
      <c r="D16" s="182" t="e">
        <f>+VLOOKUP(Tabla33[[#This Row],[CEDULA ]],'OCTUBRE 2025'!$C$8:$J$10,2,0)</f>
        <v>#N/A</v>
      </c>
      <c r="E16" s="182" t="e">
        <f>+VLOOKUP(Tabla33[[#This Row],[CEDULA ]],'OCTUBRE 2025'!$C$8:$J$10,4,0)</f>
        <v>#N/A</v>
      </c>
      <c r="F16" s="182" t="e">
        <f>+VLOOKUP(Tabla33[[#This Row],[CEDULA ]],'OCTUBRE 2025'!$C$8:$J$10,6,0)</f>
        <v>#N/A</v>
      </c>
      <c r="G16" s="637" t="e">
        <f>+VLOOKUP(Tabla33[[#This Row],[CEDULA ]],'OCTUBRE 2025'!$C$8:$J$10,8,0)</f>
        <v>#N/A</v>
      </c>
      <c r="H16" s="318"/>
      <c r="I16" s="317"/>
      <c r="J16" s="65">
        <f>+Tabla33[[#This Row],[Cantidad]]*$J$6</f>
        <v>0</v>
      </c>
      <c r="K16" s="65">
        <f>+Tabla33[[#This Row],[Cantidad2]]*$K$6</f>
        <v>0</v>
      </c>
      <c r="L16" s="262">
        <f>+Tabla33[[#This Row],[US$]]+Tabla33[[#This Row],[US$,]]</f>
        <v>0</v>
      </c>
    </row>
    <row r="17" spans="2:12" ht="18.600000000000001" customHeight="1">
      <c r="B17" s="230">
        <v>10</v>
      </c>
      <c r="C17" s="357" t="s">
        <v>470</v>
      </c>
      <c r="D17" s="182" t="e">
        <f>+VLOOKUP(Tabla33[[#This Row],[CEDULA ]],'OCTUBRE 2025'!$C$8:$J$10,2,0)</f>
        <v>#N/A</v>
      </c>
      <c r="E17" s="182" t="e">
        <f>+VLOOKUP(Tabla33[[#This Row],[CEDULA ]],'OCTUBRE 2025'!$C$8:$J$10,4,0)</f>
        <v>#N/A</v>
      </c>
      <c r="F17" s="182" t="e">
        <f>+VLOOKUP(Tabla33[[#This Row],[CEDULA ]],'OCTUBRE 2025'!$C$8:$J$10,6,0)</f>
        <v>#N/A</v>
      </c>
      <c r="G17" s="637" t="e">
        <f>+VLOOKUP(Tabla33[[#This Row],[CEDULA ]],'OCTUBRE 2025'!$C$8:$J$10,8,0)</f>
        <v>#N/A</v>
      </c>
      <c r="H17" s="318"/>
      <c r="I17" s="317"/>
      <c r="J17" s="65">
        <f>+Tabla33[[#This Row],[Cantidad]]*$J$6</f>
        <v>0</v>
      </c>
      <c r="K17" s="65">
        <f>+Tabla33[[#This Row],[Cantidad2]]*$K$6</f>
        <v>0</v>
      </c>
      <c r="L17" s="262">
        <f>+Tabla33[[#This Row],[US$]]+Tabla33[[#This Row],[US$,]]</f>
        <v>0</v>
      </c>
    </row>
    <row r="18" spans="2:12" ht="18.600000000000001" customHeight="1">
      <c r="B18" s="230">
        <v>11</v>
      </c>
      <c r="C18" s="357">
        <v>931097620</v>
      </c>
      <c r="D18" s="182" t="e">
        <f>+VLOOKUP(Tabla33[[#This Row],[CEDULA ]],'OCTUBRE 2025'!$C$8:$J$10,2,0)</f>
        <v>#N/A</v>
      </c>
      <c r="E18" s="182" t="e">
        <f>+VLOOKUP(Tabla33[[#This Row],[CEDULA ]],'OCTUBRE 2025'!$C$8:$J$10,4,0)</f>
        <v>#N/A</v>
      </c>
      <c r="F18" s="182" t="e">
        <f>+VLOOKUP(Tabla33[[#This Row],[CEDULA ]],'OCTUBRE 2025'!$C$8:$J$10,6,0)</f>
        <v>#N/A</v>
      </c>
      <c r="G18" s="637" t="e">
        <f>+VLOOKUP(Tabla33[[#This Row],[CEDULA ]],'OCTUBRE 2025'!$C$8:$J$10,8,0)</f>
        <v>#N/A</v>
      </c>
      <c r="H18" s="318"/>
      <c r="I18" s="317"/>
      <c r="J18" s="65">
        <f>+Tabla33[[#This Row],[Cantidad]]*$J$6</f>
        <v>0</v>
      </c>
      <c r="K18" s="65">
        <f>+Tabla33[[#This Row],[Cantidad2]]*$K$6</f>
        <v>0</v>
      </c>
      <c r="L18" s="262">
        <f>+Tabla33[[#This Row],[US$]]+Tabla33[[#This Row],[US$,]]</f>
        <v>0</v>
      </c>
    </row>
    <row r="19" spans="2:12" ht="18.600000000000001" customHeight="1">
      <c r="B19" s="230">
        <v>12</v>
      </c>
      <c r="C19" s="357">
        <v>1105483422</v>
      </c>
      <c r="D19" s="182" t="e">
        <f>+VLOOKUP(Tabla33[[#This Row],[CEDULA ]],'OCTUBRE 2025'!$C$8:$J$10,2,0)</f>
        <v>#N/A</v>
      </c>
      <c r="E19" s="182" t="e">
        <f>+VLOOKUP(Tabla33[[#This Row],[CEDULA ]],'OCTUBRE 2025'!$C$8:$J$10,4,0)</f>
        <v>#N/A</v>
      </c>
      <c r="F19" s="182" t="e">
        <f>+VLOOKUP(Tabla33[[#This Row],[CEDULA ]],'OCTUBRE 2025'!$C$8:$J$10,6,0)</f>
        <v>#N/A</v>
      </c>
      <c r="G19" s="637" t="e">
        <f>+VLOOKUP(Tabla33[[#This Row],[CEDULA ]],'OCTUBRE 2025'!$C$8:$J$10,8,0)</f>
        <v>#N/A</v>
      </c>
      <c r="H19" s="318"/>
      <c r="I19" s="317"/>
      <c r="J19" s="65">
        <f>+Tabla33[[#This Row],[Cantidad]]*$J$6</f>
        <v>0</v>
      </c>
      <c r="K19" s="65">
        <f>+Tabla33[[#This Row],[Cantidad2]]*$K$6</f>
        <v>0</v>
      </c>
      <c r="L19" s="262">
        <f>+Tabla33[[#This Row],[US$]]+Tabla33[[#This Row],[US$,]]</f>
        <v>0</v>
      </c>
    </row>
    <row r="20" spans="2:12" ht="18.600000000000001" customHeight="1">
      <c r="B20" s="230">
        <v>13</v>
      </c>
      <c r="C20" s="357">
        <v>942614645</v>
      </c>
      <c r="D20" s="182" t="e">
        <f>+VLOOKUP(Tabla33[[#This Row],[CEDULA ]],'OCTUBRE 2025'!$C$8:$J$10,2,0)</f>
        <v>#N/A</v>
      </c>
      <c r="E20" s="182" t="e">
        <f>+VLOOKUP(Tabla33[[#This Row],[CEDULA ]],'OCTUBRE 2025'!$C$8:$J$10,4,0)</f>
        <v>#N/A</v>
      </c>
      <c r="F20" s="182" t="e">
        <f>+VLOOKUP(Tabla33[[#This Row],[CEDULA ]],'OCTUBRE 2025'!$C$8:$J$10,6,0)</f>
        <v>#N/A</v>
      </c>
      <c r="G20" s="637" t="e">
        <f>+VLOOKUP(Tabla33[[#This Row],[CEDULA ]],'OCTUBRE 2025'!$C$8:$J$10,8,0)</f>
        <v>#N/A</v>
      </c>
      <c r="H20" s="318"/>
      <c r="I20" s="317"/>
      <c r="J20" s="65">
        <f>+Tabla33[[#This Row],[Cantidad]]*$J$6</f>
        <v>0</v>
      </c>
      <c r="K20" s="65">
        <f>+Tabla33[[#This Row],[Cantidad2]]*$K$6</f>
        <v>0</v>
      </c>
      <c r="L20" s="262">
        <f>+Tabla33[[#This Row],[US$]]+Tabla33[[#This Row],[US$,]]</f>
        <v>0</v>
      </c>
    </row>
    <row r="21" spans="2:12" ht="18.600000000000001" customHeight="1">
      <c r="B21" s="230">
        <v>14</v>
      </c>
      <c r="C21" s="357">
        <v>951200062</v>
      </c>
      <c r="D21" s="182" t="e">
        <f>+VLOOKUP(Tabla33[[#This Row],[CEDULA ]],'OCTUBRE 2025'!$C$8:$J$10,2,0)</f>
        <v>#N/A</v>
      </c>
      <c r="E21" s="182" t="e">
        <f>+VLOOKUP(Tabla33[[#This Row],[CEDULA ]],'OCTUBRE 2025'!$C$8:$J$10,4,0)</f>
        <v>#N/A</v>
      </c>
      <c r="F21" s="182" t="e">
        <f>+VLOOKUP(Tabla33[[#This Row],[CEDULA ]],'OCTUBRE 2025'!$C$8:$J$10,6,0)</f>
        <v>#N/A</v>
      </c>
      <c r="G21" s="637" t="e">
        <f>+VLOOKUP(Tabla33[[#This Row],[CEDULA ]],'OCTUBRE 2025'!$C$8:$J$10,8,0)</f>
        <v>#N/A</v>
      </c>
      <c r="H21" s="318"/>
      <c r="I21" s="317"/>
      <c r="J21" s="65">
        <f>+Tabla33[[#This Row],[Cantidad]]*$J$6</f>
        <v>0</v>
      </c>
      <c r="K21" s="65">
        <f>+Tabla33[[#This Row],[Cantidad2]]*$K$6</f>
        <v>0</v>
      </c>
      <c r="L21" s="262">
        <f>+Tabla33[[#This Row],[US$]]+Tabla33[[#This Row],[US$,]]</f>
        <v>0</v>
      </c>
    </row>
    <row r="22" spans="2:12" ht="18.600000000000001" customHeight="1">
      <c r="B22" s="230">
        <v>15</v>
      </c>
      <c r="C22" s="357">
        <v>950929232</v>
      </c>
      <c r="D22" s="182" t="e">
        <f>+VLOOKUP(Tabla33[[#This Row],[CEDULA ]],'OCTUBRE 2025'!$C$8:$J$10,2,0)</f>
        <v>#N/A</v>
      </c>
      <c r="E22" s="182" t="e">
        <f>+VLOOKUP(Tabla33[[#This Row],[CEDULA ]],'OCTUBRE 2025'!$C$8:$J$10,4,0)</f>
        <v>#N/A</v>
      </c>
      <c r="F22" s="182" t="e">
        <f>+VLOOKUP(Tabla33[[#This Row],[CEDULA ]],'OCTUBRE 2025'!$C$8:$J$10,6,0)</f>
        <v>#N/A</v>
      </c>
      <c r="G22" s="637" t="e">
        <f>+VLOOKUP(Tabla33[[#This Row],[CEDULA ]],'OCTUBRE 2025'!$C$8:$J$10,8,0)</f>
        <v>#N/A</v>
      </c>
      <c r="H22" s="318"/>
      <c r="I22" s="317"/>
      <c r="J22" s="65">
        <f>+Tabla33[[#This Row],[Cantidad]]*$J$6</f>
        <v>0</v>
      </c>
      <c r="K22" s="65">
        <f>+Tabla33[[#This Row],[Cantidad2]]*$K$6</f>
        <v>0</v>
      </c>
      <c r="L22" s="262">
        <f>+Tabla33[[#This Row],[US$]]+Tabla33[[#This Row],[US$,]]</f>
        <v>0</v>
      </c>
    </row>
    <row r="23" spans="2:12" ht="18.600000000000001" customHeight="1">
      <c r="B23" s="230">
        <v>16</v>
      </c>
      <c r="C23" s="357">
        <v>953819646</v>
      </c>
      <c r="D23" s="182" t="e">
        <f>+VLOOKUP(Tabla33[[#This Row],[CEDULA ]],'OCTUBRE 2025'!$C$8:$J$10,2,0)</f>
        <v>#N/A</v>
      </c>
      <c r="E23" s="182" t="e">
        <f>+VLOOKUP(Tabla33[[#This Row],[CEDULA ]],'OCTUBRE 2025'!$C$8:$J$10,4,0)</f>
        <v>#N/A</v>
      </c>
      <c r="F23" s="182" t="e">
        <f>+VLOOKUP(Tabla33[[#This Row],[CEDULA ]],'OCTUBRE 2025'!$C$8:$J$10,6,0)</f>
        <v>#N/A</v>
      </c>
      <c r="G23" s="637" t="e">
        <f>+VLOOKUP(Tabla33[[#This Row],[CEDULA ]],'OCTUBRE 2025'!$C$8:$J$10,8,0)</f>
        <v>#N/A</v>
      </c>
      <c r="H23" s="318"/>
      <c r="I23" s="317"/>
      <c r="J23" s="65">
        <f>+Tabla33[[#This Row],[Cantidad]]*$J$6</f>
        <v>0</v>
      </c>
      <c r="K23" s="65">
        <f>+Tabla33[[#This Row],[Cantidad2]]*$K$6</f>
        <v>0</v>
      </c>
      <c r="L23" s="262">
        <f>+Tabla33[[#This Row],[US$]]+Tabla33[[#This Row],[US$,]]</f>
        <v>0</v>
      </c>
    </row>
    <row r="24" spans="2:12" ht="18.600000000000001" customHeight="1">
      <c r="B24" s="230">
        <v>17</v>
      </c>
      <c r="C24" s="357">
        <v>956953392</v>
      </c>
      <c r="D24" s="182" t="e">
        <f>+VLOOKUP(Tabla33[[#This Row],[CEDULA ]],'OCTUBRE 2025'!$C$8:$J$10,2,0)</f>
        <v>#N/A</v>
      </c>
      <c r="E24" s="182" t="e">
        <f>+VLOOKUP(Tabla33[[#This Row],[CEDULA ]],'OCTUBRE 2025'!$C$8:$J$10,4,0)</f>
        <v>#N/A</v>
      </c>
      <c r="F24" s="182" t="e">
        <f>+VLOOKUP(Tabla33[[#This Row],[CEDULA ]],'OCTUBRE 2025'!$C$8:$J$10,6,0)</f>
        <v>#N/A</v>
      </c>
      <c r="G24" s="637" t="e">
        <f>+VLOOKUP(Tabla33[[#This Row],[CEDULA ]],'OCTUBRE 2025'!$C$8:$J$10,8,0)</f>
        <v>#N/A</v>
      </c>
      <c r="H24" s="318"/>
      <c r="I24" s="317"/>
      <c r="J24" s="65">
        <f>+Tabla33[[#This Row],[Cantidad]]*$J$6</f>
        <v>0</v>
      </c>
      <c r="K24" s="65">
        <f>+Tabla33[[#This Row],[Cantidad2]]*$K$6</f>
        <v>0</v>
      </c>
      <c r="L24" s="262">
        <f>+Tabla33[[#This Row],[US$]]+Tabla33[[#This Row],[US$,]]</f>
        <v>0</v>
      </c>
    </row>
    <row r="25" spans="2:12" ht="18.600000000000001" customHeight="1">
      <c r="B25" s="230">
        <v>18</v>
      </c>
      <c r="C25" s="357">
        <v>956796767</v>
      </c>
      <c r="D25" s="182" t="e">
        <f>+VLOOKUP(Tabla33[[#This Row],[CEDULA ]],'OCTUBRE 2025'!$C$8:$J$10,2,0)</f>
        <v>#N/A</v>
      </c>
      <c r="E25" s="182" t="e">
        <f>+VLOOKUP(Tabla33[[#This Row],[CEDULA ]],'OCTUBRE 2025'!$C$8:$J$10,4,0)</f>
        <v>#N/A</v>
      </c>
      <c r="F25" s="182" t="e">
        <f>+VLOOKUP(Tabla33[[#This Row],[CEDULA ]],'OCTUBRE 2025'!$C$8:$J$10,6,0)</f>
        <v>#N/A</v>
      </c>
      <c r="G25" s="637" t="e">
        <f>+VLOOKUP(Tabla33[[#This Row],[CEDULA ]],'OCTUBRE 2025'!$C$8:$J$10,8,0)</f>
        <v>#N/A</v>
      </c>
      <c r="H25" s="318"/>
      <c r="I25" s="317"/>
      <c r="J25" s="65">
        <f>+Tabla33[[#This Row],[Cantidad]]*$J$6</f>
        <v>0</v>
      </c>
      <c r="K25" s="65">
        <f>+Tabla33[[#This Row],[Cantidad2]]*$K$6</f>
        <v>0</v>
      </c>
      <c r="L25" s="262">
        <f>+Tabla33[[#This Row],[US$]]+Tabla33[[#This Row],[US$,]]</f>
        <v>0</v>
      </c>
    </row>
    <row r="26" spans="2:12" ht="18.600000000000001" customHeight="1">
      <c r="B26" s="230">
        <v>19</v>
      </c>
      <c r="C26" s="357" t="s">
        <v>417</v>
      </c>
      <c r="D26" s="182" t="e">
        <f>+VLOOKUP(Tabla33[[#This Row],[CEDULA ]],'OCTUBRE 2025'!$C$8:$J$10,2,0)</f>
        <v>#N/A</v>
      </c>
      <c r="E26" s="182" t="e">
        <f>+VLOOKUP(Tabla33[[#This Row],[CEDULA ]],'OCTUBRE 2025'!$C$8:$J$10,4,0)</f>
        <v>#N/A</v>
      </c>
      <c r="F26" s="182" t="e">
        <f>+VLOOKUP(Tabla33[[#This Row],[CEDULA ]],'OCTUBRE 2025'!$C$8:$J$10,6,0)</f>
        <v>#N/A</v>
      </c>
      <c r="G26" s="637" t="e">
        <f>+VLOOKUP(Tabla33[[#This Row],[CEDULA ]],'OCTUBRE 2025'!$C$8:$J$10,8,0)</f>
        <v>#N/A</v>
      </c>
      <c r="H26" s="318"/>
      <c r="I26" s="317"/>
      <c r="J26" s="65">
        <f>+Tabla33[[#This Row],[Cantidad]]*$J$6</f>
        <v>0</v>
      </c>
      <c r="K26" s="65">
        <f>+Tabla33[[#This Row],[Cantidad2]]*$K$6</f>
        <v>0</v>
      </c>
      <c r="L26" s="262">
        <f>+Tabla33[[#This Row],[US$]]+Tabla33[[#This Row],[US$,]]</f>
        <v>0</v>
      </c>
    </row>
    <row r="27" spans="2:12" ht="18.600000000000001" customHeight="1">
      <c r="B27" s="230">
        <v>20</v>
      </c>
      <c r="C27" s="357">
        <v>1724102940</v>
      </c>
      <c r="D27" s="182" t="e">
        <f>+VLOOKUP(Tabla33[[#This Row],[CEDULA ]],'OCTUBRE 2025'!$C$8:$J$10,2,0)</f>
        <v>#N/A</v>
      </c>
      <c r="E27" s="182" t="e">
        <f>+VLOOKUP(Tabla33[[#This Row],[CEDULA ]],'OCTUBRE 2025'!$C$8:$J$10,4,0)</f>
        <v>#N/A</v>
      </c>
      <c r="F27" s="182" t="e">
        <f>+VLOOKUP(Tabla33[[#This Row],[CEDULA ]],'OCTUBRE 2025'!$C$8:$J$10,6,0)</f>
        <v>#N/A</v>
      </c>
      <c r="G27" s="637" t="e">
        <f>+VLOOKUP(Tabla33[[#This Row],[CEDULA ]],'OCTUBRE 2025'!$C$8:$J$10,8,0)</f>
        <v>#N/A</v>
      </c>
      <c r="H27" s="318"/>
      <c r="I27" s="317"/>
      <c r="J27" s="65">
        <f>+Tabla33[[#This Row],[Cantidad]]*$J$6</f>
        <v>0</v>
      </c>
      <c r="K27" s="65">
        <f>+Tabla33[[#This Row],[Cantidad2]]*$K$6</f>
        <v>0</v>
      </c>
      <c r="L27" s="262">
        <f>+Tabla33[[#This Row],[US$]]+Tabla33[[#This Row],[US$,]]</f>
        <v>0</v>
      </c>
    </row>
    <row r="28" spans="2:12" ht="18.600000000000001" customHeight="1">
      <c r="B28" s="230">
        <v>21</v>
      </c>
      <c r="C28" s="357">
        <v>943322974</v>
      </c>
      <c r="D28" s="182" t="e">
        <f>+VLOOKUP(Tabla33[[#This Row],[CEDULA ]],'OCTUBRE 2025'!$C$8:$J$10,2,0)</f>
        <v>#N/A</v>
      </c>
      <c r="E28" s="182" t="e">
        <f>+VLOOKUP(Tabla33[[#This Row],[CEDULA ]],'OCTUBRE 2025'!$C$8:$J$10,4,0)</f>
        <v>#N/A</v>
      </c>
      <c r="F28" s="182" t="e">
        <f>+VLOOKUP(Tabla33[[#This Row],[CEDULA ]],'OCTUBRE 2025'!$C$8:$J$10,6,0)</f>
        <v>#N/A</v>
      </c>
      <c r="G28" s="637" t="e">
        <f>+VLOOKUP(Tabla33[[#This Row],[CEDULA ]],'OCTUBRE 2025'!$C$8:$J$10,8,0)</f>
        <v>#N/A</v>
      </c>
      <c r="H28" s="318"/>
      <c r="I28" s="317"/>
      <c r="J28" s="65">
        <f>+Tabla33[[#This Row],[Cantidad]]*$J$6</f>
        <v>0</v>
      </c>
      <c r="K28" s="65">
        <f>+Tabla33[[#This Row],[Cantidad2]]*$K$6</f>
        <v>0</v>
      </c>
      <c r="L28" s="262">
        <f>+Tabla33[[#This Row],[US$]]+Tabla33[[#This Row],[US$,]]</f>
        <v>0</v>
      </c>
    </row>
    <row r="29" spans="2:12" ht="18.600000000000001" customHeight="1">
      <c r="B29" s="230">
        <v>22</v>
      </c>
      <c r="C29" s="357">
        <v>941096851</v>
      </c>
      <c r="D29" s="182" t="e">
        <f>+VLOOKUP(Tabla33[[#This Row],[CEDULA ]],'OCTUBRE 2025'!$C$8:$J$10,2,0)</f>
        <v>#N/A</v>
      </c>
      <c r="E29" s="182" t="e">
        <f>+VLOOKUP(Tabla33[[#This Row],[CEDULA ]],'OCTUBRE 2025'!$C$8:$J$10,4,0)</f>
        <v>#N/A</v>
      </c>
      <c r="F29" s="182" t="e">
        <f>+VLOOKUP(Tabla33[[#This Row],[CEDULA ]],'OCTUBRE 2025'!$C$8:$J$10,6,0)</f>
        <v>#N/A</v>
      </c>
      <c r="G29" s="637" t="e">
        <f>+VLOOKUP(Tabla33[[#This Row],[CEDULA ]],'OCTUBRE 2025'!$C$8:$J$10,8,0)</f>
        <v>#N/A</v>
      </c>
      <c r="H29" s="318"/>
      <c r="I29" s="317"/>
      <c r="J29" s="65">
        <f>+Tabla33[[#This Row],[Cantidad]]*$J$6</f>
        <v>0</v>
      </c>
      <c r="K29" s="65">
        <f>+Tabla33[[#This Row],[Cantidad2]]*$K$6</f>
        <v>0</v>
      </c>
      <c r="L29" s="262">
        <f>+Tabla33[[#This Row],[US$]]+Tabla33[[#This Row],[US$,]]</f>
        <v>0</v>
      </c>
    </row>
    <row r="30" spans="2:12" ht="18.600000000000001" customHeight="1">
      <c r="B30" s="230">
        <v>23</v>
      </c>
      <c r="C30" s="357">
        <v>957093800</v>
      </c>
      <c r="D30" s="182" t="e">
        <f>+VLOOKUP(Tabla33[[#This Row],[CEDULA ]],'OCTUBRE 2025'!$C$8:$J$10,2,0)</f>
        <v>#N/A</v>
      </c>
      <c r="E30" s="182" t="e">
        <f>+VLOOKUP(Tabla33[[#This Row],[CEDULA ]],'OCTUBRE 2025'!$C$8:$J$10,4,0)</f>
        <v>#N/A</v>
      </c>
      <c r="F30" s="182" t="e">
        <f>+VLOOKUP(Tabla33[[#This Row],[CEDULA ]],'OCTUBRE 2025'!$C$8:$J$10,6,0)</f>
        <v>#N/A</v>
      </c>
      <c r="G30" s="637" t="e">
        <f>+VLOOKUP(Tabla33[[#This Row],[CEDULA ]],'OCTUBRE 2025'!$C$8:$J$10,8,0)</f>
        <v>#N/A</v>
      </c>
      <c r="H30" s="318"/>
      <c r="I30" s="317"/>
      <c r="J30" s="65">
        <f>+Tabla33[[#This Row],[Cantidad]]*$J$6</f>
        <v>0</v>
      </c>
      <c r="K30" s="65">
        <f>+Tabla33[[#This Row],[Cantidad2]]*$K$6</f>
        <v>0</v>
      </c>
      <c r="L30" s="262">
        <f>+Tabla33[[#This Row],[US$]]+Tabla33[[#This Row],[US$,]]</f>
        <v>0</v>
      </c>
    </row>
    <row r="31" spans="2:12" ht="18.600000000000001" customHeight="1">
      <c r="B31" s="230">
        <v>24</v>
      </c>
      <c r="C31" s="357">
        <v>957924350</v>
      </c>
      <c r="D31" s="182" t="e">
        <f>+VLOOKUP(Tabla33[[#This Row],[CEDULA ]],'OCTUBRE 2025'!$C$8:$J$10,2,0)</f>
        <v>#N/A</v>
      </c>
      <c r="E31" s="182" t="e">
        <f>+VLOOKUP(Tabla33[[#This Row],[CEDULA ]],'OCTUBRE 2025'!$C$8:$J$10,4,0)</f>
        <v>#N/A</v>
      </c>
      <c r="F31" s="182" t="e">
        <f>+VLOOKUP(Tabla33[[#This Row],[CEDULA ]],'OCTUBRE 2025'!$C$8:$J$10,6,0)</f>
        <v>#N/A</v>
      </c>
      <c r="G31" s="637" t="e">
        <f>+VLOOKUP(Tabla33[[#This Row],[CEDULA ]],'OCTUBRE 2025'!$C$8:$J$10,8,0)</f>
        <v>#N/A</v>
      </c>
      <c r="H31" s="318"/>
      <c r="I31" s="317"/>
      <c r="J31" s="65">
        <f>+Tabla33[[#This Row],[Cantidad]]*$J$6</f>
        <v>0</v>
      </c>
      <c r="K31" s="65">
        <f>+Tabla33[[#This Row],[Cantidad2]]*$K$6</f>
        <v>0</v>
      </c>
      <c r="L31" s="262">
        <f>+Tabla33[[#This Row],[US$]]+Tabla33[[#This Row],[US$,]]</f>
        <v>0</v>
      </c>
    </row>
    <row r="32" spans="2:12" ht="18.600000000000001" customHeight="1">
      <c r="B32" s="230">
        <v>25</v>
      </c>
      <c r="C32" s="357">
        <v>603838657</v>
      </c>
      <c r="D32" s="182" t="e">
        <f>+VLOOKUP(Tabla33[[#This Row],[CEDULA ]],'OCTUBRE 2025'!$C$8:$J$10,2,0)</f>
        <v>#N/A</v>
      </c>
      <c r="E32" s="182" t="e">
        <f>+VLOOKUP(Tabla33[[#This Row],[CEDULA ]],'OCTUBRE 2025'!$C$8:$J$10,4,0)</f>
        <v>#N/A</v>
      </c>
      <c r="F32" s="182" t="e">
        <f>+VLOOKUP(Tabla33[[#This Row],[CEDULA ]],'OCTUBRE 2025'!$C$8:$J$10,6,0)</f>
        <v>#N/A</v>
      </c>
      <c r="G32" s="637" t="e">
        <f>+VLOOKUP(Tabla33[[#This Row],[CEDULA ]],'OCTUBRE 2025'!$C$8:$J$10,8,0)</f>
        <v>#N/A</v>
      </c>
      <c r="H32" s="318"/>
      <c r="I32" s="317"/>
      <c r="J32" s="65">
        <f>+Tabla33[[#This Row],[Cantidad]]*$J$6</f>
        <v>0</v>
      </c>
      <c r="K32" s="65">
        <f>+Tabla33[[#This Row],[Cantidad2]]*$K$6</f>
        <v>0</v>
      </c>
      <c r="L32" s="262">
        <f>+Tabla33[[#This Row],[US$]]+Tabla33[[#This Row],[US$,]]</f>
        <v>0</v>
      </c>
    </row>
    <row r="33" spans="2:12" ht="18.600000000000001" customHeight="1">
      <c r="B33" s="230">
        <v>26</v>
      </c>
      <c r="C33" s="357">
        <v>925240525</v>
      </c>
      <c r="D33" s="182" t="e">
        <f>+VLOOKUP(Tabla33[[#This Row],[CEDULA ]],'OCTUBRE 2025'!$C$8:$J$10,2,0)</f>
        <v>#N/A</v>
      </c>
      <c r="E33" s="182" t="e">
        <f>+VLOOKUP(Tabla33[[#This Row],[CEDULA ]],'OCTUBRE 2025'!$C$8:$J$10,4,0)</f>
        <v>#N/A</v>
      </c>
      <c r="F33" s="182" t="e">
        <f>+VLOOKUP(Tabla33[[#This Row],[CEDULA ]],'OCTUBRE 2025'!$C$8:$J$10,6,0)</f>
        <v>#N/A</v>
      </c>
      <c r="G33" s="637" t="e">
        <f>+VLOOKUP(Tabla33[[#This Row],[CEDULA ]],'OCTUBRE 2025'!$C$8:$J$10,8,0)</f>
        <v>#N/A</v>
      </c>
      <c r="H33" s="318"/>
      <c r="I33" s="317"/>
      <c r="J33" s="65">
        <f>+Tabla33[[#This Row],[Cantidad]]*$J$6</f>
        <v>0</v>
      </c>
      <c r="K33" s="65">
        <f>+Tabla33[[#This Row],[Cantidad2]]*$K$6</f>
        <v>0</v>
      </c>
      <c r="L33" s="262">
        <f>+Tabla33[[#This Row],[US$]]+Tabla33[[#This Row],[US$,]]</f>
        <v>0</v>
      </c>
    </row>
    <row r="34" spans="2:12" ht="18.600000000000001" customHeight="1">
      <c r="B34" s="230">
        <v>27</v>
      </c>
      <c r="C34" s="357">
        <v>954520599</v>
      </c>
      <c r="D34" s="182" t="e">
        <f>+VLOOKUP(Tabla33[[#This Row],[CEDULA ]],'OCTUBRE 2025'!$C$8:$J$10,2,0)</f>
        <v>#N/A</v>
      </c>
      <c r="E34" s="182" t="e">
        <f>+VLOOKUP(Tabla33[[#This Row],[CEDULA ]],'OCTUBRE 2025'!$C$8:$J$10,4,0)</f>
        <v>#N/A</v>
      </c>
      <c r="F34" s="182" t="e">
        <f>+VLOOKUP(Tabla33[[#This Row],[CEDULA ]],'OCTUBRE 2025'!$C$8:$J$10,6,0)</f>
        <v>#N/A</v>
      </c>
      <c r="G34" s="637" t="e">
        <f>+VLOOKUP(Tabla33[[#This Row],[CEDULA ]],'OCTUBRE 2025'!$C$8:$J$10,8,0)</f>
        <v>#N/A</v>
      </c>
      <c r="H34" s="318"/>
      <c r="I34" s="317"/>
      <c r="J34" s="65">
        <f>+Tabla33[[#This Row],[Cantidad]]*$J$6</f>
        <v>0</v>
      </c>
      <c r="K34" s="65">
        <f>+Tabla33[[#This Row],[Cantidad2]]*$K$6</f>
        <v>0</v>
      </c>
      <c r="L34" s="262">
        <f>+Tabla33[[#This Row],[US$]]+Tabla33[[#This Row],[US$,]]</f>
        <v>0</v>
      </c>
    </row>
    <row r="35" spans="2:12" ht="18.600000000000001" customHeight="1">
      <c r="B35" s="230">
        <v>28</v>
      </c>
      <c r="C35" s="357" t="s">
        <v>275</v>
      </c>
      <c r="D35" s="182" t="e">
        <f>+VLOOKUP(Tabla33[[#This Row],[CEDULA ]],'OCTUBRE 2025'!$C$8:$J$10,2,0)</f>
        <v>#N/A</v>
      </c>
      <c r="E35" s="182" t="e">
        <f>+VLOOKUP(Tabla33[[#This Row],[CEDULA ]],'OCTUBRE 2025'!$C$8:$J$10,4,0)</f>
        <v>#N/A</v>
      </c>
      <c r="F35" s="182" t="e">
        <f>+VLOOKUP(Tabla33[[#This Row],[CEDULA ]],'OCTUBRE 2025'!$C$8:$J$10,6,0)</f>
        <v>#N/A</v>
      </c>
      <c r="G35" s="637" t="e">
        <f>+VLOOKUP(Tabla33[[#This Row],[CEDULA ]],'OCTUBRE 2025'!$C$8:$J$10,8,0)</f>
        <v>#N/A</v>
      </c>
      <c r="H35" s="318"/>
      <c r="I35" s="317"/>
      <c r="J35" s="65">
        <f>+Tabla33[[#This Row],[Cantidad]]*$J$6</f>
        <v>0</v>
      </c>
      <c r="K35" s="65">
        <f>+Tabla33[[#This Row],[Cantidad2]]*$K$6</f>
        <v>0</v>
      </c>
      <c r="L35" s="262">
        <f>+Tabla33[[#This Row],[US$]]+Tabla33[[#This Row],[US$,]]</f>
        <v>0</v>
      </c>
    </row>
    <row r="36" spans="2:12" ht="18.600000000000001" customHeight="1">
      <c r="B36" s="230">
        <v>29</v>
      </c>
      <c r="C36" s="357" t="s">
        <v>239</v>
      </c>
      <c r="D36" s="182" t="e">
        <f>+VLOOKUP(Tabla33[[#This Row],[CEDULA ]],'OCTUBRE 2025'!$C$8:$J$10,2,0)</f>
        <v>#N/A</v>
      </c>
      <c r="E36" s="182" t="e">
        <f>+VLOOKUP(Tabla33[[#This Row],[CEDULA ]],'OCTUBRE 2025'!$C$8:$J$10,4,0)</f>
        <v>#N/A</v>
      </c>
      <c r="F36" s="182" t="e">
        <f>+VLOOKUP(Tabla33[[#This Row],[CEDULA ]],'OCTUBRE 2025'!$C$8:$J$10,6,0)</f>
        <v>#N/A</v>
      </c>
      <c r="G36" s="637" t="e">
        <f>+VLOOKUP(Tabla33[[#This Row],[CEDULA ]],'OCTUBRE 2025'!$C$8:$J$10,8,0)</f>
        <v>#N/A</v>
      </c>
      <c r="H36" s="318"/>
      <c r="I36" s="317"/>
      <c r="J36" s="65">
        <f>+Tabla33[[#This Row],[Cantidad]]*$J$6</f>
        <v>0</v>
      </c>
      <c r="K36" s="65">
        <f>+Tabla33[[#This Row],[Cantidad2]]*$K$6</f>
        <v>0</v>
      </c>
      <c r="L36" s="262">
        <f>+Tabla33[[#This Row],[US$]]+Tabla33[[#This Row],[US$,]]</f>
        <v>0</v>
      </c>
    </row>
    <row r="37" spans="2:12" ht="18.600000000000001" customHeight="1">
      <c r="B37" s="230">
        <v>30</v>
      </c>
      <c r="C37" s="357" t="s">
        <v>326</v>
      </c>
      <c r="D37" s="182" t="e">
        <f>+VLOOKUP(Tabla33[[#This Row],[CEDULA ]],'OCTUBRE 2025'!$C$8:$J$10,2,0)</f>
        <v>#N/A</v>
      </c>
      <c r="E37" s="182" t="e">
        <f>+VLOOKUP(Tabla33[[#This Row],[CEDULA ]],'OCTUBRE 2025'!$C$8:$J$10,4,0)</f>
        <v>#N/A</v>
      </c>
      <c r="F37" s="182" t="e">
        <f>+VLOOKUP(Tabla33[[#This Row],[CEDULA ]],'OCTUBRE 2025'!$C$8:$J$10,6,0)</f>
        <v>#N/A</v>
      </c>
      <c r="G37" s="637" t="e">
        <f>+VLOOKUP(Tabla33[[#This Row],[CEDULA ]],'OCTUBRE 2025'!$C$8:$J$10,8,0)</f>
        <v>#N/A</v>
      </c>
      <c r="H37" s="318"/>
      <c r="I37" s="317"/>
      <c r="J37" s="65">
        <f>+Tabla33[[#This Row],[Cantidad]]*$J$6</f>
        <v>0</v>
      </c>
      <c r="K37" s="65">
        <f>+Tabla33[[#This Row],[Cantidad2]]*$K$6</f>
        <v>0</v>
      </c>
      <c r="L37" s="262">
        <f>+Tabla33[[#This Row],[US$]]+Tabla33[[#This Row],[US$,]]</f>
        <v>0</v>
      </c>
    </row>
    <row r="38" spans="2:12" ht="18.600000000000001" customHeight="1">
      <c r="B38" s="230">
        <v>31</v>
      </c>
      <c r="C38" s="357">
        <v>955395686</v>
      </c>
      <c r="D38" s="182" t="e">
        <f>+VLOOKUP(Tabla33[[#This Row],[CEDULA ]],'OCTUBRE 2025'!$C$8:$J$10,2,0)</f>
        <v>#N/A</v>
      </c>
      <c r="E38" s="182" t="e">
        <f>+VLOOKUP(Tabla33[[#This Row],[CEDULA ]],'OCTUBRE 2025'!$C$8:$J$10,4,0)</f>
        <v>#N/A</v>
      </c>
      <c r="F38" s="182" t="e">
        <f>+VLOOKUP(Tabla33[[#This Row],[CEDULA ]],'OCTUBRE 2025'!$C$8:$J$10,6,0)</f>
        <v>#N/A</v>
      </c>
      <c r="G38" s="637" t="e">
        <f>+VLOOKUP(Tabla33[[#This Row],[CEDULA ]],'OCTUBRE 2025'!$C$8:$J$10,8,0)</f>
        <v>#N/A</v>
      </c>
      <c r="H38" s="318"/>
      <c r="I38" s="317"/>
      <c r="J38" s="65">
        <f>+Tabla33[[#This Row],[Cantidad]]*$J$6</f>
        <v>0</v>
      </c>
      <c r="K38" s="65">
        <f>+Tabla33[[#This Row],[Cantidad2]]*$K$6</f>
        <v>0</v>
      </c>
      <c r="L38" s="262">
        <f>+Tabla33[[#This Row],[US$]]+Tabla33[[#This Row],[US$,]]</f>
        <v>0</v>
      </c>
    </row>
    <row r="39" spans="2:12" ht="18.600000000000001" customHeight="1">
      <c r="B39" s="230">
        <v>32</v>
      </c>
      <c r="C39" s="357">
        <v>940991987</v>
      </c>
      <c r="D39" s="182" t="e">
        <f>+VLOOKUP(Tabla33[[#This Row],[CEDULA ]],'OCTUBRE 2025'!$C$8:$J$10,2,0)</f>
        <v>#N/A</v>
      </c>
      <c r="E39" s="182" t="e">
        <f>+VLOOKUP(Tabla33[[#This Row],[CEDULA ]],'OCTUBRE 2025'!$C$8:$J$10,4,0)</f>
        <v>#N/A</v>
      </c>
      <c r="F39" s="182" t="e">
        <f>+VLOOKUP(Tabla33[[#This Row],[CEDULA ]],'OCTUBRE 2025'!$C$8:$J$10,6,0)</f>
        <v>#N/A</v>
      </c>
      <c r="G39" s="637" t="e">
        <f>+VLOOKUP(Tabla33[[#This Row],[CEDULA ]],'OCTUBRE 2025'!$C$8:$J$10,8,0)</f>
        <v>#N/A</v>
      </c>
      <c r="H39" s="318"/>
      <c r="I39" s="317"/>
      <c r="J39" s="65">
        <f>+Tabla33[[#This Row],[Cantidad]]*$J$6</f>
        <v>0</v>
      </c>
      <c r="K39" s="65">
        <f>+Tabla33[[#This Row],[Cantidad2]]*$K$6</f>
        <v>0</v>
      </c>
      <c r="L39" s="262">
        <f>+Tabla33[[#This Row],[US$]]+Tabla33[[#This Row],[US$,]]</f>
        <v>0</v>
      </c>
    </row>
    <row r="40" spans="2:12" ht="18.600000000000001" customHeight="1">
      <c r="B40" s="230">
        <v>33</v>
      </c>
      <c r="C40" s="357">
        <v>956929277</v>
      </c>
      <c r="D40" s="182" t="e">
        <f>+VLOOKUP(Tabla33[[#This Row],[CEDULA ]],'OCTUBRE 2025'!$C$8:$J$10,2,0)</f>
        <v>#N/A</v>
      </c>
      <c r="E40" s="182" t="e">
        <f>+VLOOKUP(Tabla33[[#This Row],[CEDULA ]],'OCTUBRE 2025'!$C$8:$J$10,4,0)</f>
        <v>#N/A</v>
      </c>
      <c r="F40" s="182" t="e">
        <f>+VLOOKUP(Tabla33[[#This Row],[CEDULA ]],'OCTUBRE 2025'!$C$8:$J$10,6,0)</f>
        <v>#N/A</v>
      </c>
      <c r="G40" s="637" t="e">
        <f>+VLOOKUP(Tabla33[[#This Row],[CEDULA ]],'OCTUBRE 2025'!$C$8:$J$10,8,0)</f>
        <v>#N/A</v>
      </c>
      <c r="H40" s="318"/>
      <c r="I40" s="317"/>
      <c r="J40" s="65">
        <f>+Tabla33[[#This Row],[Cantidad]]*$J$6</f>
        <v>0</v>
      </c>
      <c r="K40" s="65">
        <f>+Tabla33[[#This Row],[Cantidad2]]*$K$6</f>
        <v>0</v>
      </c>
      <c r="L40" s="262">
        <f>+Tabla33[[#This Row],[US$]]+Tabla33[[#This Row],[US$,]]</f>
        <v>0</v>
      </c>
    </row>
    <row r="41" spans="2:12" ht="18.600000000000001" customHeight="1">
      <c r="B41" s="230">
        <v>34</v>
      </c>
      <c r="C41" s="357">
        <v>951763994</v>
      </c>
      <c r="D41" s="182" t="e">
        <f>+VLOOKUP(Tabla33[[#This Row],[CEDULA ]],'OCTUBRE 2025'!$C$8:$J$10,2,0)</f>
        <v>#N/A</v>
      </c>
      <c r="E41" s="182" t="e">
        <f>+VLOOKUP(Tabla33[[#This Row],[CEDULA ]],'OCTUBRE 2025'!$C$8:$J$10,4,0)</f>
        <v>#N/A</v>
      </c>
      <c r="F41" s="182" t="e">
        <f>+VLOOKUP(Tabla33[[#This Row],[CEDULA ]],'OCTUBRE 2025'!$C$8:$J$10,6,0)</f>
        <v>#N/A</v>
      </c>
      <c r="G41" s="637" t="e">
        <f>+VLOOKUP(Tabla33[[#This Row],[CEDULA ]],'OCTUBRE 2025'!$C$8:$J$10,8,0)</f>
        <v>#N/A</v>
      </c>
      <c r="H41" s="318"/>
      <c r="I41" s="317"/>
      <c r="J41" s="65">
        <f>+Tabla33[[#This Row],[Cantidad]]*$J$6</f>
        <v>0</v>
      </c>
      <c r="K41" s="65">
        <f>+Tabla33[[#This Row],[Cantidad2]]*$K$6</f>
        <v>0</v>
      </c>
      <c r="L41" s="262">
        <f>+Tabla33[[#This Row],[US$]]+Tabla33[[#This Row],[US$,]]</f>
        <v>0</v>
      </c>
    </row>
    <row r="42" spans="2:12" ht="18.600000000000001" customHeight="1">
      <c r="B42" s="230">
        <v>35</v>
      </c>
      <c r="C42" s="357">
        <v>950703199</v>
      </c>
      <c r="D42" s="182" t="e">
        <f>+VLOOKUP(Tabla33[[#This Row],[CEDULA ]],'OCTUBRE 2025'!$C$8:$J$10,2,0)</f>
        <v>#N/A</v>
      </c>
      <c r="E42" s="182" t="e">
        <f>+VLOOKUP(Tabla33[[#This Row],[CEDULA ]],'OCTUBRE 2025'!$C$8:$J$10,4,0)</f>
        <v>#N/A</v>
      </c>
      <c r="F42" s="182" t="e">
        <f>+VLOOKUP(Tabla33[[#This Row],[CEDULA ]],'OCTUBRE 2025'!$C$8:$J$10,6,0)</f>
        <v>#N/A</v>
      </c>
      <c r="G42" s="637" t="e">
        <f>+VLOOKUP(Tabla33[[#This Row],[CEDULA ]],'OCTUBRE 2025'!$C$8:$J$10,8,0)</f>
        <v>#N/A</v>
      </c>
      <c r="H42" s="318"/>
      <c r="I42" s="317"/>
      <c r="J42" s="65">
        <f>+Tabla33[[#This Row],[Cantidad]]*$J$6</f>
        <v>0</v>
      </c>
      <c r="K42" s="65">
        <f>+Tabla33[[#This Row],[Cantidad2]]*$K$6</f>
        <v>0</v>
      </c>
      <c r="L42" s="262">
        <f>+Tabla33[[#This Row],[US$]]+Tabla33[[#This Row],[US$,]]</f>
        <v>0</v>
      </c>
    </row>
    <row r="43" spans="2:12" ht="18.600000000000001" customHeight="1">
      <c r="B43" s="230">
        <v>36</v>
      </c>
      <c r="C43" s="357" t="s">
        <v>423</v>
      </c>
      <c r="D43" s="182" t="e">
        <f>+VLOOKUP(Tabla33[[#This Row],[CEDULA ]],'OCTUBRE 2025'!$C$8:$J$10,2,0)</f>
        <v>#N/A</v>
      </c>
      <c r="E43" s="182" t="e">
        <f>+VLOOKUP(Tabla33[[#This Row],[CEDULA ]],'OCTUBRE 2025'!$C$8:$J$10,4,0)</f>
        <v>#N/A</v>
      </c>
      <c r="F43" s="182" t="e">
        <f>+VLOOKUP(Tabla33[[#This Row],[CEDULA ]],'OCTUBRE 2025'!$C$8:$J$10,6,0)</f>
        <v>#N/A</v>
      </c>
      <c r="G43" s="637" t="e">
        <f>+VLOOKUP(Tabla33[[#This Row],[CEDULA ]],'OCTUBRE 2025'!$C$8:$J$10,8,0)</f>
        <v>#N/A</v>
      </c>
      <c r="H43" s="318"/>
      <c r="I43" s="317"/>
      <c r="J43" s="65">
        <f>+Tabla33[[#This Row],[Cantidad]]*$J$6</f>
        <v>0</v>
      </c>
      <c r="K43" s="65">
        <f>+Tabla33[[#This Row],[Cantidad2]]*$K$6</f>
        <v>0</v>
      </c>
      <c r="L43" s="262">
        <f>+Tabla33[[#This Row],[US$]]+Tabla33[[#This Row],[US$,]]</f>
        <v>0</v>
      </c>
    </row>
    <row r="44" spans="2:12" ht="18.600000000000001" customHeight="1">
      <c r="B44" s="230">
        <v>37</v>
      </c>
      <c r="C44" s="357">
        <v>925830689</v>
      </c>
      <c r="D44" s="182" t="e">
        <f>+VLOOKUP(Tabla33[[#This Row],[CEDULA ]],'OCTUBRE 2025'!$C$8:$J$10,2,0)</f>
        <v>#N/A</v>
      </c>
      <c r="E44" s="182" t="e">
        <f>+VLOOKUP(Tabla33[[#This Row],[CEDULA ]],'OCTUBRE 2025'!$C$8:$J$10,4,0)</f>
        <v>#N/A</v>
      </c>
      <c r="F44" s="182" t="e">
        <f>+VLOOKUP(Tabla33[[#This Row],[CEDULA ]],'OCTUBRE 2025'!$C$8:$J$10,6,0)</f>
        <v>#N/A</v>
      </c>
      <c r="G44" s="637" t="e">
        <f>+VLOOKUP(Tabla33[[#This Row],[CEDULA ]],'OCTUBRE 2025'!$C$8:$J$10,8,0)</f>
        <v>#N/A</v>
      </c>
      <c r="H44" s="318"/>
      <c r="I44" s="317"/>
      <c r="J44" s="65">
        <f>+Tabla33[[#This Row],[Cantidad]]*$J$6</f>
        <v>0</v>
      </c>
      <c r="K44" s="65">
        <f>+Tabla33[[#This Row],[Cantidad2]]*$K$6</f>
        <v>0</v>
      </c>
      <c r="L44" s="262">
        <f>+Tabla33[[#This Row],[US$]]+Tabla33[[#This Row],[US$,]]</f>
        <v>0</v>
      </c>
    </row>
    <row r="45" spans="2:12" ht="18.600000000000001" customHeight="1">
      <c r="B45" s="230">
        <v>38</v>
      </c>
      <c r="C45" s="357">
        <v>944034842</v>
      </c>
      <c r="D45" s="182" t="e">
        <f>+VLOOKUP(Tabla33[[#This Row],[CEDULA ]],'OCTUBRE 2025'!$C$8:$J$10,2,0)</f>
        <v>#N/A</v>
      </c>
      <c r="E45" s="182" t="e">
        <f>+VLOOKUP(Tabla33[[#This Row],[CEDULA ]],'OCTUBRE 2025'!$C$8:$J$10,4,0)</f>
        <v>#N/A</v>
      </c>
      <c r="F45" s="182" t="e">
        <f>+VLOOKUP(Tabla33[[#This Row],[CEDULA ]],'OCTUBRE 2025'!$C$8:$J$10,6,0)</f>
        <v>#N/A</v>
      </c>
      <c r="G45" s="637" t="e">
        <f>+VLOOKUP(Tabla33[[#This Row],[CEDULA ]],'OCTUBRE 2025'!$C$8:$J$10,8,0)</f>
        <v>#N/A</v>
      </c>
      <c r="H45" s="318"/>
      <c r="I45" s="317"/>
      <c r="J45" s="65">
        <f>+Tabla33[[#This Row],[Cantidad]]*$J$6</f>
        <v>0</v>
      </c>
      <c r="K45" s="65">
        <f>+Tabla33[[#This Row],[Cantidad2]]*$K$6</f>
        <v>0</v>
      </c>
      <c r="L45" s="262">
        <f>+Tabla33[[#This Row],[US$]]+Tabla33[[#This Row],[US$,]]</f>
        <v>0</v>
      </c>
    </row>
    <row r="46" spans="2:12" ht="18.600000000000001" customHeight="1">
      <c r="B46" s="230">
        <v>39</v>
      </c>
      <c r="C46" s="357">
        <v>951340702</v>
      </c>
      <c r="D46" s="182" t="e">
        <f>+VLOOKUP(Tabla33[[#This Row],[CEDULA ]],'OCTUBRE 2025'!$C$8:$J$10,2,0)</f>
        <v>#N/A</v>
      </c>
      <c r="E46" s="182" t="e">
        <f>+VLOOKUP(Tabla33[[#This Row],[CEDULA ]],'OCTUBRE 2025'!$C$8:$J$10,4,0)</f>
        <v>#N/A</v>
      </c>
      <c r="F46" s="182" t="e">
        <f>+VLOOKUP(Tabla33[[#This Row],[CEDULA ]],'OCTUBRE 2025'!$C$8:$J$10,6,0)</f>
        <v>#N/A</v>
      </c>
      <c r="G46" s="637" t="e">
        <f>+VLOOKUP(Tabla33[[#This Row],[CEDULA ]],'OCTUBRE 2025'!$C$8:$J$10,8,0)</f>
        <v>#N/A</v>
      </c>
      <c r="H46" s="318"/>
      <c r="I46" s="317"/>
      <c r="J46" s="65">
        <f>+Tabla33[[#This Row],[Cantidad]]*$J$6</f>
        <v>0</v>
      </c>
      <c r="K46" s="65">
        <f>+Tabla33[[#This Row],[Cantidad2]]*$K$6</f>
        <v>0</v>
      </c>
      <c r="L46" s="262">
        <f>+Tabla33[[#This Row],[US$]]+Tabla33[[#This Row],[US$,]]</f>
        <v>0</v>
      </c>
    </row>
    <row r="47" spans="2:12" ht="18.600000000000001" customHeight="1">
      <c r="B47" s="230">
        <v>40</v>
      </c>
      <c r="C47" s="357">
        <v>650112949</v>
      </c>
      <c r="D47" s="182" t="e">
        <f>+VLOOKUP(Tabla33[[#This Row],[CEDULA ]],'OCTUBRE 2025'!$C$8:$J$10,2,0)</f>
        <v>#N/A</v>
      </c>
      <c r="E47" s="182" t="e">
        <f>+VLOOKUP(Tabla33[[#This Row],[CEDULA ]],'OCTUBRE 2025'!$C$8:$J$10,4,0)</f>
        <v>#N/A</v>
      </c>
      <c r="F47" s="182" t="e">
        <f>+VLOOKUP(Tabla33[[#This Row],[CEDULA ]],'OCTUBRE 2025'!$C$8:$J$10,6,0)</f>
        <v>#N/A</v>
      </c>
      <c r="G47" s="637" t="e">
        <f>+VLOOKUP(Tabla33[[#This Row],[CEDULA ]],'OCTUBRE 2025'!$C$8:$J$10,8,0)</f>
        <v>#N/A</v>
      </c>
      <c r="H47" s="318"/>
      <c r="I47" s="317"/>
      <c r="J47" s="65">
        <f>+Tabla33[[#This Row],[Cantidad]]*$J$6</f>
        <v>0</v>
      </c>
      <c r="K47" s="65">
        <f>+Tabla33[[#This Row],[Cantidad2]]*$K$6</f>
        <v>0</v>
      </c>
      <c r="L47" s="262">
        <f>+Tabla33[[#This Row],[US$]]+Tabla33[[#This Row],[US$,]]</f>
        <v>0</v>
      </c>
    </row>
    <row r="48" spans="2:12" ht="18.600000000000001" customHeight="1">
      <c r="B48" s="230">
        <v>41</v>
      </c>
      <c r="C48" s="357">
        <v>924232804</v>
      </c>
      <c r="D48" s="182" t="e">
        <f>+VLOOKUP(Tabla33[[#This Row],[CEDULA ]],'OCTUBRE 2025'!$C$8:$J$10,2,0)</f>
        <v>#N/A</v>
      </c>
      <c r="E48" s="182" t="e">
        <f>+VLOOKUP(Tabla33[[#This Row],[CEDULA ]],'OCTUBRE 2025'!$C$8:$J$10,4,0)</f>
        <v>#N/A</v>
      </c>
      <c r="F48" s="182" t="e">
        <f>+VLOOKUP(Tabla33[[#This Row],[CEDULA ]],'OCTUBRE 2025'!$C$8:$J$10,6,0)</f>
        <v>#N/A</v>
      </c>
      <c r="G48" s="637" t="e">
        <f>+VLOOKUP(Tabla33[[#This Row],[CEDULA ]],'OCTUBRE 2025'!$C$8:$J$10,8,0)</f>
        <v>#N/A</v>
      </c>
      <c r="H48" s="318"/>
      <c r="I48" s="317"/>
      <c r="J48" s="65">
        <f>+Tabla33[[#This Row],[Cantidad]]*$J$6</f>
        <v>0</v>
      </c>
      <c r="K48" s="65">
        <f>+Tabla33[[#This Row],[Cantidad2]]*$K$6</f>
        <v>0</v>
      </c>
      <c r="L48" s="262">
        <f>+Tabla33[[#This Row],[US$]]+Tabla33[[#This Row],[US$,]]</f>
        <v>0</v>
      </c>
    </row>
    <row r="49" spans="2:22" ht="18.600000000000001" customHeight="1">
      <c r="B49" s="230">
        <v>42</v>
      </c>
      <c r="C49" s="357">
        <v>605031145</v>
      </c>
      <c r="D49" s="182" t="e">
        <f>+VLOOKUP(Tabla33[[#This Row],[CEDULA ]],'OCTUBRE 2025'!$C$8:$J$10,2,0)</f>
        <v>#N/A</v>
      </c>
      <c r="E49" s="182" t="e">
        <f>+VLOOKUP(Tabla33[[#This Row],[CEDULA ]],'OCTUBRE 2025'!$C$8:$J$10,4,0)</f>
        <v>#N/A</v>
      </c>
      <c r="F49" s="182" t="e">
        <f>+VLOOKUP(Tabla33[[#This Row],[CEDULA ]],'OCTUBRE 2025'!$C$8:$J$10,6,0)</f>
        <v>#N/A</v>
      </c>
      <c r="G49" s="637" t="e">
        <f>+VLOOKUP(Tabla33[[#This Row],[CEDULA ]],'OCTUBRE 2025'!$C$8:$J$10,8,0)</f>
        <v>#N/A</v>
      </c>
      <c r="H49" s="318"/>
      <c r="I49" s="317"/>
      <c r="J49" s="65">
        <f>+Tabla33[[#This Row],[Cantidad]]*$J$6</f>
        <v>0</v>
      </c>
      <c r="K49" s="65">
        <f>+Tabla33[[#This Row],[Cantidad2]]*$K$6</f>
        <v>0</v>
      </c>
      <c r="L49" s="262">
        <f>+Tabla33[[#This Row],[US$]]+Tabla33[[#This Row],[US$,]]</f>
        <v>0</v>
      </c>
    </row>
    <row r="50" spans="2:22" ht="18.600000000000001" customHeight="1">
      <c r="B50" s="230">
        <v>43</v>
      </c>
      <c r="C50" s="357">
        <v>927257576</v>
      </c>
      <c r="D50" s="182" t="e">
        <f>+VLOOKUP(Tabla33[[#This Row],[CEDULA ]],'OCTUBRE 2025'!$C$8:$J$10,2,0)</f>
        <v>#N/A</v>
      </c>
      <c r="E50" s="182" t="e">
        <f>+VLOOKUP(Tabla33[[#This Row],[CEDULA ]],'OCTUBRE 2025'!$C$8:$J$10,4,0)</f>
        <v>#N/A</v>
      </c>
      <c r="F50" s="182" t="e">
        <f>+VLOOKUP(Tabla33[[#This Row],[CEDULA ]],'OCTUBRE 2025'!$C$8:$J$10,6,0)</f>
        <v>#N/A</v>
      </c>
      <c r="G50" s="637" t="e">
        <f>+VLOOKUP(Tabla33[[#This Row],[CEDULA ]],'OCTUBRE 2025'!$C$8:$J$10,8,0)</f>
        <v>#N/A</v>
      </c>
      <c r="H50" s="318"/>
      <c r="I50" s="317"/>
      <c r="J50" s="65">
        <f>+Tabla33[[#This Row],[Cantidad]]*$J$6</f>
        <v>0</v>
      </c>
      <c r="K50" s="65">
        <f>+Tabla33[[#This Row],[Cantidad2]]*$K$6</f>
        <v>0</v>
      </c>
      <c r="L50" s="262">
        <f>+Tabla33[[#This Row],[US$]]+Tabla33[[#This Row],[US$,]]</f>
        <v>0</v>
      </c>
    </row>
    <row r="51" spans="2:22" ht="18.600000000000001" customHeight="1">
      <c r="B51" s="230">
        <v>44</v>
      </c>
      <c r="C51" s="357">
        <v>928901800</v>
      </c>
      <c r="D51" s="182" t="e">
        <f>+VLOOKUP(Tabla33[[#This Row],[CEDULA ]],'OCTUBRE 2025'!$C$8:$J$10,2,0)</f>
        <v>#N/A</v>
      </c>
      <c r="E51" s="182" t="e">
        <f>+VLOOKUP(Tabla33[[#This Row],[CEDULA ]],'OCTUBRE 2025'!$C$8:$J$10,4,0)</f>
        <v>#N/A</v>
      </c>
      <c r="F51" s="182" t="e">
        <f>+VLOOKUP(Tabla33[[#This Row],[CEDULA ]],'OCTUBRE 2025'!$C$8:$J$10,6,0)</f>
        <v>#N/A</v>
      </c>
      <c r="G51" s="637" t="e">
        <f>+VLOOKUP(Tabla33[[#This Row],[CEDULA ]],'OCTUBRE 2025'!$C$8:$J$10,8,0)</f>
        <v>#N/A</v>
      </c>
      <c r="H51" s="318"/>
      <c r="I51" s="317"/>
      <c r="J51" s="65">
        <f>+Tabla33[[#This Row],[Cantidad]]*$J$6</f>
        <v>0</v>
      </c>
      <c r="K51" s="65">
        <f>+Tabla33[[#This Row],[Cantidad2]]*$K$6</f>
        <v>0</v>
      </c>
      <c r="L51" s="262">
        <f>+Tabla33[[#This Row],[US$]]+Tabla33[[#This Row],[US$,]]</f>
        <v>0</v>
      </c>
    </row>
    <row r="52" spans="2:22" ht="18.600000000000001" customHeight="1">
      <c r="B52" s="230">
        <v>45</v>
      </c>
      <c r="C52" s="357">
        <v>951315746</v>
      </c>
      <c r="D52" s="182" t="e">
        <f>+VLOOKUP(Tabla33[[#This Row],[CEDULA ]],'OCTUBRE 2025'!$C$8:$J$10,2,0)</f>
        <v>#N/A</v>
      </c>
      <c r="E52" s="182" t="e">
        <f>+VLOOKUP(Tabla33[[#This Row],[CEDULA ]],'OCTUBRE 2025'!$C$8:$J$10,4,0)</f>
        <v>#N/A</v>
      </c>
      <c r="F52" s="182" t="e">
        <f>+VLOOKUP(Tabla33[[#This Row],[CEDULA ]],'OCTUBRE 2025'!$C$8:$J$10,6,0)</f>
        <v>#N/A</v>
      </c>
      <c r="G52" s="637" t="e">
        <f>+VLOOKUP(Tabla33[[#This Row],[CEDULA ]],'OCTUBRE 2025'!$C$8:$J$10,8,0)</f>
        <v>#N/A</v>
      </c>
      <c r="H52" s="318"/>
      <c r="I52" s="317"/>
      <c r="J52" s="65">
        <f>+Tabla33[[#This Row],[Cantidad]]*$J$6</f>
        <v>0</v>
      </c>
      <c r="K52" s="65">
        <f>+Tabla33[[#This Row],[Cantidad2]]*$K$6</f>
        <v>0</v>
      </c>
      <c r="L52" s="262">
        <f>+Tabla33[[#This Row],[US$]]+Tabla33[[#This Row],[US$,]]</f>
        <v>0</v>
      </c>
    </row>
    <row r="53" spans="2:22" ht="18.600000000000001" customHeight="1">
      <c r="B53" s="230">
        <v>46</v>
      </c>
      <c r="C53" s="357">
        <v>954184321</v>
      </c>
      <c r="D53" s="182" t="e">
        <f>+VLOOKUP(Tabla33[[#This Row],[CEDULA ]],'OCTUBRE 2025'!$C$8:$J$10,2,0)</f>
        <v>#N/A</v>
      </c>
      <c r="E53" s="182" t="e">
        <f>+VLOOKUP(Tabla33[[#This Row],[CEDULA ]],'OCTUBRE 2025'!$C$8:$J$10,4,0)</f>
        <v>#N/A</v>
      </c>
      <c r="F53" s="182" t="e">
        <f>+VLOOKUP(Tabla33[[#This Row],[CEDULA ]],'OCTUBRE 2025'!$C$8:$J$10,6,0)</f>
        <v>#N/A</v>
      </c>
      <c r="G53" s="637" t="e">
        <f>+VLOOKUP(Tabla33[[#This Row],[CEDULA ]],'OCTUBRE 2025'!$C$8:$J$10,8,0)</f>
        <v>#N/A</v>
      </c>
      <c r="H53" s="318"/>
      <c r="I53" s="317"/>
      <c r="J53" s="65">
        <f>+Tabla33[[#This Row],[Cantidad]]*$J$6</f>
        <v>0</v>
      </c>
      <c r="K53" s="65">
        <f>+Tabla33[[#This Row],[Cantidad2]]*$K$6</f>
        <v>0</v>
      </c>
      <c r="L53" s="262">
        <f>+Tabla33[[#This Row],[US$]]+Tabla33[[#This Row],[US$,]]</f>
        <v>0</v>
      </c>
    </row>
    <row r="54" spans="2:22" ht="18.600000000000001" customHeight="1">
      <c r="B54" s="230">
        <v>47</v>
      </c>
      <c r="C54" s="357">
        <v>922034772</v>
      </c>
      <c r="D54" s="182" t="e">
        <f>+VLOOKUP(Tabla33[[#This Row],[CEDULA ]],'OCTUBRE 2025'!$C$8:$J$10,2,0)</f>
        <v>#N/A</v>
      </c>
      <c r="E54" s="182" t="e">
        <f>+VLOOKUP(Tabla33[[#This Row],[CEDULA ]],'OCTUBRE 2025'!$C$8:$J$10,4,0)</f>
        <v>#N/A</v>
      </c>
      <c r="F54" s="182" t="e">
        <f>+VLOOKUP(Tabla33[[#This Row],[CEDULA ]],'OCTUBRE 2025'!$C$8:$J$10,6,0)</f>
        <v>#N/A</v>
      </c>
      <c r="G54" s="637" t="e">
        <f>+VLOOKUP(Tabla33[[#This Row],[CEDULA ]],'OCTUBRE 2025'!$C$8:$J$10,8,0)</f>
        <v>#N/A</v>
      </c>
      <c r="H54" s="318"/>
      <c r="I54" s="317"/>
      <c r="J54" s="65">
        <f>+Tabla33[[#This Row],[Cantidad]]*$J$6</f>
        <v>0</v>
      </c>
      <c r="K54" s="65">
        <f>+Tabla33[[#This Row],[Cantidad2]]*$K$6</f>
        <v>0</v>
      </c>
      <c r="L54" s="262">
        <f>+Tabla33[[#This Row],[US$]]+Tabla33[[#This Row],[US$,]]</f>
        <v>0</v>
      </c>
    </row>
    <row r="55" spans="2:22" ht="18.600000000000001" customHeight="1">
      <c r="B55" s="230">
        <v>48</v>
      </c>
      <c r="C55" s="357">
        <v>923837991</v>
      </c>
      <c r="D55" s="182" t="str">
        <f>+VLOOKUP(Tabla33[[#This Row],[CEDULA ]],'OCTUBRE 2025'!$C$8:$J$10,2,0)</f>
        <v>YUNDA CUJILEMA MARIA TERESA</v>
      </c>
      <c r="E55" s="182" t="str">
        <f>+VLOOKUP(Tabla33[[#This Row],[CEDULA ]],'OCTUBRE 2025'!$C$8:$J$10,4,0)</f>
        <v>CONTADOR GENERAL</v>
      </c>
      <c r="F55" s="182" t="str">
        <f>+VLOOKUP(Tabla33[[#This Row],[CEDULA ]],'OCTUBRE 2025'!$C$8:$J$10,6,0)</f>
        <v>Matriz</v>
      </c>
      <c r="G55" s="637">
        <f>+VLOOKUP(Tabla33[[#This Row],[CEDULA ]],'OCTUBRE 2025'!$C$8:$J$10,8,0)</f>
        <v>1022.2</v>
      </c>
      <c r="H55" s="318"/>
      <c r="I55" s="317"/>
      <c r="J55" s="65">
        <f>+Tabla33[[#This Row],[Cantidad]]*$J$6</f>
        <v>0</v>
      </c>
      <c r="K55" s="65">
        <f>+Tabla33[[#This Row],[Cantidad2]]*$K$6</f>
        <v>0</v>
      </c>
      <c r="L55" s="262">
        <f>+Tabla33[[#This Row],[US$]]+Tabla33[[#This Row],[US$,]]</f>
        <v>0</v>
      </c>
    </row>
    <row r="56" spans="2:22" ht="18.600000000000001" customHeight="1">
      <c r="B56" s="230">
        <v>49</v>
      </c>
      <c r="C56" s="357">
        <v>941508905</v>
      </c>
      <c r="D56" s="182" t="str">
        <f>+VLOOKUP(Tabla33[[#This Row],[CEDULA ]],'OCTUBRE 2025'!$C$8:$J$10,2,0)</f>
        <v>YUQUILEMA CACUANGO ANGEL JOSE</v>
      </c>
      <c r="E56" s="182" t="str">
        <f>+VLOOKUP(Tabla33[[#This Row],[CEDULA ]],'OCTUBRE 2025'!$C$8:$J$10,4,0)</f>
        <v>OFICIAL DE RECAUDACIONES</v>
      </c>
      <c r="F56" s="182" t="str">
        <f>+VLOOKUP(Tabla33[[#This Row],[CEDULA ]],'OCTUBRE 2025'!$C$8:$J$10,6,0)</f>
        <v>Matriz</v>
      </c>
      <c r="G56" s="637">
        <f>+VLOOKUP(Tabla33[[#This Row],[CEDULA ]],'OCTUBRE 2025'!$C$8:$J$10,8,0)</f>
        <v>511.1</v>
      </c>
      <c r="H56" s="318"/>
      <c r="I56" s="317"/>
      <c r="J56" s="65">
        <f>+Tabla33[[#This Row],[Cantidad]]*$J$6</f>
        <v>0</v>
      </c>
      <c r="K56" s="65">
        <f>+Tabla33[[#This Row],[Cantidad2]]*$K$6</f>
        <v>0</v>
      </c>
      <c r="L56" s="262">
        <f>+Tabla33[[#This Row],[US$]]+Tabla33[[#This Row],[US$,]]</f>
        <v>0</v>
      </c>
    </row>
    <row r="57" spans="2:22" ht="18.600000000000001" customHeight="1">
      <c r="B57" s="230">
        <v>50</v>
      </c>
      <c r="C57" s="357">
        <v>604154575</v>
      </c>
      <c r="D57" s="182" t="str">
        <f>+VLOOKUP(Tabla33[[#This Row],[CEDULA ]],'OCTUBRE 2025'!$C$8:$J$10,2,0)</f>
        <v>YUQUILEMA DELGADO PEDRO ANTONIO</v>
      </c>
      <c r="E57" s="182" t="str">
        <f>+VLOOKUP(Tabla33[[#This Row],[CEDULA ]],'OCTUBRE 2025'!$C$8:$J$10,4,0)</f>
        <v>JEFE DE CRÉDITO</v>
      </c>
      <c r="F57" s="182" t="str">
        <f>+VLOOKUP(Tabla33[[#This Row],[CEDULA ]],'OCTUBRE 2025'!$C$8:$J$10,6,0)</f>
        <v>Durán</v>
      </c>
      <c r="G57" s="637">
        <f>+VLOOKUP(Tabla33[[#This Row],[CEDULA ]],'OCTUBRE 2025'!$C$8:$J$10,8,0)</f>
        <v>1022.2</v>
      </c>
      <c r="H57" s="318"/>
      <c r="I57" s="317"/>
      <c r="J57" s="65">
        <f>+Tabla33[[#This Row],[Cantidad]]*$J$6</f>
        <v>0</v>
      </c>
      <c r="K57" s="65">
        <f>+Tabla33[[#This Row],[Cantidad2]]*$K$6</f>
        <v>0</v>
      </c>
      <c r="L57" s="262">
        <f>+Tabla33[[#This Row],[US$]]+Tabla33[[#This Row],[US$,]]</f>
        <v>0</v>
      </c>
    </row>
    <row r="58" spans="2:22" ht="18.600000000000001" customHeight="1">
      <c r="B58" s="64"/>
      <c r="C58" s="589"/>
      <c r="D58" s="187"/>
      <c r="E58" s="69"/>
      <c r="F58" s="241"/>
      <c r="G58" s="70"/>
      <c r="H58" s="261"/>
      <c r="I58" s="261"/>
      <c r="J58" s="65">
        <f>+Tabla33[[#This Row],[Cantidad]]*$J$6</f>
        <v>0</v>
      </c>
      <c r="K58" s="65">
        <f>+Tabla33[[#This Row],[Cantidad2]]*$K$6</f>
        <v>0</v>
      </c>
      <c r="L58" s="262">
        <f>+Tabla33[[#This Row],[US$]]+Tabla33[[#This Row],[US$,]]</f>
        <v>0</v>
      </c>
      <c r="O58" s="51"/>
    </row>
    <row r="59" spans="2:22" ht="21.6" customHeight="1">
      <c r="B59" s="71"/>
      <c r="C59" s="186"/>
      <c r="D59" s="72" t="s">
        <v>32</v>
      </c>
      <c r="E59" s="72"/>
      <c r="F59" s="242"/>
      <c r="G59" s="73" t="e">
        <f>SUBTOTAL(109,Tabla33[SUELDO])</f>
        <v>#N/A</v>
      </c>
      <c r="H59" s="74"/>
      <c r="I59" s="75"/>
      <c r="J59" s="75">
        <f>SUBTOTAL(109,Tabla33[US$])</f>
        <v>0</v>
      </c>
      <c r="K59" s="76">
        <f>SUBTOTAL(109,Tabla33[US$,])</f>
        <v>0</v>
      </c>
      <c r="L59" s="75">
        <f>SUBTOTAL(109,Tabla33[US$,,])</f>
        <v>0</v>
      </c>
    </row>
    <row r="60" spans="2:22">
      <c r="O60" s="247"/>
      <c r="P60" s="247"/>
      <c r="Q60" s="248"/>
      <c r="R60" s="248"/>
      <c r="S60" s="247"/>
      <c r="T60" s="248"/>
      <c r="U60" s="248"/>
      <c r="V60" s="247"/>
    </row>
    <row r="61" spans="2:22">
      <c r="O61" s="249"/>
      <c r="P61" s="250"/>
      <c r="Q61" s="251"/>
      <c r="R61" s="252"/>
      <c r="S61" s="251"/>
      <c r="T61" s="253"/>
      <c r="U61" s="254"/>
      <c r="V61" s="113"/>
    </row>
    <row r="62" spans="2:22">
      <c r="O62" s="249"/>
      <c r="P62" s="250"/>
      <c r="Q62" s="251"/>
      <c r="R62" s="252"/>
      <c r="S62" s="251"/>
      <c r="T62" s="253"/>
      <c r="U62" s="254"/>
      <c r="V62" s="113"/>
    </row>
  </sheetData>
  <sheetProtection autoFilter="0"/>
  <mergeCells count="5">
    <mergeCell ref="B2:L2"/>
    <mergeCell ref="B3:L3"/>
    <mergeCell ref="H5:I5"/>
    <mergeCell ref="J5:K5"/>
    <mergeCell ref="L5:L6"/>
  </mergeCells>
  <conditionalFormatting sqref="T61:T62">
    <cfRule type="cellIs" dxfId="2" priority="1" operator="between">
      <formula>80</formula>
      <formula>85</formula>
    </cfRule>
  </conditionalFormatting>
  <dataValidations count="1">
    <dataValidation type="list" allowBlank="1" showInputMessage="1" showErrorMessage="1" sqref="V61" xr:uid="{C12B7ACE-5465-4454-9B85-86298363EB29}">
      <formula1>$AJ$6:$AJ$34</formula1>
    </dataValidation>
  </dataValidations>
  <pageMargins left="0.12" right="0.12" top="0.19" bottom="0.75" header="0.3" footer="0.12"/>
  <pageSetup scale="68" fitToWidth="0" fitToHeight="0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453D-12B3-4929-9E18-19D56A439A20}">
  <sheetPr codeName="Hoja15"/>
  <dimension ref="B1:R58"/>
  <sheetViews>
    <sheetView showGridLines="0" zoomScale="82" zoomScaleNormal="82" workbookViewId="0">
      <selection activeCell="I24" sqref="I24"/>
    </sheetView>
  </sheetViews>
  <sheetFormatPr baseColWidth="10" defaultRowHeight="13.8"/>
  <cols>
    <col min="1" max="1" width="6.6640625" style="81" customWidth="1"/>
    <col min="2" max="5" width="11.5546875" style="81"/>
    <col min="6" max="6" width="4.109375" style="81" customWidth="1"/>
    <col min="7" max="7" width="11.5546875" style="81"/>
    <col min="8" max="8" width="16" style="81" customWidth="1"/>
    <col min="9" max="246" width="11.5546875" style="81"/>
    <col min="247" max="247" width="2.109375" style="81" customWidth="1"/>
    <col min="248" max="248" width="10" style="81" bestFit="1" customWidth="1"/>
    <col min="249" max="249" width="13" style="81" customWidth="1"/>
    <col min="250" max="251" width="11.5546875" style="81"/>
    <col min="252" max="252" width="11" style="81" bestFit="1" customWidth="1"/>
    <col min="253" max="253" width="11.5546875" style="81"/>
    <col min="254" max="254" width="12.88671875" style="81" customWidth="1"/>
    <col min="255" max="255" width="11.5546875" style="81"/>
    <col min="256" max="256" width="12.33203125" style="81" bestFit="1" customWidth="1"/>
    <col min="257" max="257" width="18.88671875" style="81" customWidth="1"/>
    <col min="258" max="502" width="11.5546875" style="81"/>
    <col min="503" max="503" width="2.109375" style="81" customWidth="1"/>
    <col min="504" max="504" width="10" style="81" bestFit="1" customWidth="1"/>
    <col min="505" max="505" width="13" style="81" customWidth="1"/>
    <col min="506" max="507" width="11.5546875" style="81"/>
    <col min="508" max="508" width="11" style="81" bestFit="1" customWidth="1"/>
    <col min="509" max="509" width="11.5546875" style="81"/>
    <col min="510" max="510" width="12.88671875" style="81" customWidth="1"/>
    <col min="511" max="511" width="11.5546875" style="81"/>
    <col min="512" max="512" width="12.33203125" style="81" bestFit="1" customWidth="1"/>
    <col min="513" max="513" width="18.88671875" style="81" customWidth="1"/>
    <col min="514" max="758" width="11.5546875" style="81"/>
    <col min="759" max="759" width="2.109375" style="81" customWidth="1"/>
    <col min="760" max="760" width="10" style="81" bestFit="1" customWidth="1"/>
    <col min="761" max="761" width="13" style="81" customWidth="1"/>
    <col min="762" max="763" width="11.5546875" style="81"/>
    <col min="764" max="764" width="11" style="81" bestFit="1" customWidth="1"/>
    <col min="765" max="765" width="11.5546875" style="81"/>
    <col min="766" max="766" width="12.88671875" style="81" customWidth="1"/>
    <col min="767" max="767" width="11.5546875" style="81"/>
    <col min="768" max="768" width="12.33203125" style="81" bestFit="1" customWidth="1"/>
    <col min="769" max="769" width="18.88671875" style="81" customWidth="1"/>
    <col min="770" max="1014" width="11.5546875" style="81"/>
    <col min="1015" max="1015" width="2.109375" style="81" customWidth="1"/>
    <col min="1016" max="1016" width="10" style="81" bestFit="1" customWidth="1"/>
    <col min="1017" max="1017" width="13" style="81" customWidth="1"/>
    <col min="1018" max="1019" width="11.5546875" style="81"/>
    <col min="1020" max="1020" width="11" style="81" bestFit="1" customWidth="1"/>
    <col min="1021" max="1021" width="11.5546875" style="81"/>
    <col min="1022" max="1022" width="12.88671875" style="81" customWidth="1"/>
    <col min="1023" max="1023" width="11.5546875" style="81"/>
    <col min="1024" max="1024" width="12.33203125" style="81" bestFit="1" customWidth="1"/>
    <col min="1025" max="1025" width="18.88671875" style="81" customWidth="1"/>
    <col min="1026" max="1270" width="11.5546875" style="81"/>
    <col min="1271" max="1271" width="2.109375" style="81" customWidth="1"/>
    <col min="1272" max="1272" width="10" style="81" bestFit="1" customWidth="1"/>
    <col min="1273" max="1273" width="13" style="81" customWidth="1"/>
    <col min="1274" max="1275" width="11.5546875" style="81"/>
    <col min="1276" max="1276" width="11" style="81" bestFit="1" customWidth="1"/>
    <col min="1277" max="1277" width="11.5546875" style="81"/>
    <col min="1278" max="1278" width="12.88671875" style="81" customWidth="1"/>
    <col min="1279" max="1279" width="11.5546875" style="81"/>
    <col min="1280" max="1280" width="12.33203125" style="81" bestFit="1" customWidth="1"/>
    <col min="1281" max="1281" width="18.88671875" style="81" customWidth="1"/>
    <col min="1282" max="1526" width="11.5546875" style="81"/>
    <col min="1527" max="1527" width="2.109375" style="81" customWidth="1"/>
    <col min="1528" max="1528" width="10" style="81" bestFit="1" customWidth="1"/>
    <col min="1529" max="1529" width="13" style="81" customWidth="1"/>
    <col min="1530" max="1531" width="11.5546875" style="81"/>
    <col min="1532" max="1532" width="11" style="81" bestFit="1" customWidth="1"/>
    <col min="1533" max="1533" width="11.5546875" style="81"/>
    <col min="1534" max="1534" width="12.88671875" style="81" customWidth="1"/>
    <col min="1535" max="1535" width="11.5546875" style="81"/>
    <col min="1536" max="1536" width="12.33203125" style="81" bestFit="1" customWidth="1"/>
    <col min="1537" max="1537" width="18.88671875" style="81" customWidth="1"/>
    <col min="1538" max="1782" width="11.5546875" style="81"/>
    <col min="1783" max="1783" width="2.109375" style="81" customWidth="1"/>
    <col min="1784" max="1784" width="10" style="81" bestFit="1" customWidth="1"/>
    <col min="1785" max="1785" width="13" style="81" customWidth="1"/>
    <col min="1786" max="1787" width="11.5546875" style="81"/>
    <col min="1788" max="1788" width="11" style="81" bestFit="1" customWidth="1"/>
    <col min="1789" max="1789" width="11.5546875" style="81"/>
    <col min="1790" max="1790" width="12.88671875" style="81" customWidth="1"/>
    <col min="1791" max="1791" width="11.5546875" style="81"/>
    <col min="1792" max="1792" width="12.33203125" style="81" bestFit="1" customWidth="1"/>
    <col min="1793" max="1793" width="18.88671875" style="81" customWidth="1"/>
    <col min="1794" max="2038" width="11.5546875" style="81"/>
    <col min="2039" max="2039" width="2.109375" style="81" customWidth="1"/>
    <col min="2040" max="2040" width="10" style="81" bestFit="1" customWidth="1"/>
    <col min="2041" max="2041" width="13" style="81" customWidth="1"/>
    <col min="2042" max="2043" width="11.5546875" style="81"/>
    <col min="2044" max="2044" width="11" style="81" bestFit="1" customWidth="1"/>
    <col min="2045" max="2045" width="11.5546875" style="81"/>
    <col min="2046" max="2046" width="12.88671875" style="81" customWidth="1"/>
    <col min="2047" max="2047" width="11.5546875" style="81"/>
    <col min="2048" max="2048" width="12.33203125" style="81" bestFit="1" customWidth="1"/>
    <col min="2049" max="2049" width="18.88671875" style="81" customWidth="1"/>
    <col min="2050" max="2294" width="11.5546875" style="81"/>
    <col min="2295" max="2295" width="2.109375" style="81" customWidth="1"/>
    <col min="2296" max="2296" width="10" style="81" bestFit="1" customWidth="1"/>
    <col min="2297" max="2297" width="13" style="81" customWidth="1"/>
    <col min="2298" max="2299" width="11.5546875" style="81"/>
    <col min="2300" max="2300" width="11" style="81" bestFit="1" customWidth="1"/>
    <col min="2301" max="2301" width="11.5546875" style="81"/>
    <col min="2302" max="2302" width="12.88671875" style="81" customWidth="1"/>
    <col min="2303" max="2303" width="11.5546875" style="81"/>
    <col min="2304" max="2304" width="12.33203125" style="81" bestFit="1" customWidth="1"/>
    <col min="2305" max="2305" width="18.88671875" style="81" customWidth="1"/>
    <col min="2306" max="2550" width="11.5546875" style="81"/>
    <col min="2551" max="2551" width="2.109375" style="81" customWidth="1"/>
    <col min="2552" max="2552" width="10" style="81" bestFit="1" customWidth="1"/>
    <col min="2553" max="2553" width="13" style="81" customWidth="1"/>
    <col min="2554" max="2555" width="11.5546875" style="81"/>
    <col min="2556" max="2556" width="11" style="81" bestFit="1" customWidth="1"/>
    <col min="2557" max="2557" width="11.5546875" style="81"/>
    <col min="2558" max="2558" width="12.88671875" style="81" customWidth="1"/>
    <col min="2559" max="2559" width="11.5546875" style="81"/>
    <col min="2560" max="2560" width="12.33203125" style="81" bestFit="1" customWidth="1"/>
    <col min="2561" max="2561" width="18.88671875" style="81" customWidth="1"/>
    <col min="2562" max="2806" width="11.5546875" style="81"/>
    <col min="2807" max="2807" width="2.109375" style="81" customWidth="1"/>
    <col min="2808" max="2808" width="10" style="81" bestFit="1" customWidth="1"/>
    <col min="2809" max="2809" width="13" style="81" customWidth="1"/>
    <col min="2810" max="2811" width="11.5546875" style="81"/>
    <col min="2812" max="2812" width="11" style="81" bestFit="1" customWidth="1"/>
    <col min="2813" max="2813" width="11.5546875" style="81"/>
    <col min="2814" max="2814" width="12.88671875" style="81" customWidth="1"/>
    <col min="2815" max="2815" width="11.5546875" style="81"/>
    <col min="2816" max="2816" width="12.33203125" style="81" bestFit="1" customWidth="1"/>
    <col min="2817" max="2817" width="18.88671875" style="81" customWidth="1"/>
    <col min="2818" max="3062" width="11.5546875" style="81"/>
    <col min="3063" max="3063" width="2.109375" style="81" customWidth="1"/>
    <col min="3064" max="3064" width="10" style="81" bestFit="1" customWidth="1"/>
    <col min="3065" max="3065" width="13" style="81" customWidth="1"/>
    <col min="3066" max="3067" width="11.5546875" style="81"/>
    <col min="3068" max="3068" width="11" style="81" bestFit="1" customWidth="1"/>
    <col min="3069" max="3069" width="11.5546875" style="81"/>
    <col min="3070" max="3070" width="12.88671875" style="81" customWidth="1"/>
    <col min="3071" max="3071" width="11.5546875" style="81"/>
    <col min="3072" max="3072" width="12.33203125" style="81" bestFit="1" customWidth="1"/>
    <col min="3073" max="3073" width="18.88671875" style="81" customWidth="1"/>
    <col min="3074" max="3318" width="11.5546875" style="81"/>
    <col min="3319" max="3319" width="2.109375" style="81" customWidth="1"/>
    <col min="3320" max="3320" width="10" style="81" bestFit="1" customWidth="1"/>
    <col min="3321" max="3321" width="13" style="81" customWidth="1"/>
    <col min="3322" max="3323" width="11.5546875" style="81"/>
    <col min="3324" max="3324" width="11" style="81" bestFit="1" customWidth="1"/>
    <col min="3325" max="3325" width="11.5546875" style="81"/>
    <col min="3326" max="3326" width="12.88671875" style="81" customWidth="1"/>
    <col min="3327" max="3327" width="11.5546875" style="81"/>
    <col min="3328" max="3328" width="12.33203125" style="81" bestFit="1" customWidth="1"/>
    <col min="3329" max="3329" width="18.88671875" style="81" customWidth="1"/>
    <col min="3330" max="3574" width="11.5546875" style="81"/>
    <col min="3575" max="3575" width="2.109375" style="81" customWidth="1"/>
    <col min="3576" max="3576" width="10" style="81" bestFit="1" customWidth="1"/>
    <col min="3577" max="3577" width="13" style="81" customWidth="1"/>
    <col min="3578" max="3579" width="11.5546875" style="81"/>
    <col min="3580" max="3580" width="11" style="81" bestFit="1" customWidth="1"/>
    <col min="3581" max="3581" width="11.5546875" style="81"/>
    <col min="3582" max="3582" width="12.88671875" style="81" customWidth="1"/>
    <col min="3583" max="3583" width="11.5546875" style="81"/>
    <col min="3584" max="3584" width="12.33203125" style="81" bestFit="1" customWidth="1"/>
    <col min="3585" max="3585" width="18.88671875" style="81" customWidth="1"/>
    <col min="3586" max="3830" width="11.5546875" style="81"/>
    <col min="3831" max="3831" width="2.109375" style="81" customWidth="1"/>
    <col min="3832" max="3832" width="10" style="81" bestFit="1" customWidth="1"/>
    <col min="3833" max="3833" width="13" style="81" customWidth="1"/>
    <col min="3834" max="3835" width="11.5546875" style="81"/>
    <col min="3836" max="3836" width="11" style="81" bestFit="1" customWidth="1"/>
    <col min="3837" max="3837" width="11.5546875" style="81"/>
    <col min="3838" max="3838" width="12.88671875" style="81" customWidth="1"/>
    <col min="3839" max="3839" width="11.5546875" style="81"/>
    <col min="3840" max="3840" width="12.33203125" style="81" bestFit="1" customWidth="1"/>
    <col min="3841" max="3841" width="18.88671875" style="81" customWidth="1"/>
    <col min="3842" max="4086" width="11.5546875" style="81"/>
    <col min="4087" max="4087" width="2.109375" style="81" customWidth="1"/>
    <col min="4088" max="4088" width="10" style="81" bestFit="1" customWidth="1"/>
    <col min="4089" max="4089" width="13" style="81" customWidth="1"/>
    <col min="4090" max="4091" width="11.5546875" style="81"/>
    <col min="4092" max="4092" width="11" style="81" bestFit="1" customWidth="1"/>
    <col min="4093" max="4093" width="11.5546875" style="81"/>
    <col min="4094" max="4094" width="12.88671875" style="81" customWidth="1"/>
    <col min="4095" max="4095" width="11.5546875" style="81"/>
    <col min="4096" max="4096" width="12.33203125" style="81" bestFit="1" customWidth="1"/>
    <col min="4097" max="4097" width="18.88671875" style="81" customWidth="1"/>
    <col min="4098" max="4342" width="11.5546875" style="81"/>
    <col min="4343" max="4343" width="2.109375" style="81" customWidth="1"/>
    <col min="4344" max="4344" width="10" style="81" bestFit="1" customWidth="1"/>
    <col min="4345" max="4345" width="13" style="81" customWidth="1"/>
    <col min="4346" max="4347" width="11.5546875" style="81"/>
    <col min="4348" max="4348" width="11" style="81" bestFit="1" customWidth="1"/>
    <col min="4349" max="4349" width="11.5546875" style="81"/>
    <col min="4350" max="4350" width="12.88671875" style="81" customWidth="1"/>
    <col min="4351" max="4351" width="11.5546875" style="81"/>
    <col min="4352" max="4352" width="12.33203125" style="81" bestFit="1" customWidth="1"/>
    <col min="4353" max="4353" width="18.88671875" style="81" customWidth="1"/>
    <col min="4354" max="4598" width="11.5546875" style="81"/>
    <col min="4599" max="4599" width="2.109375" style="81" customWidth="1"/>
    <col min="4600" max="4600" width="10" style="81" bestFit="1" customWidth="1"/>
    <col min="4601" max="4601" width="13" style="81" customWidth="1"/>
    <col min="4602" max="4603" width="11.5546875" style="81"/>
    <col min="4604" max="4604" width="11" style="81" bestFit="1" customWidth="1"/>
    <col min="4605" max="4605" width="11.5546875" style="81"/>
    <col min="4606" max="4606" width="12.88671875" style="81" customWidth="1"/>
    <col min="4607" max="4607" width="11.5546875" style="81"/>
    <col min="4608" max="4608" width="12.33203125" style="81" bestFit="1" customWidth="1"/>
    <col min="4609" max="4609" width="18.88671875" style="81" customWidth="1"/>
    <col min="4610" max="4854" width="11.5546875" style="81"/>
    <col min="4855" max="4855" width="2.109375" style="81" customWidth="1"/>
    <col min="4856" max="4856" width="10" style="81" bestFit="1" customWidth="1"/>
    <col min="4857" max="4857" width="13" style="81" customWidth="1"/>
    <col min="4858" max="4859" width="11.5546875" style="81"/>
    <col min="4860" max="4860" width="11" style="81" bestFit="1" customWidth="1"/>
    <col min="4861" max="4861" width="11.5546875" style="81"/>
    <col min="4862" max="4862" width="12.88671875" style="81" customWidth="1"/>
    <col min="4863" max="4863" width="11.5546875" style="81"/>
    <col min="4864" max="4864" width="12.33203125" style="81" bestFit="1" customWidth="1"/>
    <col min="4865" max="4865" width="18.88671875" style="81" customWidth="1"/>
    <col min="4866" max="5110" width="11.5546875" style="81"/>
    <col min="5111" max="5111" width="2.109375" style="81" customWidth="1"/>
    <col min="5112" max="5112" width="10" style="81" bestFit="1" customWidth="1"/>
    <col min="5113" max="5113" width="13" style="81" customWidth="1"/>
    <col min="5114" max="5115" width="11.5546875" style="81"/>
    <col min="5116" max="5116" width="11" style="81" bestFit="1" customWidth="1"/>
    <col min="5117" max="5117" width="11.5546875" style="81"/>
    <col min="5118" max="5118" width="12.88671875" style="81" customWidth="1"/>
    <col min="5119" max="5119" width="11.5546875" style="81"/>
    <col min="5120" max="5120" width="12.33203125" style="81" bestFit="1" customWidth="1"/>
    <col min="5121" max="5121" width="18.88671875" style="81" customWidth="1"/>
    <col min="5122" max="5366" width="11.5546875" style="81"/>
    <col min="5367" max="5367" width="2.109375" style="81" customWidth="1"/>
    <col min="5368" max="5368" width="10" style="81" bestFit="1" customWidth="1"/>
    <col min="5369" max="5369" width="13" style="81" customWidth="1"/>
    <col min="5370" max="5371" width="11.5546875" style="81"/>
    <col min="5372" max="5372" width="11" style="81" bestFit="1" customWidth="1"/>
    <col min="5373" max="5373" width="11.5546875" style="81"/>
    <col min="5374" max="5374" width="12.88671875" style="81" customWidth="1"/>
    <col min="5375" max="5375" width="11.5546875" style="81"/>
    <col min="5376" max="5376" width="12.33203125" style="81" bestFit="1" customWidth="1"/>
    <col min="5377" max="5377" width="18.88671875" style="81" customWidth="1"/>
    <col min="5378" max="5622" width="11.5546875" style="81"/>
    <col min="5623" max="5623" width="2.109375" style="81" customWidth="1"/>
    <col min="5624" max="5624" width="10" style="81" bestFit="1" customWidth="1"/>
    <col min="5625" max="5625" width="13" style="81" customWidth="1"/>
    <col min="5626" max="5627" width="11.5546875" style="81"/>
    <col min="5628" max="5628" width="11" style="81" bestFit="1" customWidth="1"/>
    <col min="5629" max="5629" width="11.5546875" style="81"/>
    <col min="5630" max="5630" width="12.88671875" style="81" customWidth="1"/>
    <col min="5631" max="5631" width="11.5546875" style="81"/>
    <col min="5632" max="5632" width="12.33203125" style="81" bestFit="1" customWidth="1"/>
    <col min="5633" max="5633" width="18.88671875" style="81" customWidth="1"/>
    <col min="5634" max="5878" width="11.5546875" style="81"/>
    <col min="5879" max="5879" width="2.109375" style="81" customWidth="1"/>
    <col min="5880" max="5880" width="10" style="81" bestFit="1" customWidth="1"/>
    <col min="5881" max="5881" width="13" style="81" customWidth="1"/>
    <col min="5882" max="5883" width="11.5546875" style="81"/>
    <col min="5884" max="5884" width="11" style="81" bestFit="1" customWidth="1"/>
    <col min="5885" max="5885" width="11.5546875" style="81"/>
    <col min="5886" max="5886" width="12.88671875" style="81" customWidth="1"/>
    <col min="5887" max="5887" width="11.5546875" style="81"/>
    <col min="5888" max="5888" width="12.33203125" style="81" bestFit="1" customWidth="1"/>
    <col min="5889" max="5889" width="18.88671875" style="81" customWidth="1"/>
    <col min="5890" max="6134" width="11.5546875" style="81"/>
    <col min="6135" max="6135" width="2.109375" style="81" customWidth="1"/>
    <col min="6136" max="6136" width="10" style="81" bestFit="1" customWidth="1"/>
    <col min="6137" max="6137" width="13" style="81" customWidth="1"/>
    <col min="6138" max="6139" width="11.5546875" style="81"/>
    <col min="6140" max="6140" width="11" style="81" bestFit="1" customWidth="1"/>
    <col min="6141" max="6141" width="11.5546875" style="81"/>
    <col min="6142" max="6142" width="12.88671875" style="81" customWidth="1"/>
    <col min="6143" max="6143" width="11.5546875" style="81"/>
    <col min="6144" max="6144" width="12.33203125" style="81" bestFit="1" customWidth="1"/>
    <col min="6145" max="6145" width="18.88671875" style="81" customWidth="1"/>
    <col min="6146" max="6390" width="11.5546875" style="81"/>
    <col min="6391" max="6391" width="2.109375" style="81" customWidth="1"/>
    <col min="6392" max="6392" width="10" style="81" bestFit="1" customWidth="1"/>
    <col min="6393" max="6393" width="13" style="81" customWidth="1"/>
    <col min="6394" max="6395" width="11.5546875" style="81"/>
    <col min="6396" max="6396" width="11" style="81" bestFit="1" customWidth="1"/>
    <col min="6397" max="6397" width="11.5546875" style="81"/>
    <col min="6398" max="6398" width="12.88671875" style="81" customWidth="1"/>
    <col min="6399" max="6399" width="11.5546875" style="81"/>
    <col min="6400" max="6400" width="12.33203125" style="81" bestFit="1" customWidth="1"/>
    <col min="6401" max="6401" width="18.88671875" style="81" customWidth="1"/>
    <col min="6402" max="6646" width="11.5546875" style="81"/>
    <col min="6647" max="6647" width="2.109375" style="81" customWidth="1"/>
    <col min="6648" max="6648" width="10" style="81" bestFit="1" customWidth="1"/>
    <col min="6649" max="6649" width="13" style="81" customWidth="1"/>
    <col min="6650" max="6651" width="11.5546875" style="81"/>
    <col min="6652" max="6652" width="11" style="81" bestFit="1" customWidth="1"/>
    <col min="6653" max="6653" width="11.5546875" style="81"/>
    <col min="6654" max="6654" width="12.88671875" style="81" customWidth="1"/>
    <col min="6655" max="6655" width="11.5546875" style="81"/>
    <col min="6656" max="6656" width="12.33203125" style="81" bestFit="1" customWidth="1"/>
    <col min="6657" max="6657" width="18.88671875" style="81" customWidth="1"/>
    <col min="6658" max="6902" width="11.5546875" style="81"/>
    <col min="6903" max="6903" width="2.109375" style="81" customWidth="1"/>
    <col min="6904" max="6904" width="10" style="81" bestFit="1" customWidth="1"/>
    <col min="6905" max="6905" width="13" style="81" customWidth="1"/>
    <col min="6906" max="6907" width="11.5546875" style="81"/>
    <col min="6908" max="6908" width="11" style="81" bestFit="1" customWidth="1"/>
    <col min="6909" max="6909" width="11.5546875" style="81"/>
    <col min="6910" max="6910" width="12.88671875" style="81" customWidth="1"/>
    <col min="6911" max="6911" width="11.5546875" style="81"/>
    <col min="6912" max="6912" width="12.33203125" style="81" bestFit="1" customWidth="1"/>
    <col min="6913" max="6913" width="18.88671875" style="81" customWidth="1"/>
    <col min="6914" max="7158" width="11.5546875" style="81"/>
    <col min="7159" max="7159" width="2.109375" style="81" customWidth="1"/>
    <col min="7160" max="7160" width="10" style="81" bestFit="1" customWidth="1"/>
    <col min="7161" max="7161" width="13" style="81" customWidth="1"/>
    <col min="7162" max="7163" width="11.5546875" style="81"/>
    <col min="7164" max="7164" width="11" style="81" bestFit="1" customWidth="1"/>
    <col min="7165" max="7165" width="11.5546875" style="81"/>
    <col min="7166" max="7166" width="12.88671875" style="81" customWidth="1"/>
    <col min="7167" max="7167" width="11.5546875" style="81"/>
    <col min="7168" max="7168" width="12.33203125" style="81" bestFit="1" customWidth="1"/>
    <col min="7169" max="7169" width="18.88671875" style="81" customWidth="1"/>
    <col min="7170" max="7414" width="11.5546875" style="81"/>
    <col min="7415" max="7415" width="2.109375" style="81" customWidth="1"/>
    <col min="7416" max="7416" width="10" style="81" bestFit="1" customWidth="1"/>
    <col min="7417" max="7417" width="13" style="81" customWidth="1"/>
    <col min="7418" max="7419" width="11.5546875" style="81"/>
    <col min="7420" max="7420" width="11" style="81" bestFit="1" customWidth="1"/>
    <col min="7421" max="7421" width="11.5546875" style="81"/>
    <col min="7422" max="7422" width="12.88671875" style="81" customWidth="1"/>
    <col min="7423" max="7423" width="11.5546875" style="81"/>
    <col min="7424" max="7424" width="12.33203125" style="81" bestFit="1" customWidth="1"/>
    <col min="7425" max="7425" width="18.88671875" style="81" customWidth="1"/>
    <col min="7426" max="7670" width="11.5546875" style="81"/>
    <col min="7671" max="7671" width="2.109375" style="81" customWidth="1"/>
    <col min="7672" max="7672" width="10" style="81" bestFit="1" customWidth="1"/>
    <col min="7673" max="7673" width="13" style="81" customWidth="1"/>
    <col min="7674" max="7675" width="11.5546875" style="81"/>
    <col min="7676" max="7676" width="11" style="81" bestFit="1" customWidth="1"/>
    <col min="7677" max="7677" width="11.5546875" style="81"/>
    <col min="7678" max="7678" width="12.88671875" style="81" customWidth="1"/>
    <col min="7679" max="7679" width="11.5546875" style="81"/>
    <col min="7680" max="7680" width="12.33203125" style="81" bestFit="1" customWidth="1"/>
    <col min="7681" max="7681" width="18.88671875" style="81" customWidth="1"/>
    <col min="7682" max="7926" width="11.5546875" style="81"/>
    <col min="7927" max="7927" width="2.109375" style="81" customWidth="1"/>
    <col min="7928" max="7928" width="10" style="81" bestFit="1" customWidth="1"/>
    <col min="7929" max="7929" width="13" style="81" customWidth="1"/>
    <col min="7930" max="7931" width="11.5546875" style="81"/>
    <col min="7932" max="7932" width="11" style="81" bestFit="1" customWidth="1"/>
    <col min="7933" max="7933" width="11.5546875" style="81"/>
    <col min="7934" max="7934" width="12.88671875" style="81" customWidth="1"/>
    <col min="7935" max="7935" width="11.5546875" style="81"/>
    <col min="7936" max="7936" width="12.33203125" style="81" bestFit="1" customWidth="1"/>
    <col min="7937" max="7937" width="18.88671875" style="81" customWidth="1"/>
    <col min="7938" max="8182" width="11.5546875" style="81"/>
    <col min="8183" max="8183" width="2.109375" style="81" customWidth="1"/>
    <col min="8184" max="8184" width="10" style="81" bestFit="1" customWidth="1"/>
    <col min="8185" max="8185" width="13" style="81" customWidth="1"/>
    <col min="8186" max="8187" width="11.5546875" style="81"/>
    <col min="8188" max="8188" width="11" style="81" bestFit="1" customWidth="1"/>
    <col min="8189" max="8189" width="11.5546875" style="81"/>
    <col min="8190" max="8190" width="12.88671875" style="81" customWidth="1"/>
    <col min="8191" max="8191" width="11.5546875" style="81"/>
    <col min="8192" max="8192" width="12.33203125" style="81" bestFit="1" customWidth="1"/>
    <col min="8193" max="8193" width="18.88671875" style="81" customWidth="1"/>
    <col min="8194" max="8438" width="11.5546875" style="81"/>
    <col min="8439" max="8439" width="2.109375" style="81" customWidth="1"/>
    <col min="8440" max="8440" width="10" style="81" bestFit="1" customWidth="1"/>
    <col min="8441" max="8441" width="13" style="81" customWidth="1"/>
    <col min="8442" max="8443" width="11.5546875" style="81"/>
    <col min="8444" max="8444" width="11" style="81" bestFit="1" customWidth="1"/>
    <col min="8445" max="8445" width="11.5546875" style="81"/>
    <col min="8446" max="8446" width="12.88671875" style="81" customWidth="1"/>
    <col min="8447" max="8447" width="11.5546875" style="81"/>
    <col min="8448" max="8448" width="12.33203125" style="81" bestFit="1" customWidth="1"/>
    <col min="8449" max="8449" width="18.88671875" style="81" customWidth="1"/>
    <col min="8450" max="8694" width="11.5546875" style="81"/>
    <col min="8695" max="8695" width="2.109375" style="81" customWidth="1"/>
    <col min="8696" max="8696" width="10" style="81" bestFit="1" customWidth="1"/>
    <col min="8697" max="8697" width="13" style="81" customWidth="1"/>
    <col min="8698" max="8699" width="11.5546875" style="81"/>
    <col min="8700" max="8700" width="11" style="81" bestFit="1" customWidth="1"/>
    <col min="8701" max="8701" width="11.5546875" style="81"/>
    <col min="8702" max="8702" width="12.88671875" style="81" customWidth="1"/>
    <col min="8703" max="8703" width="11.5546875" style="81"/>
    <col min="8704" max="8704" width="12.33203125" style="81" bestFit="1" customWidth="1"/>
    <col min="8705" max="8705" width="18.88671875" style="81" customWidth="1"/>
    <col min="8706" max="8950" width="11.5546875" style="81"/>
    <col min="8951" max="8951" width="2.109375" style="81" customWidth="1"/>
    <col min="8952" max="8952" width="10" style="81" bestFit="1" customWidth="1"/>
    <col min="8953" max="8953" width="13" style="81" customWidth="1"/>
    <col min="8954" max="8955" width="11.5546875" style="81"/>
    <col min="8956" max="8956" width="11" style="81" bestFit="1" customWidth="1"/>
    <col min="8957" max="8957" width="11.5546875" style="81"/>
    <col min="8958" max="8958" width="12.88671875" style="81" customWidth="1"/>
    <col min="8959" max="8959" width="11.5546875" style="81"/>
    <col min="8960" max="8960" width="12.33203125" style="81" bestFit="1" customWidth="1"/>
    <col min="8961" max="8961" width="18.88671875" style="81" customWidth="1"/>
    <col min="8962" max="9206" width="11.5546875" style="81"/>
    <col min="9207" max="9207" width="2.109375" style="81" customWidth="1"/>
    <col min="9208" max="9208" width="10" style="81" bestFit="1" customWidth="1"/>
    <col min="9209" max="9209" width="13" style="81" customWidth="1"/>
    <col min="9210" max="9211" width="11.5546875" style="81"/>
    <col min="9212" max="9212" width="11" style="81" bestFit="1" customWidth="1"/>
    <col min="9213" max="9213" width="11.5546875" style="81"/>
    <col min="9214" max="9214" width="12.88671875" style="81" customWidth="1"/>
    <col min="9215" max="9215" width="11.5546875" style="81"/>
    <col min="9216" max="9216" width="12.33203125" style="81" bestFit="1" customWidth="1"/>
    <col min="9217" max="9217" width="18.88671875" style="81" customWidth="1"/>
    <col min="9218" max="9462" width="11.5546875" style="81"/>
    <col min="9463" max="9463" width="2.109375" style="81" customWidth="1"/>
    <col min="9464" max="9464" width="10" style="81" bestFit="1" customWidth="1"/>
    <col min="9465" max="9465" width="13" style="81" customWidth="1"/>
    <col min="9466" max="9467" width="11.5546875" style="81"/>
    <col min="9468" max="9468" width="11" style="81" bestFit="1" customWidth="1"/>
    <col min="9469" max="9469" width="11.5546875" style="81"/>
    <col min="9470" max="9470" width="12.88671875" style="81" customWidth="1"/>
    <col min="9471" max="9471" width="11.5546875" style="81"/>
    <col min="9472" max="9472" width="12.33203125" style="81" bestFit="1" customWidth="1"/>
    <col min="9473" max="9473" width="18.88671875" style="81" customWidth="1"/>
    <col min="9474" max="9718" width="11.5546875" style="81"/>
    <col min="9719" max="9719" width="2.109375" style="81" customWidth="1"/>
    <col min="9720" max="9720" width="10" style="81" bestFit="1" customWidth="1"/>
    <col min="9721" max="9721" width="13" style="81" customWidth="1"/>
    <col min="9722" max="9723" width="11.5546875" style="81"/>
    <col min="9724" max="9724" width="11" style="81" bestFit="1" customWidth="1"/>
    <col min="9725" max="9725" width="11.5546875" style="81"/>
    <col min="9726" max="9726" width="12.88671875" style="81" customWidth="1"/>
    <col min="9727" max="9727" width="11.5546875" style="81"/>
    <col min="9728" max="9728" width="12.33203125" style="81" bestFit="1" customWidth="1"/>
    <col min="9729" max="9729" width="18.88671875" style="81" customWidth="1"/>
    <col min="9730" max="9974" width="11.5546875" style="81"/>
    <col min="9975" max="9975" width="2.109375" style="81" customWidth="1"/>
    <col min="9976" max="9976" width="10" style="81" bestFit="1" customWidth="1"/>
    <col min="9977" max="9977" width="13" style="81" customWidth="1"/>
    <col min="9978" max="9979" width="11.5546875" style="81"/>
    <col min="9980" max="9980" width="11" style="81" bestFit="1" customWidth="1"/>
    <col min="9981" max="9981" width="11.5546875" style="81"/>
    <col min="9982" max="9982" width="12.88671875" style="81" customWidth="1"/>
    <col min="9983" max="9983" width="11.5546875" style="81"/>
    <col min="9984" max="9984" width="12.33203125" style="81" bestFit="1" customWidth="1"/>
    <col min="9985" max="9985" width="18.88671875" style="81" customWidth="1"/>
    <col min="9986" max="10230" width="11.5546875" style="81"/>
    <col min="10231" max="10231" width="2.109375" style="81" customWidth="1"/>
    <col min="10232" max="10232" width="10" style="81" bestFit="1" customWidth="1"/>
    <col min="10233" max="10233" width="13" style="81" customWidth="1"/>
    <col min="10234" max="10235" width="11.5546875" style="81"/>
    <col min="10236" max="10236" width="11" style="81" bestFit="1" customWidth="1"/>
    <col min="10237" max="10237" width="11.5546875" style="81"/>
    <col min="10238" max="10238" width="12.88671875" style="81" customWidth="1"/>
    <col min="10239" max="10239" width="11.5546875" style="81"/>
    <col min="10240" max="10240" width="12.33203125" style="81" bestFit="1" customWidth="1"/>
    <col min="10241" max="10241" width="18.88671875" style="81" customWidth="1"/>
    <col min="10242" max="10486" width="11.5546875" style="81"/>
    <col min="10487" max="10487" width="2.109375" style="81" customWidth="1"/>
    <col min="10488" max="10488" width="10" style="81" bestFit="1" customWidth="1"/>
    <col min="10489" max="10489" width="13" style="81" customWidth="1"/>
    <col min="10490" max="10491" width="11.5546875" style="81"/>
    <col min="10492" max="10492" width="11" style="81" bestFit="1" customWidth="1"/>
    <col min="10493" max="10493" width="11.5546875" style="81"/>
    <col min="10494" max="10494" width="12.88671875" style="81" customWidth="1"/>
    <col min="10495" max="10495" width="11.5546875" style="81"/>
    <col min="10496" max="10496" width="12.33203125" style="81" bestFit="1" customWidth="1"/>
    <col min="10497" max="10497" width="18.88671875" style="81" customWidth="1"/>
    <col min="10498" max="10742" width="11.5546875" style="81"/>
    <col min="10743" max="10743" width="2.109375" style="81" customWidth="1"/>
    <col min="10744" max="10744" width="10" style="81" bestFit="1" customWidth="1"/>
    <col min="10745" max="10745" width="13" style="81" customWidth="1"/>
    <col min="10746" max="10747" width="11.5546875" style="81"/>
    <col min="10748" max="10748" width="11" style="81" bestFit="1" customWidth="1"/>
    <col min="10749" max="10749" width="11.5546875" style="81"/>
    <col min="10750" max="10750" width="12.88671875" style="81" customWidth="1"/>
    <col min="10751" max="10751" width="11.5546875" style="81"/>
    <col min="10752" max="10752" width="12.33203125" style="81" bestFit="1" customWidth="1"/>
    <col min="10753" max="10753" width="18.88671875" style="81" customWidth="1"/>
    <col min="10754" max="10998" width="11.5546875" style="81"/>
    <col min="10999" max="10999" width="2.109375" style="81" customWidth="1"/>
    <col min="11000" max="11000" width="10" style="81" bestFit="1" customWidth="1"/>
    <col min="11001" max="11001" width="13" style="81" customWidth="1"/>
    <col min="11002" max="11003" width="11.5546875" style="81"/>
    <col min="11004" max="11004" width="11" style="81" bestFit="1" customWidth="1"/>
    <col min="11005" max="11005" width="11.5546875" style="81"/>
    <col min="11006" max="11006" width="12.88671875" style="81" customWidth="1"/>
    <col min="11007" max="11007" width="11.5546875" style="81"/>
    <col min="11008" max="11008" width="12.33203125" style="81" bestFit="1" customWidth="1"/>
    <col min="11009" max="11009" width="18.88671875" style="81" customWidth="1"/>
    <col min="11010" max="11254" width="11.5546875" style="81"/>
    <col min="11255" max="11255" width="2.109375" style="81" customWidth="1"/>
    <col min="11256" max="11256" width="10" style="81" bestFit="1" customWidth="1"/>
    <col min="11257" max="11257" width="13" style="81" customWidth="1"/>
    <col min="11258" max="11259" width="11.5546875" style="81"/>
    <col min="11260" max="11260" width="11" style="81" bestFit="1" customWidth="1"/>
    <col min="11261" max="11261" width="11.5546875" style="81"/>
    <col min="11262" max="11262" width="12.88671875" style="81" customWidth="1"/>
    <col min="11263" max="11263" width="11.5546875" style="81"/>
    <col min="11264" max="11264" width="12.33203125" style="81" bestFit="1" customWidth="1"/>
    <col min="11265" max="11265" width="18.88671875" style="81" customWidth="1"/>
    <col min="11266" max="11510" width="11.5546875" style="81"/>
    <col min="11511" max="11511" width="2.109375" style="81" customWidth="1"/>
    <col min="11512" max="11512" width="10" style="81" bestFit="1" customWidth="1"/>
    <col min="11513" max="11513" width="13" style="81" customWidth="1"/>
    <col min="11514" max="11515" width="11.5546875" style="81"/>
    <col min="11516" max="11516" width="11" style="81" bestFit="1" customWidth="1"/>
    <col min="11517" max="11517" width="11.5546875" style="81"/>
    <col min="11518" max="11518" width="12.88671875" style="81" customWidth="1"/>
    <col min="11519" max="11519" width="11.5546875" style="81"/>
    <col min="11520" max="11520" width="12.33203125" style="81" bestFit="1" customWidth="1"/>
    <col min="11521" max="11521" width="18.88671875" style="81" customWidth="1"/>
    <col min="11522" max="11766" width="11.5546875" style="81"/>
    <col min="11767" max="11767" width="2.109375" style="81" customWidth="1"/>
    <col min="11768" max="11768" width="10" style="81" bestFit="1" customWidth="1"/>
    <col min="11769" max="11769" width="13" style="81" customWidth="1"/>
    <col min="11770" max="11771" width="11.5546875" style="81"/>
    <col min="11772" max="11772" width="11" style="81" bestFit="1" customWidth="1"/>
    <col min="11773" max="11773" width="11.5546875" style="81"/>
    <col min="11774" max="11774" width="12.88671875" style="81" customWidth="1"/>
    <col min="11775" max="11775" width="11.5546875" style="81"/>
    <col min="11776" max="11776" width="12.33203125" style="81" bestFit="1" customWidth="1"/>
    <col min="11777" max="11777" width="18.88671875" style="81" customWidth="1"/>
    <col min="11778" max="12022" width="11.5546875" style="81"/>
    <col min="12023" max="12023" width="2.109375" style="81" customWidth="1"/>
    <col min="12024" max="12024" width="10" style="81" bestFit="1" customWidth="1"/>
    <col min="12025" max="12025" width="13" style="81" customWidth="1"/>
    <col min="12026" max="12027" width="11.5546875" style="81"/>
    <col min="12028" max="12028" width="11" style="81" bestFit="1" customWidth="1"/>
    <col min="12029" max="12029" width="11.5546875" style="81"/>
    <col min="12030" max="12030" width="12.88671875" style="81" customWidth="1"/>
    <col min="12031" max="12031" width="11.5546875" style="81"/>
    <col min="12032" max="12032" width="12.33203125" style="81" bestFit="1" customWidth="1"/>
    <col min="12033" max="12033" width="18.88671875" style="81" customWidth="1"/>
    <col min="12034" max="12278" width="11.5546875" style="81"/>
    <col min="12279" max="12279" width="2.109375" style="81" customWidth="1"/>
    <col min="12280" max="12280" width="10" style="81" bestFit="1" customWidth="1"/>
    <col min="12281" max="12281" width="13" style="81" customWidth="1"/>
    <col min="12282" max="12283" width="11.5546875" style="81"/>
    <col min="12284" max="12284" width="11" style="81" bestFit="1" customWidth="1"/>
    <col min="12285" max="12285" width="11.5546875" style="81"/>
    <col min="12286" max="12286" width="12.88671875" style="81" customWidth="1"/>
    <col min="12287" max="12287" width="11.5546875" style="81"/>
    <col min="12288" max="12288" width="12.33203125" style="81" bestFit="1" customWidth="1"/>
    <col min="12289" max="12289" width="18.88671875" style="81" customWidth="1"/>
    <col min="12290" max="12534" width="11.5546875" style="81"/>
    <col min="12535" max="12535" width="2.109375" style="81" customWidth="1"/>
    <col min="12536" max="12536" width="10" style="81" bestFit="1" customWidth="1"/>
    <col min="12537" max="12537" width="13" style="81" customWidth="1"/>
    <col min="12538" max="12539" width="11.5546875" style="81"/>
    <col min="12540" max="12540" width="11" style="81" bestFit="1" customWidth="1"/>
    <col min="12541" max="12541" width="11.5546875" style="81"/>
    <col min="12542" max="12542" width="12.88671875" style="81" customWidth="1"/>
    <col min="12543" max="12543" width="11.5546875" style="81"/>
    <col min="12544" max="12544" width="12.33203125" style="81" bestFit="1" customWidth="1"/>
    <col min="12545" max="12545" width="18.88671875" style="81" customWidth="1"/>
    <col min="12546" max="12790" width="11.5546875" style="81"/>
    <col min="12791" max="12791" width="2.109375" style="81" customWidth="1"/>
    <col min="12792" max="12792" width="10" style="81" bestFit="1" customWidth="1"/>
    <col min="12793" max="12793" width="13" style="81" customWidth="1"/>
    <col min="12794" max="12795" width="11.5546875" style="81"/>
    <col min="12796" max="12796" width="11" style="81" bestFit="1" customWidth="1"/>
    <col min="12797" max="12797" width="11.5546875" style="81"/>
    <col min="12798" max="12798" width="12.88671875" style="81" customWidth="1"/>
    <col min="12799" max="12799" width="11.5546875" style="81"/>
    <col min="12800" max="12800" width="12.33203125" style="81" bestFit="1" customWidth="1"/>
    <col min="12801" max="12801" width="18.88671875" style="81" customWidth="1"/>
    <col min="12802" max="13046" width="11.5546875" style="81"/>
    <col min="13047" max="13047" width="2.109375" style="81" customWidth="1"/>
    <col min="13048" max="13048" width="10" style="81" bestFit="1" customWidth="1"/>
    <col min="13049" max="13049" width="13" style="81" customWidth="1"/>
    <col min="13050" max="13051" width="11.5546875" style="81"/>
    <col min="13052" max="13052" width="11" style="81" bestFit="1" customWidth="1"/>
    <col min="13053" max="13053" width="11.5546875" style="81"/>
    <col min="13054" max="13054" width="12.88671875" style="81" customWidth="1"/>
    <col min="13055" max="13055" width="11.5546875" style="81"/>
    <col min="13056" max="13056" width="12.33203125" style="81" bestFit="1" customWidth="1"/>
    <col min="13057" max="13057" width="18.88671875" style="81" customWidth="1"/>
    <col min="13058" max="13302" width="11.5546875" style="81"/>
    <col min="13303" max="13303" width="2.109375" style="81" customWidth="1"/>
    <col min="13304" max="13304" width="10" style="81" bestFit="1" customWidth="1"/>
    <col min="13305" max="13305" width="13" style="81" customWidth="1"/>
    <col min="13306" max="13307" width="11.5546875" style="81"/>
    <col min="13308" max="13308" width="11" style="81" bestFit="1" customWidth="1"/>
    <col min="13309" max="13309" width="11.5546875" style="81"/>
    <col min="13310" max="13310" width="12.88671875" style="81" customWidth="1"/>
    <col min="13311" max="13311" width="11.5546875" style="81"/>
    <col min="13312" max="13312" width="12.33203125" style="81" bestFit="1" customWidth="1"/>
    <col min="13313" max="13313" width="18.88671875" style="81" customWidth="1"/>
    <col min="13314" max="13558" width="11.5546875" style="81"/>
    <col min="13559" max="13559" width="2.109375" style="81" customWidth="1"/>
    <col min="13560" max="13560" width="10" style="81" bestFit="1" customWidth="1"/>
    <col min="13561" max="13561" width="13" style="81" customWidth="1"/>
    <col min="13562" max="13563" width="11.5546875" style="81"/>
    <col min="13564" max="13564" width="11" style="81" bestFit="1" customWidth="1"/>
    <col min="13565" max="13565" width="11.5546875" style="81"/>
    <col min="13566" max="13566" width="12.88671875" style="81" customWidth="1"/>
    <col min="13567" max="13567" width="11.5546875" style="81"/>
    <col min="13568" max="13568" width="12.33203125" style="81" bestFit="1" customWidth="1"/>
    <col min="13569" max="13569" width="18.88671875" style="81" customWidth="1"/>
    <col min="13570" max="13814" width="11.5546875" style="81"/>
    <col min="13815" max="13815" width="2.109375" style="81" customWidth="1"/>
    <col min="13816" max="13816" width="10" style="81" bestFit="1" customWidth="1"/>
    <col min="13817" max="13817" width="13" style="81" customWidth="1"/>
    <col min="13818" max="13819" width="11.5546875" style="81"/>
    <col min="13820" max="13820" width="11" style="81" bestFit="1" customWidth="1"/>
    <col min="13821" max="13821" width="11.5546875" style="81"/>
    <col min="13822" max="13822" width="12.88671875" style="81" customWidth="1"/>
    <col min="13823" max="13823" width="11.5546875" style="81"/>
    <col min="13824" max="13824" width="12.33203125" style="81" bestFit="1" customWidth="1"/>
    <col min="13825" max="13825" width="18.88671875" style="81" customWidth="1"/>
    <col min="13826" max="14070" width="11.5546875" style="81"/>
    <col min="14071" max="14071" width="2.109375" style="81" customWidth="1"/>
    <col min="14072" max="14072" width="10" style="81" bestFit="1" customWidth="1"/>
    <col min="14073" max="14073" width="13" style="81" customWidth="1"/>
    <col min="14074" max="14075" width="11.5546875" style="81"/>
    <col min="14076" max="14076" width="11" style="81" bestFit="1" customWidth="1"/>
    <col min="14077" max="14077" width="11.5546875" style="81"/>
    <col min="14078" max="14078" width="12.88671875" style="81" customWidth="1"/>
    <col min="14079" max="14079" width="11.5546875" style="81"/>
    <col min="14080" max="14080" width="12.33203125" style="81" bestFit="1" customWidth="1"/>
    <col min="14081" max="14081" width="18.88671875" style="81" customWidth="1"/>
    <col min="14082" max="14326" width="11.5546875" style="81"/>
    <col min="14327" max="14327" width="2.109375" style="81" customWidth="1"/>
    <col min="14328" max="14328" width="10" style="81" bestFit="1" customWidth="1"/>
    <col min="14329" max="14329" width="13" style="81" customWidth="1"/>
    <col min="14330" max="14331" width="11.5546875" style="81"/>
    <col min="14332" max="14332" width="11" style="81" bestFit="1" customWidth="1"/>
    <col min="14333" max="14333" width="11.5546875" style="81"/>
    <col min="14334" max="14334" width="12.88671875" style="81" customWidth="1"/>
    <col min="14335" max="14335" width="11.5546875" style="81"/>
    <col min="14336" max="14336" width="12.33203125" style="81" bestFit="1" customWidth="1"/>
    <col min="14337" max="14337" width="18.88671875" style="81" customWidth="1"/>
    <col min="14338" max="14582" width="11.5546875" style="81"/>
    <col min="14583" max="14583" width="2.109375" style="81" customWidth="1"/>
    <col min="14584" max="14584" width="10" style="81" bestFit="1" customWidth="1"/>
    <col min="14585" max="14585" width="13" style="81" customWidth="1"/>
    <col min="14586" max="14587" width="11.5546875" style="81"/>
    <col min="14588" max="14588" width="11" style="81" bestFit="1" customWidth="1"/>
    <col min="14589" max="14589" width="11.5546875" style="81"/>
    <col min="14590" max="14590" width="12.88671875" style="81" customWidth="1"/>
    <col min="14591" max="14591" width="11.5546875" style="81"/>
    <col min="14592" max="14592" width="12.33203125" style="81" bestFit="1" customWidth="1"/>
    <col min="14593" max="14593" width="18.88671875" style="81" customWidth="1"/>
    <col min="14594" max="14838" width="11.5546875" style="81"/>
    <col min="14839" max="14839" width="2.109375" style="81" customWidth="1"/>
    <col min="14840" max="14840" width="10" style="81" bestFit="1" customWidth="1"/>
    <col min="14841" max="14841" width="13" style="81" customWidth="1"/>
    <col min="14842" max="14843" width="11.5546875" style="81"/>
    <col min="14844" max="14844" width="11" style="81" bestFit="1" customWidth="1"/>
    <col min="14845" max="14845" width="11.5546875" style="81"/>
    <col min="14846" max="14846" width="12.88671875" style="81" customWidth="1"/>
    <col min="14847" max="14847" width="11.5546875" style="81"/>
    <col min="14848" max="14848" width="12.33203125" style="81" bestFit="1" customWidth="1"/>
    <col min="14849" max="14849" width="18.88671875" style="81" customWidth="1"/>
    <col min="14850" max="15094" width="11.5546875" style="81"/>
    <col min="15095" max="15095" width="2.109375" style="81" customWidth="1"/>
    <col min="15096" max="15096" width="10" style="81" bestFit="1" customWidth="1"/>
    <col min="15097" max="15097" width="13" style="81" customWidth="1"/>
    <col min="15098" max="15099" width="11.5546875" style="81"/>
    <col min="15100" max="15100" width="11" style="81" bestFit="1" customWidth="1"/>
    <col min="15101" max="15101" width="11.5546875" style="81"/>
    <col min="15102" max="15102" width="12.88671875" style="81" customWidth="1"/>
    <col min="15103" max="15103" width="11.5546875" style="81"/>
    <col min="15104" max="15104" width="12.33203125" style="81" bestFit="1" customWidth="1"/>
    <col min="15105" max="15105" width="18.88671875" style="81" customWidth="1"/>
    <col min="15106" max="15350" width="11.5546875" style="81"/>
    <col min="15351" max="15351" width="2.109375" style="81" customWidth="1"/>
    <col min="15352" max="15352" width="10" style="81" bestFit="1" customWidth="1"/>
    <col min="15353" max="15353" width="13" style="81" customWidth="1"/>
    <col min="15354" max="15355" width="11.5546875" style="81"/>
    <col min="15356" max="15356" width="11" style="81" bestFit="1" customWidth="1"/>
    <col min="15357" max="15357" width="11.5546875" style="81"/>
    <col min="15358" max="15358" width="12.88671875" style="81" customWidth="1"/>
    <col min="15359" max="15359" width="11.5546875" style="81"/>
    <col min="15360" max="15360" width="12.33203125" style="81" bestFit="1" customWidth="1"/>
    <col min="15361" max="15361" width="18.88671875" style="81" customWidth="1"/>
    <col min="15362" max="15606" width="11.5546875" style="81"/>
    <col min="15607" max="15607" width="2.109375" style="81" customWidth="1"/>
    <col min="15608" max="15608" width="10" style="81" bestFit="1" customWidth="1"/>
    <col min="15609" max="15609" width="13" style="81" customWidth="1"/>
    <col min="15610" max="15611" width="11.5546875" style="81"/>
    <col min="15612" max="15612" width="11" style="81" bestFit="1" customWidth="1"/>
    <col min="15613" max="15613" width="11.5546875" style="81"/>
    <col min="15614" max="15614" width="12.88671875" style="81" customWidth="1"/>
    <col min="15615" max="15615" width="11.5546875" style="81"/>
    <col min="15616" max="15616" width="12.33203125" style="81" bestFit="1" customWidth="1"/>
    <col min="15617" max="15617" width="18.88671875" style="81" customWidth="1"/>
    <col min="15618" max="15862" width="11.5546875" style="81"/>
    <col min="15863" max="15863" width="2.109375" style="81" customWidth="1"/>
    <col min="15864" max="15864" width="10" style="81" bestFit="1" customWidth="1"/>
    <col min="15865" max="15865" width="13" style="81" customWidth="1"/>
    <col min="15866" max="15867" width="11.5546875" style="81"/>
    <col min="15868" max="15868" width="11" style="81" bestFit="1" customWidth="1"/>
    <col min="15869" max="15869" width="11.5546875" style="81"/>
    <col min="15870" max="15870" width="12.88671875" style="81" customWidth="1"/>
    <col min="15871" max="15871" width="11.5546875" style="81"/>
    <col min="15872" max="15872" width="12.33203125" style="81" bestFit="1" customWidth="1"/>
    <col min="15873" max="15873" width="18.88671875" style="81" customWidth="1"/>
    <col min="15874" max="16118" width="11.5546875" style="81"/>
    <col min="16119" max="16119" width="2.109375" style="81" customWidth="1"/>
    <col min="16120" max="16120" width="10" style="81" bestFit="1" customWidth="1"/>
    <col min="16121" max="16121" width="13" style="81" customWidth="1"/>
    <col min="16122" max="16123" width="11.5546875" style="81"/>
    <col min="16124" max="16124" width="11" style="81" bestFit="1" customWidth="1"/>
    <col min="16125" max="16125" width="11.5546875" style="81"/>
    <col min="16126" max="16126" width="12.88671875" style="81" customWidth="1"/>
    <col min="16127" max="16127" width="11.5546875" style="81"/>
    <col min="16128" max="16128" width="12.33203125" style="81" bestFit="1" customWidth="1"/>
    <col min="16129" max="16129" width="18.88671875" style="81" customWidth="1"/>
    <col min="16130" max="16384" width="11.5546875" style="81"/>
  </cols>
  <sheetData>
    <row r="1" spans="2:18" ht="17.25" customHeight="1"/>
    <row r="2" spans="2:18" ht="98.25" customHeight="1">
      <c r="C2" s="874"/>
      <c r="D2" s="875"/>
      <c r="E2" s="875"/>
      <c r="F2" s="875"/>
      <c r="G2" s="875"/>
      <c r="H2" s="875"/>
      <c r="I2" s="875"/>
      <c r="J2" s="875"/>
      <c r="K2" s="875"/>
      <c r="L2" s="875"/>
    </row>
    <row r="3" spans="2:18" ht="26.25" customHeight="1" thickBot="1"/>
    <row r="4" spans="2:18" customFormat="1" ht="14.4">
      <c r="C4" s="876" t="s">
        <v>162</v>
      </c>
      <c r="D4" s="877"/>
      <c r="E4" s="877"/>
      <c r="F4" s="877"/>
      <c r="G4" s="877"/>
      <c r="H4" s="877"/>
      <c r="I4" s="877"/>
      <c r="J4" s="877"/>
      <c r="K4" s="877"/>
      <c r="L4" s="878"/>
    </row>
    <row r="5" spans="2:18" customFormat="1" ht="15" thickBot="1">
      <c r="C5" s="879"/>
      <c r="D5" s="880"/>
      <c r="E5" s="880"/>
      <c r="F5" s="880"/>
      <c r="G5" s="880"/>
      <c r="H5" s="880"/>
      <c r="I5" s="880"/>
      <c r="J5" s="880"/>
      <c r="K5" s="880"/>
      <c r="L5" s="881"/>
    </row>
    <row r="6" spans="2:18" customFormat="1" ht="29.25" customHeight="1" thickBot="1"/>
    <row r="7" spans="2:18" customFormat="1" ht="15" thickBot="1">
      <c r="C7" s="82" t="s">
        <v>141</v>
      </c>
      <c r="D7" s="83"/>
      <c r="E7" s="882">
        <f ca="1">TODAY()-8</f>
        <v>45982</v>
      </c>
      <c r="F7" s="883"/>
      <c r="G7" s="84" t="s">
        <v>142</v>
      </c>
      <c r="H7" s="884" t="s">
        <v>236</v>
      </c>
      <c r="I7" s="885"/>
      <c r="J7" s="885"/>
      <c r="K7" s="885"/>
      <c r="L7" s="886"/>
    </row>
    <row r="8" spans="2:18" customFormat="1" ht="15" thickBot="1">
      <c r="C8" s="82" t="s">
        <v>143</v>
      </c>
      <c r="D8" s="86"/>
      <c r="E8" s="887">
        <v>473.88</v>
      </c>
      <c r="F8" s="888"/>
      <c r="G8" s="87" t="s">
        <v>144</v>
      </c>
      <c r="H8" s="889" t="s">
        <v>343</v>
      </c>
      <c r="I8" s="890"/>
      <c r="J8" s="890"/>
      <c r="K8" s="890"/>
      <c r="L8" s="891"/>
    </row>
    <row r="9" spans="2:18" customFormat="1" ht="15" thickBot="1">
      <c r="C9" s="82" t="s">
        <v>145</v>
      </c>
      <c r="D9" s="88"/>
      <c r="E9" s="898" t="s">
        <v>354</v>
      </c>
      <c r="F9" s="899"/>
      <c r="G9" s="90" t="s">
        <v>225</v>
      </c>
      <c r="H9" s="884" t="s">
        <v>104</v>
      </c>
      <c r="I9" s="885"/>
      <c r="J9" s="885"/>
      <c r="K9" s="885"/>
      <c r="L9" s="886"/>
    </row>
    <row r="10" spans="2:18" customFormat="1" ht="31.5" customHeight="1" thickBot="1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R10" s="396"/>
    </row>
    <row r="11" spans="2:18" customFormat="1" ht="15" thickBot="1">
      <c r="C11" s="900" t="s">
        <v>146</v>
      </c>
      <c r="D11" s="901"/>
      <c r="E11" s="901"/>
      <c r="F11" s="901"/>
      <c r="G11" s="901"/>
      <c r="H11" s="901"/>
      <c r="I11" s="901"/>
      <c r="J11" s="91"/>
      <c r="K11" s="91"/>
      <c r="L11" s="92"/>
    </row>
    <row r="12" spans="2:18" customFormat="1" ht="15" customHeight="1" thickBot="1">
      <c r="C12" s="93"/>
      <c r="J12" s="864" t="s">
        <v>147</v>
      </c>
      <c r="K12" s="865"/>
      <c r="L12" s="902"/>
    </row>
    <row r="13" spans="2:18" customFormat="1" ht="15" customHeight="1" thickBot="1">
      <c r="C13" s="93"/>
      <c r="D13" s="903" t="s">
        <v>148</v>
      </c>
      <c r="E13" s="904"/>
      <c r="F13" s="94"/>
      <c r="G13" s="85"/>
      <c r="H13" s="431"/>
      <c r="J13" s="432" t="s">
        <v>149</v>
      </c>
      <c r="K13" s="434" t="s">
        <v>150</v>
      </c>
      <c r="L13" s="433" t="s">
        <v>87</v>
      </c>
    </row>
    <row r="14" spans="2:18" customFormat="1" ht="15" thickBot="1">
      <c r="C14" s="95"/>
      <c r="D14" s="903" t="s">
        <v>151</v>
      </c>
      <c r="E14" s="904"/>
      <c r="F14" s="94"/>
      <c r="G14" s="96"/>
      <c r="H14" s="435">
        <v>149.35</v>
      </c>
      <c r="I14" s="51"/>
      <c r="J14" s="436">
        <v>1</v>
      </c>
      <c r="K14" s="440">
        <v>45597</v>
      </c>
      <c r="L14" s="437">
        <f>+H17</f>
        <v>74.674999999999997</v>
      </c>
    </row>
    <row r="15" spans="2:18" customFormat="1" ht="18.75" customHeight="1" thickBot="1">
      <c r="C15" s="93"/>
      <c r="D15" s="905" t="s">
        <v>152</v>
      </c>
      <c r="E15" s="906"/>
      <c r="F15" s="906"/>
      <c r="G15" s="907"/>
      <c r="H15" s="263">
        <v>2</v>
      </c>
      <c r="I15" s="51"/>
      <c r="J15" s="436">
        <v>2</v>
      </c>
      <c r="K15" s="440">
        <v>45627</v>
      </c>
      <c r="L15" s="437">
        <f>+H17</f>
        <v>74.674999999999997</v>
      </c>
    </row>
    <row r="16" spans="2:18" customFormat="1" ht="15" thickBot="1">
      <c r="C16" s="95"/>
      <c r="D16" s="97"/>
      <c r="E16" s="97"/>
      <c r="F16" s="97"/>
      <c r="G16" s="97"/>
      <c r="H16" s="98"/>
      <c r="I16" s="51"/>
      <c r="J16" s="436">
        <v>3</v>
      </c>
      <c r="K16" s="440"/>
      <c r="L16" s="438"/>
    </row>
    <row r="17" spans="3:15" customFormat="1" ht="14.4">
      <c r="C17" s="95"/>
      <c r="D17" s="876" t="s">
        <v>87</v>
      </c>
      <c r="E17" s="877"/>
      <c r="F17" s="877"/>
      <c r="G17" s="878"/>
      <c r="H17" s="911">
        <f>+H14/H15</f>
        <v>74.674999999999997</v>
      </c>
      <c r="I17" s="51"/>
      <c r="J17" s="436">
        <v>4</v>
      </c>
      <c r="K17" s="441"/>
      <c r="L17" s="438"/>
      <c r="O17" s="80"/>
    </row>
    <row r="18" spans="3:15" customFormat="1" ht="14.4">
      <c r="C18" s="95"/>
      <c r="D18" s="908"/>
      <c r="E18" s="909"/>
      <c r="F18" s="909"/>
      <c r="G18" s="910"/>
      <c r="H18" s="912"/>
      <c r="I18" s="51"/>
      <c r="J18" s="436">
        <v>5</v>
      </c>
      <c r="K18" s="441"/>
      <c r="L18" s="439"/>
    </row>
    <row r="19" spans="3:15" customFormat="1" ht="15" thickBot="1">
      <c r="C19" s="95"/>
      <c r="D19" s="879"/>
      <c r="E19" s="880"/>
      <c r="F19" s="880"/>
      <c r="G19" s="881"/>
      <c r="H19" s="913"/>
      <c r="I19" s="51"/>
      <c r="J19" s="436">
        <v>6</v>
      </c>
      <c r="K19" s="441"/>
      <c r="L19" s="439"/>
    </row>
    <row r="20" spans="3:15" customFormat="1" ht="14.4">
      <c r="C20" s="95"/>
      <c r="D20" s="99"/>
      <c r="E20" s="100"/>
      <c r="F20" s="100"/>
      <c r="G20" s="100"/>
      <c r="H20" s="100"/>
      <c r="I20" s="51"/>
      <c r="J20" s="436">
        <v>7</v>
      </c>
      <c r="K20" s="441"/>
      <c r="L20" s="439"/>
    </row>
    <row r="21" spans="3:15" customFormat="1" ht="14.4">
      <c r="C21" s="95"/>
      <c r="D21" s="99"/>
      <c r="E21" s="100"/>
      <c r="F21" s="100"/>
      <c r="G21" s="100"/>
      <c r="H21" s="100"/>
      <c r="I21" s="51"/>
      <c r="J21" s="436">
        <v>8</v>
      </c>
      <c r="K21" s="441"/>
      <c r="L21" s="439"/>
    </row>
    <row r="22" spans="3:15" customFormat="1" ht="14.4">
      <c r="C22" s="95"/>
      <c r="D22" s="99"/>
      <c r="E22" s="100"/>
      <c r="F22" s="100"/>
      <c r="G22" s="100"/>
      <c r="H22" s="100"/>
      <c r="I22" s="51"/>
      <c r="J22" s="436">
        <v>9</v>
      </c>
      <c r="K22" s="441"/>
      <c r="L22" s="439"/>
    </row>
    <row r="23" spans="3:15" customFormat="1" ht="15" thickBot="1">
      <c r="C23" s="95"/>
      <c r="D23" s="99"/>
      <c r="E23" s="100"/>
      <c r="F23" s="100"/>
      <c r="G23" s="100"/>
      <c r="H23" s="100"/>
      <c r="I23" s="51"/>
      <c r="J23" s="442">
        <v>10</v>
      </c>
      <c r="K23" s="443"/>
      <c r="L23" s="444"/>
    </row>
    <row r="24" spans="3:15" customFormat="1" ht="15" customHeight="1" thickBot="1">
      <c r="C24" s="95"/>
      <c r="F24" s="33"/>
      <c r="G24" s="33"/>
      <c r="H24" s="33"/>
      <c r="I24" s="33"/>
      <c r="J24" s="914" t="s">
        <v>21</v>
      </c>
      <c r="K24" s="915"/>
      <c r="L24" s="101">
        <f>SUM(L14:L23)</f>
        <v>149.35</v>
      </c>
    </row>
    <row r="25" spans="3:15" customFormat="1" ht="15" thickBot="1">
      <c r="C25" s="102"/>
      <c r="D25" s="89"/>
      <c r="E25" s="89"/>
      <c r="F25" s="103"/>
      <c r="G25" s="103"/>
      <c r="H25" s="103"/>
      <c r="I25" s="103"/>
      <c r="J25" s="103"/>
      <c r="K25" s="103"/>
      <c r="L25" s="104"/>
    </row>
    <row r="26" spans="3:15" customFormat="1" ht="15.75" customHeight="1"/>
    <row r="27" spans="3:15" customFormat="1" ht="19.5" customHeight="1" thickBot="1"/>
    <row r="28" spans="3:15" s="33" customFormat="1" ht="27.75" customHeight="1" thickBot="1">
      <c r="C28" s="864" t="s">
        <v>153</v>
      </c>
      <c r="D28" s="865"/>
      <c r="E28" s="865"/>
      <c r="F28" s="865"/>
      <c r="G28" s="865"/>
      <c r="H28" s="865"/>
      <c r="I28" s="865"/>
      <c r="J28" s="865"/>
      <c r="K28" s="865"/>
      <c r="L28" s="902"/>
    </row>
    <row r="29" spans="3:15" customFormat="1" ht="8.25" customHeight="1" thickBot="1"/>
    <row r="30" spans="3:15" customFormat="1" ht="16.5" customHeight="1">
      <c r="C30" s="892" t="s">
        <v>260</v>
      </c>
      <c r="D30" s="893"/>
      <c r="E30" s="893"/>
      <c r="F30" s="893"/>
      <c r="G30" s="893"/>
      <c r="H30" s="893"/>
      <c r="I30" s="893"/>
      <c r="J30" s="893"/>
      <c r="K30" s="893"/>
      <c r="L30" s="894"/>
    </row>
    <row r="31" spans="3:15" customFormat="1" ht="35.25" customHeight="1" thickBot="1">
      <c r="C31" s="895"/>
      <c r="D31" s="896"/>
      <c r="E31" s="896"/>
      <c r="F31" s="896"/>
      <c r="G31" s="896"/>
      <c r="H31" s="896"/>
      <c r="I31" s="896"/>
      <c r="J31" s="896"/>
      <c r="K31" s="896"/>
      <c r="L31" s="897"/>
    </row>
    <row r="32" spans="3:15" customFormat="1" ht="18" customHeight="1" thickBot="1"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s="33" customFormat="1" ht="39.75" customHeight="1" thickBot="1">
      <c r="C33" s="864" t="s">
        <v>261</v>
      </c>
      <c r="D33" s="865"/>
      <c r="E33" s="865"/>
      <c r="F33" s="865"/>
      <c r="G33" s="865"/>
      <c r="H33" s="865"/>
      <c r="I33" s="865"/>
      <c r="J33" s="865"/>
      <c r="K33" s="865"/>
      <c r="L33" s="902"/>
    </row>
    <row r="34" spans="3:12" customFormat="1" ht="14.4">
      <c r="C34" s="105"/>
      <c r="D34" s="91"/>
      <c r="E34" s="91"/>
      <c r="F34" s="91"/>
      <c r="G34" s="91"/>
      <c r="H34" s="91"/>
      <c r="I34" s="91"/>
      <c r="J34" s="91"/>
      <c r="K34" s="91"/>
      <c r="L34" s="92"/>
    </row>
    <row r="35" spans="3:12" customFormat="1" ht="14.4">
      <c r="C35" s="918" t="s">
        <v>262</v>
      </c>
      <c r="D35" s="919"/>
      <c r="E35" s="919"/>
      <c r="F35" s="919"/>
      <c r="G35" s="919"/>
      <c r="H35" s="919"/>
      <c r="I35" s="919"/>
      <c r="J35" s="919"/>
      <c r="K35" s="919"/>
      <c r="L35" s="920"/>
    </row>
    <row r="36" spans="3:12" customFormat="1" ht="14.4">
      <c r="C36" s="918"/>
      <c r="D36" s="919"/>
      <c r="E36" s="919"/>
      <c r="F36" s="919"/>
      <c r="G36" s="919"/>
      <c r="H36" s="919"/>
      <c r="I36" s="919"/>
      <c r="J36" s="919"/>
      <c r="K36" s="919"/>
      <c r="L36" s="920"/>
    </row>
    <row r="37" spans="3:12" customFormat="1" ht="14.4">
      <c r="C37" s="918"/>
      <c r="D37" s="919"/>
      <c r="E37" s="919"/>
      <c r="F37" s="919"/>
      <c r="G37" s="919"/>
      <c r="H37" s="919"/>
      <c r="I37" s="919"/>
      <c r="J37" s="919"/>
      <c r="K37" s="919"/>
      <c r="L37" s="920"/>
    </row>
    <row r="38" spans="3:12" customFormat="1" ht="14.4">
      <c r="C38" s="95"/>
      <c r="L38" s="106"/>
    </row>
    <row r="39" spans="3:12" customFormat="1" ht="14.4">
      <c r="C39" s="95"/>
      <c r="L39" s="106"/>
    </row>
    <row r="40" spans="3:12" customFormat="1" ht="14.4">
      <c r="C40" s="95"/>
      <c r="L40" s="106"/>
    </row>
    <row r="41" spans="3:12" customFormat="1" ht="14.4">
      <c r="C41" s="95"/>
      <c r="L41" s="106"/>
    </row>
    <row r="42" spans="3:12" customFormat="1" ht="14.4">
      <c r="C42" s="95"/>
      <c r="D42" s="921"/>
      <c r="E42" s="921"/>
      <c r="F42" s="921"/>
      <c r="G42" s="921"/>
      <c r="L42" s="106"/>
    </row>
    <row r="43" spans="3:12" customFormat="1" ht="14.4">
      <c r="C43" s="95"/>
      <c r="D43" s="916" t="s">
        <v>154</v>
      </c>
      <c r="E43" s="916"/>
      <c r="F43" s="916"/>
      <c r="I43" s="916" t="s">
        <v>155</v>
      </c>
      <c r="J43" s="916"/>
      <c r="K43" s="916"/>
      <c r="L43" s="106"/>
    </row>
    <row r="44" spans="3:12" customFormat="1" ht="14.4">
      <c r="C44" s="95"/>
      <c r="D44" s="107" t="s">
        <v>156</v>
      </c>
      <c r="E44" s="108"/>
      <c r="F44" s="109"/>
      <c r="I44" s="917" t="s">
        <v>157</v>
      </c>
      <c r="J44" s="917"/>
      <c r="K44" s="917"/>
      <c r="L44" s="106"/>
    </row>
    <row r="45" spans="3:12" customFormat="1" ht="14.4">
      <c r="C45" s="95"/>
      <c r="L45" s="106"/>
    </row>
    <row r="46" spans="3:12" customFormat="1" ht="14.4">
      <c r="C46" s="95"/>
      <c r="L46" s="106"/>
    </row>
    <row r="47" spans="3:12" customFormat="1" ht="14.4">
      <c r="C47" s="95"/>
      <c r="L47" s="106"/>
    </row>
    <row r="48" spans="3:12" customFormat="1" ht="14.4">
      <c r="C48" s="95"/>
      <c r="L48" s="106"/>
    </row>
    <row r="49" spans="3:12" customFormat="1" ht="14.4">
      <c r="C49" s="95"/>
      <c r="L49" s="106"/>
    </row>
    <row r="50" spans="3:12" customFormat="1" ht="14.4">
      <c r="C50" s="95"/>
      <c r="D50" s="51"/>
      <c r="E50" s="51"/>
      <c r="F50" s="51"/>
      <c r="G50" s="110"/>
      <c r="H50" s="110"/>
      <c r="I50" s="110"/>
      <c r="L50" s="106"/>
    </row>
    <row r="51" spans="3:12" customFormat="1" ht="14.4">
      <c r="C51" s="95"/>
      <c r="D51" s="51"/>
      <c r="E51" s="51"/>
      <c r="F51" s="51"/>
      <c r="G51" s="110"/>
      <c r="H51" s="110"/>
      <c r="I51" s="110"/>
      <c r="L51" s="106"/>
    </row>
    <row r="52" spans="3:12" customFormat="1" ht="14.4">
      <c r="C52" s="95"/>
      <c r="D52" s="110"/>
      <c r="E52" s="110"/>
      <c r="F52" s="110"/>
      <c r="I52" s="110"/>
      <c r="J52" s="110"/>
      <c r="K52" s="110"/>
      <c r="L52" s="106"/>
    </row>
    <row r="53" spans="3:12" customFormat="1" ht="14.4">
      <c r="C53" s="95"/>
      <c r="D53" s="110"/>
      <c r="E53" s="110"/>
      <c r="F53" s="110"/>
      <c r="I53" s="110"/>
      <c r="J53" s="110"/>
      <c r="K53" s="110"/>
      <c r="L53" s="106"/>
    </row>
    <row r="54" spans="3:12" customFormat="1" ht="14.4">
      <c r="C54" s="95"/>
      <c r="D54" s="110"/>
      <c r="E54" s="110"/>
      <c r="F54" s="110"/>
      <c r="I54" s="110"/>
      <c r="J54" s="110"/>
      <c r="K54" s="110"/>
      <c r="L54" s="106"/>
    </row>
    <row r="55" spans="3:12" customFormat="1" ht="14.4">
      <c r="C55" s="95"/>
      <c r="D55" s="110"/>
      <c r="E55" s="110"/>
      <c r="F55" s="110"/>
      <c r="I55" s="110"/>
      <c r="J55" s="110"/>
      <c r="K55" s="110"/>
      <c r="L55" s="106"/>
    </row>
    <row r="56" spans="3:12" customFormat="1" ht="14.4">
      <c r="C56" s="95"/>
      <c r="D56" s="110"/>
      <c r="E56" s="110"/>
      <c r="F56" s="110"/>
      <c r="G56" s="916" t="s">
        <v>158</v>
      </c>
      <c r="H56" s="916"/>
      <c r="I56" s="916"/>
      <c r="J56" s="110"/>
      <c r="K56" s="110"/>
      <c r="L56" s="106"/>
    </row>
    <row r="57" spans="3:12" customFormat="1" ht="14.4">
      <c r="C57" s="95"/>
      <c r="D57" s="110"/>
      <c r="E57" s="110"/>
      <c r="F57" s="110"/>
      <c r="G57" s="917" t="s">
        <v>159</v>
      </c>
      <c r="H57" s="917"/>
      <c r="I57" s="917"/>
      <c r="J57" s="110"/>
      <c r="K57" s="110"/>
      <c r="L57" s="106"/>
    </row>
    <row r="58" spans="3:12" customFormat="1" ht="15" thickBot="1">
      <c r="C58" s="102"/>
      <c r="D58" s="89"/>
      <c r="E58" s="89"/>
      <c r="F58" s="89"/>
      <c r="G58" s="89"/>
      <c r="H58" s="89"/>
      <c r="I58" s="89"/>
      <c r="J58" s="89"/>
      <c r="K58" s="89"/>
      <c r="L58" s="111"/>
    </row>
  </sheetData>
  <mergeCells count="26">
    <mergeCell ref="G56:I56"/>
    <mergeCell ref="G57:I57"/>
    <mergeCell ref="C33:L33"/>
    <mergeCell ref="C35:L37"/>
    <mergeCell ref="D42:G42"/>
    <mergeCell ref="D43:F43"/>
    <mergeCell ref="I43:K43"/>
    <mergeCell ref="I44:K44"/>
    <mergeCell ref="C30:L31"/>
    <mergeCell ref="E9:F9"/>
    <mergeCell ref="H9:L9"/>
    <mergeCell ref="C11:I11"/>
    <mergeCell ref="J12:L12"/>
    <mergeCell ref="D13:E13"/>
    <mergeCell ref="D14:E14"/>
    <mergeCell ref="D15:G15"/>
    <mergeCell ref="D17:G19"/>
    <mergeCell ref="H17:H19"/>
    <mergeCell ref="J24:K24"/>
    <mergeCell ref="C28:L28"/>
    <mergeCell ref="C2:L2"/>
    <mergeCell ref="C4:L5"/>
    <mergeCell ref="E7:F7"/>
    <mergeCell ref="H7:L7"/>
    <mergeCell ref="E8:F8"/>
    <mergeCell ref="H8:L8"/>
  </mergeCells>
  <pageMargins left="0.70866141732283472" right="0.70866141732283472" top="0.74803149606299213" bottom="0.74803149606299213" header="0.31496062992125984" footer="0.31496062992125984"/>
  <pageSetup scale="6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512F-2912-4054-B058-DB6B2E31E904}">
  <sheetPr codeName="Hoja7">
    <tabColor rgb="FFFFFF00"/>
    <pageSetUpPr fitToPage="1"/>
  </sheetPr>
  <dimension ref="B1:V62"/>
  <sheetViews>
    <sheetView showGridLines="0" zoomScale="70" zoomScaleNormal="70" workbookViewId="0">
      <pane xSplit="1" ySplit="7" topLeftCell="B50" activePane="bottomRight" state="frozen"/>
      <selection pane="topRight" activeCell="B1" sqref="B1"/>
      <selection pane="bottomLeft" activeCell="A9" sqref="A9"/>
      <selection pane="bottomRight" activeCell="Q30" sqref="Q30"/>
    </sheetView>
  </sheetViews>
  <sheetFormatPr baseColWidth="10" defaultRowHeight="14.4"/>
  <cols>
    <col min="1" max="1" width="2.88671875" customWidth="1"/>
    <col min="2" max="2" width="4.88671875" style="17" customWidth="1"/>
    <col min="3" max="3" width="12.88671875" style="18" customWidth="1"/>
    <col min="4" max="4" width="36.44140625" style="10" customWidth="1"/>
    <col min="5" max="5" width="30.77734375" customWidth="1"/>
    <col min="6" max="6" width="9" customWidth="1"/>
    <col min="7" max="7" width="13.44140625" customWidth="1"/>
    <col min="8" max="9" width="9.6640625" customWidth="1"/>
    <col min="10" max="10" width="8.88671875" customWidth="1"/>
    <col min="11" max="11" width="13.21875" customWidth="1"/>
    <col min="12" max="12" width="17.21875" style="33" customWidth="1"/>
    <col min="13" max="13" width="4.77734375" customWidth="1"/>
    <col min="15" max="15" width="14.5546875" customWidth="1"/>
    <col min="16" max="16" width="35.109375" customWidth="1"/>
    <col min="17" max="17" width="17.5546875" customWidth="1"/>
    <col min="22" max="22" width="27.33203125" customWidth="1"/>
  </cols>
  <sheetData>
    <row r="1" spans="2:13" ht="10.5" customHeight="1"/>
    <row r="2" spans="2:13" ht="15.75" customHeight="1">
      <c r="B2" s="867" t="s">
        <v>250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</row>
    <row r="3" spans="2:13" ht="15" customHeight="1">
      <c r="B3" s="868" t="s">
        <v>429</v>
      </c>
      <c r="C3" s="868"/>
      <c r="D3" s="868"/>
      <c r="E3" s="868"/>
      <c r="F3" s="868"/>
      <c r="G3" s="868"/>
      <c r="H3" s="868"/>
      <c r="I3" s="868"/>
      <c r="J3" s="868"/>
      <c r="K3" s="868"/>
      <c r="L3" s="868"/>
    </row>
    <row r="4" spans="2:13" ht="7.5" customHeight="1" thickBot="1"/>
    <row r="5" spans="2:13" ht="18" customHeight="1" thickTop="1" thickBot="1">
      <c r="D5" s="54"/>
      <c r="E5" s="54"/>
      <c r="F5" s="239"/>
      <c r="G5" s="54"/>
      <c r="H5" s="922" t="s">
        <v>122</v>
      </c>
      <c r="I5" s="923"/>
      <c r="J5" s="922" t="s">
        <v>87</v>
      </c>
      <c r="K5" s="923"/>
      <c r="L5" s="872" t="s">
        <v>123</v>
      </c>
      <c r="M5" s="51"/>
    </row>
    <row r="6" spans="2:13" ht="13.5" customHeight="1" thickTop="1" thickBot="1">
      <c r="C6" s="184"/>
      <c r="D6" s="54"/>
      <c r="E6" s="54"/>
      <c r="F6" s="239"/>
      <c r="G6" s="54"/>
      <c r="H6" s="320">
        <v>0.5</v>
      </c>
      <c r="I6" s="321">
        <v>1</v>
      </c>
      <c r="J6" s="320">
        <v>0.5</v>
      </c>
      <c r="K6" s="321">
        <v>1</v>
      </c>
      <c r="L6" s="873"/>
    </row>
    <row r="7" spans="2:13" ht="19.95" customHeight="1" thickTop="1">
      <c r="B7" s="348" t="s">
        <v>124</v>
      </c>
      <c r="C7" s="349" t="s">
        <v>125</v>
      </c>
      <c r="D7" s="349" t="s">
        <v>2</v>
      </c>
      <c r="E7" s="350" t="s">
        <v>103</v>
      </c>
      <c r="F7" s="351" t="s">
        <v>126</v>
      </c>
      <c r="G7" s="352" t="s">
        <v>116</v>
      </c>
      <c r="H7" s="353" t="s">
        <v>127</v>
      </c>
      <c r="I7" s="354" t="s">
        <v>128</v>
      </c>
      <c r="J7" s="355" t="s">
        <v>129</v>
      </c>
      <c r="K7" s="356" t="s">
        <v>199</v>
      </c>
      <c r="L7" s="356" t="s">
        <v>200</v>
      </c>
    </row>
    <row r="8" spans="2:13" ht="18.600000000000001" customHeight="1">
      <c r="B8" s="230">
        <v>1</v>
      </c>
      <c r="C8" s="182">
        <v>925813685</v>
      </c>
      <c r="D8" s="182" t="e">
        <f>+VLOOKUP(Tabla3[[#This Row],[CEDULA ]],'OCTUBRE 2025'!$C$8:$J$10,2,0)</f>
        <v>#N/A</v>
      </c>
      <c r="E8" s="182" t="e">
        <f>+VLOOKUP(Tabla3[[#This Row],[CEDULA ]],'OCTUBRE 2025'!$C$8:$J$10,4,0)</f>
        <v>#N/A</v>
      </c>
      <c r="F8" s="357" t="e">
        <f>+VLOOKUP(Tabla3[[#This Row],[CEDULA ]],'OCTUBRE 2025'!$C$8:$J$10,6,0)</f>
        <v>#N/A</v>
      </c>
      <c r="G8" s="637" t="e">
        <f>+VLOOKUP(Tabla3[[#This Row],[CEDULA ]],'OCTUBRE 2025'!$C$8:$J$10,8,0)</f>
        <v>#N/A</v>
      </c>
      <c r="H8" s="590">
        <f>+VLOOKUP(Tabla3[[#This Row],[CEDULA ]],'Conversión-HE'!$C$20:$I$70,6,0)</f>
        <v>0</v>
      </c>
      <c r="I8" s="590">
        <f>+VLOOKUP(Tabla3[[#This Row],[CEDULA ]],'Conversión-HE'!$C$20:$I$70,7,0)</f>
        <v>0</v>
      </c>
      <c r="J8" s="322" t="e">
        <f t="shared" ref="J8:J58" si="0">((G8/240)*1.5)*H8</f>
        <v>#N/A</v>
      </c>
      <c r="K8" s="322" t="e">
        <f t="shared" ref="K8:K58" si="1">+((G8/240)*2)*I8</f>
        <v>#N/A</v>
      </c>
      <c r="L8" s="323" t="e">
        <f>+Tabla3[[#This Row],[US$]]+Tabla3[[#This Row],[US$,]]</f>
        <v>#N/A</v>
      </c>
    </row>
    <row r="9" spans="2:13" ht="18.600000000000001" customHeight="1">
      <c r="B9" s="230">
        <v>2</v>
      </c>
      <c r="C9" s="182">
        <v>944405737</v>
      </c>
      <c r="D9" s="182" t="e">
        <f>+VLOOKUP(Tabla3[[#This Row],[CEDULA ]],'OCTUBRE 2025'!$C$8:$J$10,2,0)</f>
        <v>#N/A</v>
      </c>
      <c r="E9" s="182" t="e">
        <f>+VLOOKUP(Tabla3[[#This Row],[CEDULA ]],'OCTUBRE 2025'!$C$8:$J$10,4,0)</f>
        <v>#N/A</v>
      </c>
      <c r="F9" s="357" t="e">
        <f>+VLOOKUP(Tabla3[[#This Row],[CEDULA ]],'OCTUBRE 2025'!$C$8:$J$10,6,0)</f>
        <v>#N/A</v>
      </c>
      <c r="G9" s="637" t="e">
        <f>+VLOOKUP(Tabla3[[#This Row],[CEDULA ]],'OCTUBRE 2025'!$C$8:$J$10,8,0)</f>
        <v>#N/A</v>
      </c>
      <c r="H9" s="590">
        <f>+VLOOKUP(Tabla3[[#This Row],[CEDULA ]],'Conversión-HE'!$C$20:$I$70,6,0)</f>
        <v>0</v>
      </c>
      <c r="I9" s="590">
        <f>+VLOOKUP(Tabla3[[#This Row],[CEDULA ]],'Conversión-HE'!$C$20:$I$70,7,0)</f>
        <v>0</v>
      </c>
      <c r="J9" s="322" t="e">
        <f t="shared" si="0"/>
        <v>#N/A</v>
      </c>
      <c r="K9" s="322" t="e">
        <f t="shared" si="1"/>
        <v>#N/A</v>
      </c>
      <c r="L9" s="323" t="e">
        <f>+Tabla3[[#This Row],[US$]]+Tabla3[[#This Row],[US$,]]</f>
        <v>#N/A</v>
      </c>
    </row>
    <row r="10" spans="2:13" ht="18.600000000000001" customHeight="1">
      <c r="B10" s="230">
        <v>3</v>
      </c>
      <c r="C10" s="182">
        <v>604394502</v>
      </c>
      <c r="D10" s="182" t="e">
        <f>+VLOOKUP(Tabla3[[#This Row],[CEDULA ]],'OCTUBRE 2025'!$C$8:$J$10,2,0)</f>
        <v>#N/A</v>
      </c>
      <c r="E10" s="182" t="e">
        <f>+VLOOKUP(Tabla3[[#This Row],[CEDULA ]],'OCTUBRE 2025'!$C$8:$J$10,4,0)</f>
        <v>#N/A</v>
      </c>
      <c r="F10" s="357" t="e">
        <f>+VLOOKUP(Tabla3[[#This Row],[CEDULA ]],'OCTUBRE 2025'!$C$8:$J$10,6,0)</f>
        <v>#N/A</v>
      </c>
      <c r="G10" s="637" t="e">
        <f>+VLOOKUP(Tabla3[[#This Row],[CEDULA ]],'OCTUBRE 2025'!$C$8:$J$10,8,0)</f>
        <v>#N/A</v>
      </c>
      <c r="H10" s="590">
        <f>+VLOOKUP(Tabla3[[#This Row],[CEDULA ]],'Conversión-HE'!$C$20:$I$70,6,0)</f>
        <v>0</v>
      </c>
      <c r="I10" s="590">
        <f>+VLOOKUP(Tabla3[[#This Row],[CEDULA ]],'Conversión-HE'!$C$20:$I$70,7,0)</f>
        <v>0</v>
      </c>
      <c r="J10" s="322" t="e">
        <f t="shared" si="0"/>
        <v>#N/A</v>
      </c>
      <c r="K10" s="322" t="e">
        <f t="shared" si="1"/>
        <v>#N/A</v>
      </c>
      <c r="L10" s="323" t="e">
        <f>+Tabla3[[#This Row],[US$]]+Tabla3[[#This Row],[US$,]]</f>
        <v>#N/A</v>
      </c>
    </row>
    <row r="11" spans="2:13" ht="18.600000000000001" customHeight="1">
      <c r="B11" s="230">
        <v>4</v>
      </c>
      <c r="C11" s="182">
        <v>955741970</v>
      </c>
      <c r="D11" s="182" t="e">
        <f>+VLOOKUP(Tabla3[[#This Row],[CEDULA ]],'OCTUBRE 2025'!$C$8:$J$10,2,0)</f>
        <v>#N/A</v>
      </c>
      <c r="E11" s="182" t="e">
        <f>+VLOOKUP(Tabla3[[#This Row],[CEDULA ]],'OCTUBRE 2025'!$C$8:$J$10,4,0)</f>
        <v>#N/A</v>
      </c>
      <c r="F11" s="357" t="e">
        <f>+VLOOKUP(Tabla3[[#This Row],[CEDULA ]],'OCTUBRE 2025'!$C$8:$J$10,6,0)</f>
        <v>#N/A</v>
      </c>
      <c r="G11" s="637" t="e">
        <f>+VLOOKUP(Tabla3[[#This Row],[CEDULA ]],'OCTUBRE 2025'!$C$8:$J$10,8,0)</f>
        <v>#N/A</v>
      </c>
      <c r="H11" s="590">
        <f>+VLOOKUP(Tabla3[[#This Row],[CEDULA ]],'Conversión-HE'!$C$20:$I$70,6,0)</f>
        <v>0</v>
      </c>
      <c r="I11" s="590">
        <f>+VLOOKUP(Tabla3[[#This Row],[CEDULA ]],'Conversión-HE'!$C$20:$I$70,7,0)</f>
        <v>0</v>
      </c>
      <c r="J11" s="322" t="e">
        <f t="shared" si="0"/>
        <v>#N/A</v>
      </c>
      <c r="K11" s="322" t="e">
        <f t="shared" si="1"/>
        <v>#N/A</v>
      </c>
      <c r="L11" s="323" t="e">
        <f>+Tabla3[[#This Row],[US$]]+Tabla3[[#This Row],[US$,]]</f>
        <v>#N/A</v>
      </c>
    </row>
    <row r="12" spans="2:13" ht="18.600000000000001" customHeight="1">
      <c r="B12" s="230">
        <v>5</v>
      </c>
      <c r="C12" s="182" t="s">
        <v>467</v>
      </c>
      <c r="D12" s="182" t="e">
        <f>+VLOOKUP(Tabla3[[#This Row],[CEDULA ]],'OCTUBRE 2025'!$C$8:$J$10,2,0)</f>
        <v>#N/A</v>
      </c>
      <c r="E12" s="182" t="e">
        <f>+VLOOKUP(Tabla3[[#This Row],[CEDULA ]],'OCTUBRE 2025'!$C$8:$J$10,4,0)</f>
        <v>#N/A</v>
      </c>
      <c r="F12" s="357" t="e">
        <f>+VLOOKUP(Tabla3[[#This Row],[CEDULA ]],'OCTUBRE 2025'!$C$8:$J$10,6,0)</f>
        <v>#N/A</v>
      </c>
      <c r="G12" s="637" t="e">
        <f>+VLOOKUP(Tabla3[[#This Row],[CEDULA ]],'OCTUBRE 2025'!$C$8:$J$10,8,0)</f>
        <v>#N/A</v>
      </c>
      <c r="H12" s="590">
        <f>+VLOOKUP(Tabla3[[#This Row],[CEDULA ]],'Conversión-HE'!$C$20:$I$70,6,0)</f>
        <v>0</v>
      </c>
      <c r="I12" s="590">
        <f>+VLOOKUP(Tabla3[[#This Row],[CEDULA ]],'Conversión-HE'!$C$20:$I$70,7,0)</f>
        <v>0</v>
      </c>
      <c r="J12" s="322" t="e">
        <f t="shared" ref="J12" si="2">((G12/240)*1.5)*H12</f>
        <v>#N/A</v>
      </c>
      <c r="K12" s="322" t="e">
        <f t="shared" ref="K12" si="3">+((G12/240)*2)*I12</f>
        <v>#N/A</v>
      </c>
      <c r="L12" s="323" t="e">
        <f>+Tabla3[[#This Row],[US$]]+Tabla3[[#This Row],[US$,]]</f>
        <v>#N/A</v>
      </c>
    </row>
    <row r="13" spans="2:13" ht="18.600000000000001" customHeight="1">
      <c r="B13" s="230">
        <v>6</v>
      </c>
      <c r="C13" s="182">
        <v>944143148</v>
      </c>
      <c r="D13" s="182" t="e">
        <f>+VLOOKUP(Tabla3[[#This Row],[CEDULA ]],'OCTUBRE 2025'!$C$8:$J$10,2,0)</f>
        <v>#N/A</v>
      </c>
      <c r="E13" s="182" t="e">
        <f>+VLOOKUP(Tabla3[[#This Row],[CEDULA ]],'OCTUBRE 2025'!$C$8:$J$10,4,0)</f>
        <v>#N/A</v>
      </c>
      <c r="F13" s="357" t="e">
        <f>+VLOOKUP(Tabla3[[#This Row],[CEDULA ]],'OCTUBRE 2025'!$C$8:$J$10,6,0)</f>
        <v>#N/A</v>
      </c>
      <c r="G13" s="637" t="e">
        <f>+VLOOKUP(Tabla3[[#This Row],[CEDULA ]],'OCTUBRE 2025'!$C$8:$J$10,8,0)</f>
        <v>#N/A</v>
      </c>
      <c r="H13" s="590">
        <f>+VLOOKUP(Tabla3[[#This Row],[CEDULA ]],'Conversión-HE'!$C$20:$I$70,6,0)</f>
        <v>0</v>
      </c>
      <c r="I13" s="590">
        <f>+VLOOKUP(Tabla3[[#This Row],[CEDULA ]],'Conversión-HE'!$C$20:$I$70,7,0)</f>
        <v>0</v>
      </c>
      <c r="J13" s="322" t="e">
        <f t="shared" ref="J13" si="4">((G13/240)*1.5)*H13</f>
        <v>#N/A</v>
      </c>
      <c r="K13" s="322" t="e">
        <f>+((G13/240)*2)*I13</f>
        <v>#N/A</v>
      </c>
      <c r="L13" s="323" t="e">
        <f>+Tabla3[[#This Row],[US$]]+Tabla3[[#This Row],[US$,]]</f>
        <v>#N/A</v>
      </c>
    </row>
    <row r="14" spans="2:13" ht="18.600000000000001" customHeight="1">
      <c r="B14" s="230">
        <v>7</v>
      </c>
      <c r="C14" s="182">
        <v>955325238</v>
      </c>
      <c r="D14" s="182" t="e">
        <f>+VLOOKUP(Tabla3[[#This Row],[CEDULA ]],'OCTUBRE 2025'!$C$8:$J$10,2,0)</f>
        <v>#N/A</v>
      </c>
      <c r="E14" s="182" t="e">
        <f>+VLOOKUP(Tabla3[[#This Row],[CEDULA ]],'OCTUBRE 2025'!$C$8:$J$10,4,0)</f>
        <v>#N/A</v>
      </c>
      <c r="F14" s="357" t="e">
        <f>+VLOOKUP(Tabla3[[#This Row],[CEDULA ]],'OCTUBRE 2025'!$C$8:$J$10,6,0)</f>
        <v>#N/A</v>
      </c>
      <c r="G14" s="637" t="e">
        <f>+VLOOKUP(Tabla3[[#This Row],[CEDULA ]],'OCTUBRE 2025'!$C$8:$J$10,8,0)</f>
        <v>#N/A</v>
      </c>
      <c r="H14" s="590">
        <f>+VLOOKUP(Tabla3[[#This Row],[CEDULA ]],'Conversión-HE'!$C$20:$I$70,6,0)</f>
        <v>0</v>
      </c>
      <c r="I14" s="590">
        <f>+VLOOKUP(Tabla3[[#This Row],[CEDULA ]],'Conversión-HE'!$C$20:$I$70,7,0)</f>
        <v>0</v>
      </c>
      <c r="J14" s="322" t="e">
        <f t="shared" ref="J14" si="5">((G14/240)*1.5)*H14</f>
        <v>#N/A</v>
      </c>
      <c r="K14" s="322" t="e">
        <f>+((G14/240)*2)*I14</f>
        <v>#N/A</v>
      </c>
      <c r="L14" s="323" t="e">
        <f>+Tabla3[[#This Row],[US$]]+Tabla3[[#This Row],[US$,]]</f>
        <v>#N/A</v>
      </c>
    </row>
    <row r="15" spans="2:13" ht="18.600000000000001" customHeight="1">
      <c r="B15" s="230">
        <v>8</v>
      </c>
      <c r="C15" s="182">
        <v>914163654</v>
      </c>
      <c r="D15" s="182" t="e">
        <f>+VLOOKUP(Tabla3[[#This Row],[CEDULA ]],'OCTUBRE 2025'!$C$8:$J$10,2,0)</f>
        <v>#N/A</v>
      </c>
      <c r="E15" s="182" t="e">
        <f>+VLOOKUP(Tabla3[[#This Row],[CEDULA ]],'OCTUBRE 2025'!$C$8:$J$10,4,0)</f>
        <v>#N/A</v>
      </c>
      <c r="F15" s="357" t="e">
        <f>+VLOOKUP(Tabla3[[#This Row],[CEDULA ]],'OCTUBRE 2025'!$C$8:$J$10,6,0)</f>
        <v>#N/A</v>
      </c>
      <c r="G15" s="637" t="e">
        <f>+VLOOKUP(Tabla3[[#This Row],[CEDULA ]],'OCTUBRE 2025'!$C$8:$J$10,8,0)</f>
        <v>#N/A</v>
      </c>
      <c r="H15" s="590">
        <f>+VLOOKUP(Tabla3[[#This Row],[CEDULA ]],'Conversión-HE'!$C$20:$I$70,6,0)</f>
        <v>0</v>
      </c>
      <c r="I15" s="590">
        <f>+VLOOKUP(Tabla3[[#This Row],[CEDULA ]],'Conversión-HE'!$C$20:$I$70,7,0)</f>
        <v>0</v>
      </c>
      <c r="J15" s="322" t="e">
        <f>((G15/240)*1.5)*H15</f>
        <v>#N/A</v>
      </c>
      <c r="K15" s="322" t="e">
        <f t="shared" ref="K15" si="6">+((G15/240)*2)*I15</f>
        <v>#N/A</v>
      </c>
      <c r="L15" s="323" t="e">
        <f>+Tabla3[[#This Row],[US$]]+Tabla3[[#This Row],[US$,]]</f>
        <v>#N/A</v>
      </c>
    </row>
    <row r="16" spans="2:13" ht="18.600000000000001" customHeight="1">
      <c r="B16" s="230">
        <v>9</v>
      </c>
      <c r="C16" s="182">
        <v>956668305</v>
      </c>
      <c r="D16" s="182" t="e">
        <f>+VLOOKUP(Tabla3[[#This Row],[CEDULA ]],'OCTUBRE 2025'!$C$8:$J$10,2,0)</f>
        <v>#N/A</v>
      </c>
      <c r="E16" s="182" t="e">
        <f>+VLOOKUP(Tabla3[[#This Row],[CEDULA ]],'OCTUBRE 2025'!$C$8:$J$10,4,0)</f>
        <v>#N/A</v>
      </c>
      <c r="F16" s="357" t="e">
        <f>+VLOOKUP(Tabla3[[#This Row],[CEDULA ]],'OCTUBRE 2025'!$C$8:$J$10,6,0)</f>
        <v>#N/A</v>
      </c>
      <c r="G16" s="637" t="e">
        <f>+VLOOKUP(Tabla3[[#This Row],[CEDULA ]],'OCTUBRE 2025'!$C$8:$J$10,8,0)</f>
        <v>#N/A</v>
      </c>
      <c r="H16" s="590">
        <f>+VLOOKUP(Tabla3[[#This Row],[CEDULA ]],'Conversión-HE'!$C$20:$I$70,6,0)</f>
        <v>0</v>
      </c>
      <c r="I16" s="590">
        <f>+VLOOKUP(Tabla3[[#This Row],[CEDULA ]],'Conversión-HE'!$C$20:$I$70,7,0)</f>
        <v>0</v>
      </c>
      <c r="J16" s="322" t="e">
        <f t="shared" ref="J16:J17" si="7">((G16/240)*1.5)*H16</f>
        <v>#N/A</v>
      </c>
      <c r="K16" s="322" t="e">
        <f t="shared" ref="K16:K17" si="8">+((G16/240)*2)*I16</f>
        <v>#N/A</v>
      </c>
      <c r="L16" s="323" t="e">
        <f>+Tabla3[[#This Row],[US$]]+Tabla3[[#This Row],[US$,]]</f>
        <v>#N/A</v>
      </c>
    </row>
    <row r="17" spans="2:14" ht="18.600000000000001" customHeight="1">
      <c r="B17" s="230">
        <v>10</v>
      </c>
      <c r="C17" s="182" t="s">
        <v>470</v>
      </c>
      <c r="D17" s="182" t="e">
        <f>+VLOOKUP(Tabla3[[#This Row],[CEDULA ]],'OCTUBRE 2025'!$C$8:$J$10,2,0)</f>
        <v>#N/A</v>
      </c>
      <c r="E17" s="182" t="e">
        <f>+VLOOKUP(Tabla3[[#This Row],[CEDULA ]],'OCTUBRE 2025'!$C$8:$J$10,4,0)</f>
        <v>#N/A</v>
      </c>
      <c r="F17" s="357" t="e">
        <f>+VLOOKUP(Tabla3[[#This Row],[CEDULA ]],'OCTUBRE 2025'!$C$8:$J$10,6,0)</f>
        <v>#N/A</v>
      </c>
      <c r="G17" s="637" t="e">
        <f>+VLOOKUP(Tabla3[[#This Row],[CEDULA ]],'OCTUBRE 2025'!$C$8:$J$10,8,0)</f>
        <v>#N/A</v>
      </c>
      <c r="H17" s="590">
        <f>+VLOOKUP(Tabla3[[#This Row],[CEDULA ]],'Conversión-HE'!$C$20:$I$70,6,0)</f>
        <v>0</v>
      </c>
      <c r="I17" s="590">
        <f>+VLOOKUP(Tabla3[[#This Row],[CEDULA ]],'Conversión-HE'!$C$20:$I$70,7,0)</f>
        <v>0</v>
      </c>
      <c r="J17" s="322" t="e">
        <f t="shared" si="7"/>
        <v>#N/A</v>
      </c>
      <c r="K17" s="322" t="e">
        <f t="shared" si="8"/>
        <v>#N/A</v>
      </c>
      <c r="L17" s="323" t="e">
        <f>+Tabla3[[#This Row],[US$]]+Tabla3[[#This Row],[US$,]]</f>
        <v>#N/A</v>
      </c>
    </row>
    <row r="18" spans="2:14" ht="18.600000000000001" customHeight="1">
      <c r="B18" s="230">
        <v>11</v>
      </c>
      <c r="C18" s="182">
        <v>931097620</v>
      </c>
      <c r="D18" s="182" t="e">
        <f>+VLOOKUP(Tabla3[[#This Row],[CEDULA ]],'OCTUBRE 2025'!$C$8:$J$10,2,0)</f>
        <v>#N/A</v>
      </c>
      <c r="E18" s="182" t="e">
        <f>+VLOOKUP(Tabla3[[#This Row],[CEDULA ]],'OCTUBRE 2025'!$C$8:$J$10,4,0)</f>
        <v>#N/A</v>
      </c>
      <c r="F18" s="357" t="e">
        <f>+VLOOKUP(Tabla3[[#This Row],[CEDULA ]],'OCTUBRE 2025'!$C$8:$J$10,6,0)</f>
        <v>#N/A</v>
      </c>
      <c r="G18" s="637" t="e">
        <f>+VLOOKUP(Tabla3[[#This Row],[CEDULA ]],'OCTUBRE 2025'!$C$8:$J$10,8,0)</f>
        <v>#N/A</v>
      </c>
      <c r="H18" s="590">
        <f>+VLOOKUP(Tabla3[[#This Row],[CEDULA ]],'Conversión-HE'!$C$20:$I$70,6,0)</f>
        <v>0</v>
      </c>
      <c r="I18" s="590">
        <f>+VLOOKUP(Tabla3[[#This Row],[CEDULA ]],'Conversión-HE'!$C$20:$I$70,7,0)</f>
        <v>0</v>
      </c>
      <c r="J18" s="322" t="e">
        <f t="shared" ref="J18" si="9">((G18/240)*1.5)*H18</f>
        <v>#N/A</v>
      </c>
      <c r="K18" s="322" t="e">
        <f t="shared" ref="K18" si="10">+((G18/240)*2)*I18</f>
        <v>#N/A</v>
      </c>
      <c r="L18" s="323" t="e">
        <f>+Tabla3[[#This Row],[US$]]+Tabla3[[#This Row],[US$,]]</f>
        <v>#N/A</v>
      </c>
    </row>
    <row r="19" spans="2:14" ht="18.600000000000001" customHeight="1">
      <c r="B19" s="230">
        <v>12</v>
      </c>
      <c r="C19" s="182">
        <v>1105483422</v>
      </c>
      <c r="D19" s="182" t="e">
        <f>+VLOOKUP(Tabla3[[#This Row],[CEDULA ]],'OCTUBRE 2025'!$C$8:$J$10,2,0)</f>
        <v>#N/A</v>
      </c>
      <c r="E19" s="182" t="e">
        <f>+VLOOKUP(Tabla3[[#This Row],[CEDULA ]],'OCTUBRE 2025'!$C$8:$J$10,4,0)</f>
        <v>#N/A</v>
      </c>
      <c r="F19" s="357" t="e">
        <f>+VLOOKUP(Tabla3[[#This Row],[CEDULA ]],'OCTUBRE 2025'!$C$8:$J$10,6,0)</f>
        <v>#N/A</v>
      </c>
      <c r="G19" s="637" t="e">
        <f>+VLOOKUP(Tabla3[[#This Row],[CEDULA ]],'OCTUBRE 2025'!$C$8:$J$10,8,0)</f>
        <v>#N/A</v>
      </c>
      <c r="H19" s="590">
        <f>+VLOOKUP(Tabla3[[#This Row],[CEDULA ]],'Conversión-HE'!$C$20:$I$70,6,0)</f>
        <v>0</v>
      </c>
      <c r="I19" s="590">
        <f>+VLOOKUP(Tabla3[[#This Row],[CEDULA ]],'Conversión-HE'!$C$20:$I$70,7,0)</f>
        <v>0</v>
      </c>
      <c r="J19" s="322" t="e">
        <f t="shared" si="0"/>
        <v>#N/A</v>
      </c>
      <c r="K19" s="322" t="e">
        <f t="shared" si="1"/>
        <v>#N/A</v>
      </c>
      <c r="L19" s="323" t="e">
        <f>+Tabla3[[#This Row],[US$]]+Tabla3[[#This Row],[US$,]]</f>
        <v>#N/A</v>
      </c>
    </row>
    <row r="20" spans="2:14" ht="18.600000000000001" customHeight="1">
      <c r="B20" s="230">
        <v>13</v>
      </c>
      <c r="C20" s="182">
        <v>942614645</v>
      </c>
      <c r="D20" s="182" t="e">
        <f>+VLOOKUP(Tabla3[[#This Row],[CEDULA ]],'OCTUBRE 2025'!$C$8:$J$10,2,0)</f>
        <v>#N/A</v>
      </c>
      <c r="E20" s="182" t="e">
        <f>+VLOOKUP(Tabla3[[#This Row],[CEDULA ]],'OCTUBRE 2025'!$C$8:$J$10,4,0)</f>
        <v>#N/A</v>
      </c>
      <c r="F20" s="357" t="e">
        <f>+VLOOKUP(Tabla3[[#This Row],[CEDULA ]],'OCTUBRE 2025'!$C$8:$J$10,6,0)</f>
        <v>#N/A</v>
      </c>
      <c r="G20" s="637" t="e">
        <f>+VLOOKUP(Tabla3[[#This Row],[CEDULA ]],'OCTUBRE 2025'!$C$8:$J$10,8,0)</f>
        <v>#N/A</v>
      </c>
      <c r="H20" s="590">
        <f>+VLOOKUP(Tabla3[[#This Row],[CEDULA ]],'Conversión-HE'!$C$20:$I$70,6,0)</f>
        <v>0</v>
      </c>
      <c r="I20" s="590">
        <f>+VLOOKUP(Tabla3[[#This Row],[CEDULA ]],'Conversión-HE'!$C$20:$I$70,7,0)</f>
        <v>0</v>
      </c>
      <c r="J20" s="322" t="e">
        <f t="shared" si="0"/>
        <v>#N/A</v>
      </c>
      <c r="K20" s="322" t="e">
        <f t="shared" si="1"/>
        <v>#N/A</v>
      </c>
      <c r="L20" s="323" t="e">
        <f>+Tabla3[[#This Row],[US$]]+Tabla3[[#This Row],[US$,]]</f>
        <v>#N/A</v>
      </c>
    </row>
    <row r="21" spans="2:14" ht="18.600000000000001" customHeight="1">
      <c r="B21" s="230">
        <v>14</v>
      </c>
      <c r="C21" s="182">
        <v>951200062</v>
      </c>
      <c r="D21" s="182" t="e">
        <f>+VLOOKUP(Tabla3[[#This Row],[CEDULA ]],'OCTUBRE 2025'!$C$8:$J$10,2,0)</f>
        <v>#N/A</v>
      </c>
      <c r="E21" s="182" t="e">
        <f>+VLOOKUP(Tabla3[[#This Row],[CEDULA ]],'OCTUBRE 2025'!$C$8:$J$10,4,0)</f>
        <v>#N/A</v>
      </c>
      <c r="F21" s="357" t="e">
        <f>+VLOOKUP(Tabla3[[#This Row],[CEDULA ]],'OCTUBRE 2025'!$C$8:$J$10,6,0)</f>
        <v>#N/A</v>
      </c>
      <c r="G21" s="637" t="e">
        <f>+VLOOKUP(Tabla3[[#This Row],[CEDULA ]],'OCTUBRE 2025'!$C$8:$J$10,8,0)</f>
        <v>#N/A</v>
      </c>
      <c r="H21" s="590">
        <f>+VLOOKUP(Tabla3[[#This Row],[CEDULA ]],'Conversión-HE'!$C$20:$I$70,6,0)</f>
        <v>0</v>
      </c>
      <c r="I21" s="590">
        <f>+VLOOKUP(Tabla3[[#This Row],[CEDULA ]],'Conversión-HE'!$C$20:$I$70,7,0)</f>
        <v>0</v>
      </c>
      <c r="J21" s="322" t="e">
        <f t="shared" ref="J21:J22" si="11">((G21/240)*1.5)*H21</f>
        <v>#N/A</v>
      </c>
      <c r="K21" s="322" t="e">
        <f t="shared" ref="K21:K22" si="12">+((G21/240)*2)*I21</f>
        <v>#N/A</v>
      </c>
      <c r="L21" s="323" t="e">
        <f>+Tabla3[[#This Row],[US$]]+Tabla3[[#This Row],[US$,]]</f>
        <v>#N/A</v>
      </c>
    </row>
    <row r="22" spans="2:14" ht="18.600000000000001" customHeight="1">
      <c r="B22" s="230">
        <v>15</v>
      </c>
      <c r="C22" s="182">
        <v>950929232</v>
      </c>
      <c r="D22" s="182" t="e">
        <f>+VLOOKUP(Tabla3[[#This Row],[CEDULA ]],'OCTUBRE 2025'!$C$8:$J$10,2,0)</f>
        <v>#N/A</v>
      </c>
      <c r="E22" s="182" t="e">
        <f>+VLOOKUP(Tabla3[[#This Row],[CEDULA ]],'OCTUBRE 2025'!$C$8:$J$10,4,0)</f>
        <v>#N/A</v>
      </c>
      <c r="F22" s="357" t="e">
        <f>+VLOOKUP(Tabla3[[#This Row],[CEDULA ]],'OCTUBRE 2025'!$C$8:$J$10,6,0)</f>
        <v>#N/A</v>
      </c>
      <c r="G22" s="637" t="e">
        <f>+VLOOKUP(Tabla3[[#This Row],[CEDULA ]],'OCTUBRE 2025'!$C$8:$J$10,8,0)</f>
        <v>#N/A</v>
      </c>
      <c r="H22" s="590">
        <f>+VLOOKUP(Tabla3[[#This Row],[CEDULA ]],'Conversión-HE'!$C$20:$I$70,6,0)</f>
        <v>0</v>
      </c>
      <c r="I22" s="590">
        <f>+VLOOKUP(Tabla3[[#This Row],[CEDULA ]],'Conversión-HE'!$C$20:$I$70,7,0)</f>
        <v>0</v>
      </c>
      <c r="J22" s="322" t="e">
        <f t="shared" si="11"/>
        <v>#N/A</v>
      </c>
      <c r="K22" s="322" t="e">
        <f t="shared" si="12"/>
        <v>#N/A</v>
      </c>
      <c r="L22" s="323" t="e">
        <f>+Tabla3[[#This Row],[US$]]+Tabla3[[#This Row],[US$,]]</f>
        <v>#N/A</v>
      </c>
    </row>
    <row r="23" spans="2:14" ht="18.600000000000001" customHeight="1">
      <c r="B23" s="230">
        <v>16</v>
      </c>
      <c r="C23" s="182">
        <v>953819646</v>
      </c>
      <c r="D23" s="182" t="e">
        <f>+VLOOKUP(Tabla3[[#This Row],[CEDULA ]],'OCTUBRE 2025'!$C$8:$J$10,2,0)</f>
        <v>#N/A</v>
      </c>
      <c r="E23" s="182" t="e">
        <f>+VLOOKUP(Tabla3[[#This Row],[CEDULA ]],'OCTUBRE 2025'!$C$8:$J$10,4,0)</f>
        <v>#N/A</v>
      </c>
      <c r="F23" s="357" t="e">
        <f>+VLOOKUP(Tabla3[[#This Row],[CEDULA ]],'OCTUBRE 2025'!$C$8:$J$10,6,0)</f>
        <v>#N/A</v>
      </c>
      <c r="G23" s="637" t="e">
        <f>+VLOOKUP(Tabla3[[#This Row],[CEDULA ]],'OCTUBRE 2025'!$C$8:$J$10,8,0)</f>
        <v>#N/A</v>
      </c>
      <c r="H23" s="590">
        <f>+VLOOKUP(Tabla3[[#This Row],[CEDULA ]],'Conversión-HE'!$C$20:$I$70,6,0)</f>
        <v>0</v>
      </c>
      <c r="I23" s="590">
        <f>+VLOOKUP(Tabla3[[#This Row],[CEDULA ]],'Conversión-HE'!$C$20:$I$70,7,0)</f>
        <v>0</v>
      </c>
      <c r="J23" s="322" t="e">
        <f t="shared" si="0"/>
        <v>#N/A</v>
      </c>
      <c r="K23" s="322" t="e">
        <f t="shared" si="1"/>
        <v>#N/A</v>
      </c>
      <c r="L23" s="323" t="e">
        <f>+Tabla3[[#This Row],[US$]]+Tabla3[[#This Row],[US$,]]</f>
        <v>#N/A</v>
      </c>
      <c r="N23" s="390"/>
    </row>
    <row r="24" spans="2:14" ht="18.600000000000001" customHeight="1">
      <c r="B24" s="230">
        <v>17</v>
      </c>
      <c r="C24" s="182">
        <v>956953392</v>
      </c>
      <c r="D24" s="182" t="e">
        <f>+VLOOKUP(Tabla3[[#This Row],[CEDULA ]],'OCTUBRE 2025'!$C$8:$J$10,2,0)</f>
        <v>#N/A</v>
      </c>
      <c r="E24" s="182" t="e">
        <f>+VLOOKUP(Tabla3[[#This Row],[CEDULA ]],'OCTUBRE 2025'!$C$8:$J$10,4,0)</f>
        <v>#N/A</v>
      </c>
      <c r="F24" s="357" t="e">
        <f>+VLOOKUP(Tabla3[[#This Row],[CEDULA ]],'OCTUBRE 2025'!$C$8:$J$10,6,0)</f>
        <v>#N/A</v>
      </c>
      <c r="G24" s="637" t="e">
        <f>+VLOOKUP(Tabla3[[#This Row],[CEDULA ]],'OCTUBRE 2025'!$C$8:$J$10,8,0)</f>
        <v>#N/A</v>
      </c>
      <c r="H24" s="590">
        <f>+VLOOKUP(Tabla3[[#This Row],[CEDULA ]],'Conversión-HE'!$C$20:$I$70,6,0)</f>
        <v>0</v>
      </c>
      <c r="I24" s="590">
        <f>+VLOOKUP(Tabla3[[#This Row],[CEDULA ]],'Conversión-HE'!$C$20:$I$70,7,0)</f>
        <v>0</v>
      </c>
      <c r="J24" s="322" t="e">
        <f t="shared" si="0"/>
        <v>#N/A</v>
      </c>
      <c r="K24" s="322" t="e">
        <f t="shared" si="1"/>
        <v>#N/A</v>
      </c>
      <c r="L24" s="323" t="e">
        <f>+Tabla3[[#This Row],[US$]]+Tabla3[[#This Row],[US$,]]</f>
        <v>#N/A</v>
      </c>
    </row>
    <row r="25" spans="2:14" ht="18.600000000000001" customHeight="1">
      <c r="B25" s="230">
        <v>18</v>
      </c>
      <c r="C25" s="182">
        <v>956796767</v>
      </c>
      <c r="D25" s="182" t="e">
        <f>+VLOOKUP(Tabla3[[#This Row],[CEDULA ]],'OCTUBRE 2025'!$C$8:$J$10,2,0)</f>
        <v>#N/A</v>
      </c>
      <c r="E25" s="182" t="e">
        <f>+VLOOKUP(Tabla3[[#This Row],[CEDULA ]],'OCTUBRE 2025'!$C$8:$J$10,4,0)</f>
        <v>#N/A</v>
      </c>
      <c r="F25" s="357" t="e">
        <f>+VLOOKUP(Tabla3[[#This Row],[CEDULA ]],'OCTUBRE 2025'!$C$8:$J$10,6,0)</f>
        <v>#N/A</v>
      </c>
      <c r="G25" s="637" t="e">
        <f>+VLOOKUP(Tabla3[[#This Row],[CEDULA ]],'OCTUBRE 2025'!$C$8:$J$10,8,0)</f>
        <v>#N/A</v>
      </c>
      <c r="H25" s="590">
        <f>+VLOOKUP(Tabla3[[#This Row],[CEDULA ]],'Conversión-HE'!$C$20:$I$70,6,0)</f>
        <v>0</v>
      </c>
      <c r="I25" s="590">
        <f>+VLOOKUP(Tabla3[[#This Row],[CEDULA ]],'Conversión-HE'!$C$20:$I$70,7,0)</f>
        <v>0</v>
      </c>
      <c r="J25" s="322" t="e">
        <f t="shared" si="0"/>
        <v>#N/A</v>
      </c>
      <c r="K25" s="322" t="e">
        <f t="shared" si="1"/>
        <v>#N/A</v>
      </c>
      <c r="L25" s="323" t="e">
        <f>+Tabla3[[#This Row],[US$]]+Tabla3[[#This Row],[US$,]]</f>
        <v>#N/A</v>
      </c>
    </row>
    <row r="26" spans="2:14" ht="18.600000000000001" customHeight="1">
      <c r="B26" s="230">
        <v>19</v>
      </c>
      <c r="C26" s="182" t="s">
        <v>417</v>
      </c>
      <c r="D26" s="182" t="e">
        <f>+VLOOKUP(Tabla3[[#This Row],[CEDULA ]],'OCTUBRE 2025'!$C$8:$J$10,2,0)</f>
        <v>#N/A</v>
      </c>
      <c r="E26" s="182" t="e">
        <f>+VLOOKUP(Tabla3[[#This Row],[CEDULA ]],'OCTUBRE 2025'!$C$8:$J$10,4,0)</f>
        <v>#N/A</v>
      </c>
      <c r="F26" s="357" t="e">
        <f>+VLOOKUP(Tabla3[[#This Row],[CEDULA ]],'OCTUBRE 2025'!$C$8:$J$10,6,0)</f>
        <v>#N/A</v>
      </c>
      <c r="G26" s="637" t="e">
        <f>+VLOOKUP(Tabla3[[#This Row],[CEDULA ]],'OCTUBRE 2025'!$C$8:$J$10,8,0)</f>
        <v>#N/A</v>
      </c>
      <c r="H26" s="590">
        <f>+VLOOKUP(Tabla3[[#This Row],[CEDULA ]],'Conversión-HE'!$C$20:$I$70,6,0)</f>
        <v>0</v>
      </c>
      <c r="I26" s="590">
        <f>+VLOOKUP(Tabla3[[#This Row],[CEDULA ]],'Conversión-HE'!$C$20:$I$70,7,0)</f>
        <v>0</v>
      </c>
      <c r="J26" s="322" t="e">
        <f t="shared" ref="J26" si="13">((G26/240)*1.5)*H26</f>
        <v>#N/A</v>
      </c>
      <c r="K26" s="322" t="e">
        <f t="shared" ref="K26" si="14">+((G26/240)*2)*I26</f>
        <v>#N/A</v>
      </c>
      <c r="L26" s="323" t="e">
        <f>+Tabla3[[#This Row],[US$]]+Tabla3[[#This Row],[US$,]]</f>
        <v>#N/A</v>
      </c>
    </row>
    <row r="27" spans="2:14" ht="18.600000000000001" customHeight="1">
      <c r="B27" s="230">
        <v>20</v>
      </c>
      <c r="C27" s="182">
        <v>1724102940</v>
      </c>
      <c r="D27" s="182" t="e">
        <f>+VLOOKUP(Tabla3[[#This Row],[CEDULA ]],'OCTUBRE 2025'!$C$8:$J$10,2,0)</f>
        <v>#N/A</v>
      </c>
      <c r="E27" s="182" t="e">
        <f>+VLOOKUP(Tabla3[[#This Row],[CEDULA ]],'OCTUBRE 2025'!$C$8:$J$10,4,0)</f>
        <v>#N/A</v>
      </c>
      <c r="F27" s="357" t="e">
        <f>+VLOOKUP(Tabla3[[#This Row],[CEDULA ]],'OCTUBRE 2025'!$C$8:$J$10,6,0)</f>
        <v>#N/A</v>
      </c>
      <c r="G27" s="637" t="e">
        <f>+VLOOKUP(Tabla3[[#This Row],[CEDULA ]],'OCTUBRE 2025'!$C$8:$J$10,8,0)</f>
        <v>#N/A</v>
      </c>
      <c r="H27" s="590">
        <f>+VLOOKUP(Tabla3[[#This Row],[CEDULA ]],'Conversión-HE'!$C$20:$I$70,6,0)</f>
        <v>0</v>
      </c>
      <c r="I27" s="590">
        <f>+VLOOKUP(Tabla3[[#This Row],[CEDULA ]],'Conversión-HE'!$C$20:$I$70,7,0)</f>
        <v>0</v>
      </c>
      <c r="J27" s="322" t="e">
        <f t="shared" si="0"/>
        <v>#N/A</v>
      </c>
      <c r="K27" s="322" t="e">
        <f t="shared" si="1"/>
        <v>#N/A</v>
      </c>
      <c r="L27" s="323" t="e">
        <f>+Tabla3[[#This Row],[US$]]+Tabla3[[#This Row],[US$,]]</f>
        <v>#N/A</v>
      </c>
    </row>
    <row r="28" spans="2:14" ht="18.600000000000001" customHeight="1">
      <c r="B28" s="230">
        <v>21</v>
      </c>
      <c r="C28" s="182">
        <v>943322974</v>
      </c>
      <c r="D28" s="182" t="e">
        <f>+VLOOKUP(Tabla3[[#This Row],[CEDULA ]],'OCTUBRE 2025'!$C$8:$J$10,2,0)</f>
        <v>#N/A</v>
      </c>
      <c r="E28" s="182" t="e">
        <f>+VLOOKUP(Tabla3[[#This Row],[CEDULA ]],'OCTUBRE 2025'!$C$8:$J$10,4,0)</f>
        <v>#N/A</v>
      </c>
      <c r="F28" s="357" t="e">
        <f>+VLOOKUP(Tabla3[[#This Row],[CEDULA ]],'OCTUBRE 2025'!$C$8:$J$10,6,0)</f>
        <v>#N/A</v>
      </c>
      <c r="G28" s="637" t="e">
        <f>+VLOOKUP(Tabla3[[#This Row],[CEDULA ]],'OCTUBRE 2025'!$C$8:$J$10,8,0)</f>
        <v>#N/A</v>
      </c>
      <c r="H28" s="590">
        <f>+VLOOKUP(Tabla3[[#This Row],[CEDULA ]],'Conversión-HE'!$C$20:$I$70,6,0)</f>
        <v>0</v>
      </c>
      <c r="I28" s="590">
        <f>+VLOOKUP(Tabla3[[#This Row],[CEDULA ]],'Conversión-HE'!$C$20:$I$70,7,0)</f>
        <v>0</v>
      </c>
      <c r="J28" s="322" t="e">
        <f t="shared" si="0"/>
        <v>#N/A</v>
      </c>
      <c r="K28" s="322" t="e">
        <f t="shared" si="1"/>
        <v>#N/A</v>
      </c>
      <c r="L28" s="323" t="e">
        <f>+Tabla3[[#This Row],[US$]]+Tabla3[[#This Row],[US$,]]</f>
        <v>#N/A</v>
      </c>
    </row>
    <row r="29" spans="2:14" ht="18.600000000000001" customHeight="1">
      <c r="B29" s="230">
        <v>22</v>
      </c>
      <c r="C29" s="182">
        <v>941096851</v>
      </c>
      <c r="D29" s="182" t="e">
        <f>+VLOOKUP(Tabla3[[#This Row],[CEDULA ]],'OCTUBRE 2025'!$C$8:$J$10,2,0)</f>
        <v>#N/A</v>
      </c>
      <c r="E29" s="182" t="e">
        <f>+VLOOKUP(Tabla3[[#This Row],[CEDULA ]],'OCTUBRE 2025'!$C$8:$J$10,4,0)</f>
        <v>#N/A</v>
      </c>
      <c r="F29" s="357" t="e">
        <f>+VLOOKUP(Tabla3[[#This Row],[CEDULA ]],'OCTUBRE 2025'!$C$8:$J$10,6,0)</f>
        <v>#N/A</v>
      </c>
      <c r="G29" s="637" t="e">
        <f>+VLOOKUP(Tabla3[[#This Row],[CEDULA ]],'OCTUBRE 2025'!$C$8:$J$10,8,0)</f>
        <v>#N/A</v>
      </c>
      <c r="H29" s="590">
        <f>+VLOOKUP(Tabla3[[#This Row],[CEDULA ]],'Conversión-HE'!$C$20:$I$70,6,0)</f>
        <v>0</v>
      </c>
      <c r="I29" s="590">
        <f>+VLOOKUP(Tabla3[[#This Row],[CEDULA ]],'Conversión-HE'!$C$20:$I$70,7,0)</f>
        <v>0</v>
      </c>
      <c r="J29" s="322" t="e">
        <f t="shared" si="0"/>
        <v>#N/A</v>
      </c>
      <c r="K29" s="322" t="e">
        <f t="shared" si="1"/>
        <v>#N/A</v>
      </c>
      <c r="L29" s="323" t="e">
        <f>+Tabla3[[#This Row],[US$]]+Tabla3[[#This Row],[US$,]]</f>
        <v>#N/A</v>
      </c>
    </row>
    <row r="30" spans="2:14" ht="18.600000000000001" customHeight="1">
      <c r="B30" s="230">
        <v>23</v>
      </c>
      <c r="C30" s="182">
        <v>957093800</v>
      </c>
      <c r="D30" s="182" t="e">
        <f>+VLOOKUP(Tabla3[[#This Row],[CEDULA ]],'OCTUBRE 2025'!$C$8:$J$10,2,0)</f>
        <v>#N/A</v>
      </c>
      <c r="E30" s="182" t="e">
        <f>+VLOOKUP(Tabla3[[#This Row],[CEDULA ]],'OCTUBRE 2025'!$C$8:$J$10,4,0)</f>
        <v>#N/A</v>
      </c>
      <c r="F30" s="357" t="e">
        <f>+VLOOKUP(Tabla3[[#This Row],[CEDULA ]],'OCTUBRE 2025'!$C$8:$J$10,6,0)</f>
        <v>#N/A</v>
      </c>
      <c r="G30" s="637" t="e">
        <f>+VLOOKUP(Tabla3[[#This Row],[CEDULA ]],'OCTUBRE 2025'!$C$8:$J$10,8,0)</f>
        <v>#N/A</v>
      </c>
      <c r="H30" s="590">
        <f>+VLOOKUP(Tabla3[[#This Row],[CEDULA ]],'Conversión-HE'!$C$20:$I$70,6,0)</f>
        <v>0</v>
      </c>
      <c r="I30" s="590">
        <f>+VLOOKUP(Tabla3[[#This Row],[CEDULA ]],'Conversión-HE'!$C$20:$I$70,7,0)</f>
        <v>0</v>
      </c>
      <c r="J30" s="322" t="e">
        <f t="shared" ref="J30" si="15">((G30/240)*1.5)*H30</f>
        <v>#N/A</v>
      </c>
      <c r="K30" s="322" t="e">
        <f t="shared" ref="K30" si="16">+((G30/240)*2)*I30</f>
        <v>#N/A</v>
      </c>
      <c r="L30" s="323" t="e">
        <f>+Tabla3[[#This Row],[US$]]+Tabla3[[#This Row],[US$,]]</f>
        <v>#N/A</v>
      </c>
    </row>
    <row r="31" spans="2:14" ht="18.600000000000001" customHeight="1">
      <c r="B31" s="230">
        <v>24</v>
      </c>
      <c r="C31" s="182">
        <v>957924350</v>
      </c>
      <c r="D31" s="182" t="e">
        <f>+VLOOKUP(Tabla3[[#This Row],[CEDULA ]],'OCTUBRE 2025'!$C$8:$J$10,2,0)</f>
        <v>#N/A</v>
      </c>
      <c r="E31" s="182" t="e">
        <f>+VLOOKUP(Tabla3[[#This Row],[CEDULA ]],'OCTUBRE 2025'!$C$8:$J$10,4,0)</f>
        <v>#N/A</v>
      </c>
      <c r="F31" s="357" t="e">
        <f>+VLOOKUP(Tabla3[[#This Row],[CEDULA ]],'OCTUBRE 2025'!$C$8:$J$10,6,0)</f>
        <v>#N/A</v>
      </c>
      <c r="G31" s="637" t="e">
        <f>+VLOOKUP(Tabla3[[#This Row],[CEDULA ]],'OCTUBRE 2025'!$C$8:$J$10,8,0)</f>
        <v>#N/A</v>
      </c>
      <c r="H31" s="590">
        <f>+VLOOKUP(Tabla3[[#This Row],[CEDULA ]],'Conversión-HE'!$C$20:$I$70,6,0)</f>
        <v>0</v>
      </c>
      <c r="I31" s="590">
        <f>+VLOOKUP(Tabla3[[#This Row],[CEDULA ]],'Conversión-HE'!$C$20:$I$70,7,0)</f>
        <v>0</v>
      </c>
      <c r="J31" s="322" t="e">
        <f t="shared" si="0"/>
        <v>#N/A</v>
      </c>
      <c r="K31" s="322" t="e">
        <f t="shared" si="1"/>
        <v>#N/A</v>
      </c>
      <c r="L31" s="323" t="e">
        <f>+Tabla3[[#This Row],[US$]]+Tabla3[[#This Row],[US$,]]</f>
        <v>#N/A</v>
      </c>
    </row>
    <row r="32" spans="2:14" ht="18.600000000000001" customHeight="1">
      <c r="B32" s="230">
        <v>25</v>
      </c>
      <c r="C32" s="182">
        <v>603838657</v>
      </c>
      <c r="D32" s="182" t="e">
        <f>+VLOOKUP(Tabla3[[#This Row],[CEDULA ]],'OCTUBRE 2025'!$C$8:$J$10,2,0)</f>
        <v>#N/A</v>
      </c>
      <c r="E32" s="182" t="e">
        <f>+VLOOKUP(Tabla3[[#This Row],[CEDULA ]],'OCTUBRE 2025'!$C$8:$J$10,4,0)</f>
        <v>#N/A</v>
      </c>
      <c r="F32" s="357" t="e">
        <f>+VLOOKUP(Tabla3[[#This Row],[CEDULA ]],'OCTUBRE 2025'!$C$8:$J$10,6,0)</f>
        <v>#N/A</v>
      </c>
      <c r="G32" s="637" t="e">
        <f>+VLOOKUP(Tabla3[[#This Row],[CEDULA ]],'OCTUBRE 2025'!$C$8:$J$10,8,0)</f>
        <v>#N/A</v>
      </c>
      <c r="H32" s="590">
        <f>+VLOOKUP(Tabla3[[#This Row],[CEDULA ]],'Conversión-HE'!$C$20:$I$70,6,0)</f>
        <v>0</v>
      </c>
      <c r="I32" s="590">
        <f>+VLOOKUP(Tabla3[[#This Row],[CEDULA ]],'Conversión-HE'!$C$20:$I$70,7,0)</f>
        <v>0</v>
      </c>
      <c r="J32" s="322" t="e">
        <f t="shared" si="0"/>
        <v>#N/A</v>
      </c>
      <c r="K32" s="322" t="e">
        <f>+((G32/240)*2)*I32</f>
        <v>#N/A</v>
      </c>
      <c r="L32" s="323" t="e">
        <f>+Tabla3[[#This Row],[US$]]+Tabla3[[#This Row],[US$,]]</f>
        <v>#N/A</v>
      </c>
    </row>
    <row r="33" spans="2:12" ht="18.600000000000001" customHeight="1">
      <c r="B33" s="230">
        <v>26</v>
      </c>
      <c r="C33" s="182">
        <v>925240525</v>
      </c>
      <c r="D33" s="182" t="e">
        <f>+VLOOKUP(Tabla3[[#This Row],[CEDULA ]],'OCTUBRE 2025'!$C$8:$J$10,2,0)</f>
        <v>#N/A</v>
      </c>
      <c r="E33" s="182" t="e">
        <f>+VLOOKUP(Tabla3[[#This Row],[CEDULA ]],'OCTUBRE 2025'!$C$8:$J$10,4,0)</f>
        <v>#N/A</v>
      </c>
      <c r="F33" s="357" t="e">
        <f>+VLOOKUP(Tabla3[[#This Row],[CEDULA ]],'OCTUBRE 2025'!$C$8:$J$10,6,0)</f>
        <v>#N/A</v>
      </c>
      <c r="G33" s="637" t="e">
        <f>+VLOOKUP(Tabla3[[#This Row],[CEDULA ]],'OCTUBRE 2025'!$C$8:$J$10,8,0)</f>
        <v>#N/A</v>
      </c>
      <c r="H33" s="590">
        <f>+VLOOKUP(Tabla3[[#This Row],[CEDULA ]],'Conversión-HE'!$C$20:$I$70,6,0)</f>
        <v>0</v>
      </c>
      <c r="I33" s="590">
        <f>+VLOOKUP(Tabla3[[#This Row],[CEDULA ]],'Conversión-HE'!$C$20:$I$70,7,0)</f>
        <v>0</v>
      </c>
      <c r="J33" s="322" t="e">
        <f t="shared" si="0"/>
        <v>#N/A</v>
      </c>
      <c r="K33" s="322" t="e">
        <f t="shared" si="1"/>
        <v>#N/A</v>
      </c>
      <c r="L33" s="323" t="e">
        <f>+Tabla3[[#This Row],[US$]]+Tabla3[[#This Row],[US$,]]</f>
        <v>#N/A</v>
      </c>
    </row>
    <row r="34" spans="2:12" ht="18.600000000000001" customHeight="1">
      <c r="B34" s="230">
        <v>27</v>
      </c>
      <c r="C34" s="182">
        <v>954520599</v>
      </c>
      <c r="D34" s="182" t="e">
        <f>+VLOOKUP(Tabla3[[#This Row],[CEDULA ]],'OCTUBRE 2025'!$C$8:$J$10,2,0)</f>
        <v>#N/A</v>
      </c>
      <c r="E34" s="182" t="e">
        <f>+VLOOKUP(Tabla3[[#This Row],[CEDULA ]],'OCTUBRE 2025'!$C$8:$J$10,4,0)</f>
        <v>#N/A</v>
      </c>
      <c r="F34" s="357" t="e">
        <f>+VLOOKUP(Tabla3[[#This Row],[CEDULA ]],'OCTUBRE 2025'!$C$8:$J$10,6,0)</f>
        <v>#N/A</v>
      </c>
      <c r="G34" s="637" t="e">
        <f>+VLOOKUP(Tabla3[[#This Row],[CEDULA ]],'OCTUBRE 2025'!$C$8:$J$10,8,0)</f>
        <v>#N/A</v>
      </c>
      <c r="H34" s="590">
        <f>+VLOOKUP(Tabla3[[#This Row],[CEDULA ]],'Conversión-HE'!$C$20:$I$70,6,0)</f>
        <v>0</v>
      </c>
      <c r="I34" s="590">
        <f>+VLOOKUP(Tabla3[[#This Row],[CEDULA ]],'Conversión-HE'!$C$20:$I$70,7,0)</f>
        <v>0</v>
      </c>
      <c r="J34" s="322" t="e">
        <f t="shared" si="0"/>
        <v>#N/A</v>
      </c>
      <c r="K34" s="322" t="e">
        <f t="shared" si="1"/>
        <v>#N/A</v>
      </c>
      <c r="L34" s="323" t="e">
        <f>+Tabla3[[#This Row],[US$]]+Tabla3[[#This Row],[US$,]]</f>
        <v>#N/A</v>
      </c>
    </row>
    <row r="35" spans="2:12" ht="18.600000000000001" customHeight="1">
      <c r="B35" s="230">
        <v>28</v>
      </c>
      <c r="C35" s="182" t="s">
        <v>275</v>
      </c>
      <c r="D35" s="182" t="e">
        <f>+VLOOKUP(Tabla3[[#This Row],[CEDULA ]],'OCTUBRE 2025'!$C$8:$J$10,2,0)</f>
        <v>#N/A</v>
      </c>
      <c r="E35" s="182" t="e">
        <f>+VLOOKUP(Tabla3[[#This Row],[CEDULA ]],'OCTUBRE 2025'!$C$8:$J$10,4,0)</f>
        <v>#N/A</v>
      </c>
      <c r="F35" s="357" t="e">
        <f>+VLOOKUP(Tabla3[[#This Row],[CEDULA ]],'OCTUBRE 2025'!$C$8:$J$10,6,0)</f>
        <v>#N/A</v>
      </c>
      <c r="G35" s="637" t="e">
        <f>+VLOOKUP(Tabla3[[#This Row],[CEDULA ]],'OCTUBRE 2025'!$C$8:$J$10,8,0)</f>
        <v>#N/A</v>
      </c>
      <c r="H35" s="590">
        <f>+VLOOKUP(Tabla3[[#This Row],[CEDULA ]],'Conversión-HE'!$C$20:$I$70,6,0)</f>
        <v>0</v>
      </c>
      <c r="I35" s="590">
        <f>+VLOOKUP(Tabla3[[#This Row],[CEDULA ]],'Conversión-HE'!$C$20:$I$70,7,0)</f>
        <v>0</v>
      </c>
      <c r="J35" s="322" t="e">
        <f t="shared" ref="J35:J36" si="17">((G35/240)*1.5)*H35</f>
        <v>#N/A</v>
      </c>
      <c r="K35" s="322" t="e">
        <f t="shared" ref="K35" si="18">+((G35/240)*2)*I35</f>
        <v>#N/A</v>
      </c>
      <c r="L35" s="323" t="e">
        <f>+Tabla3[[#This Row],[US$]]+Tabla3[[#This Row],[US$,]]</f>
        <v>#N/A</v>
      </c>
    </row>
    <row r="36" spans="2:12" ht="18.600000000000001" customHeight="1">
      <c r="B36" s="230">
        <v>29</v>
      </c>
      <c r="C36" s="182" t="s">
        <v>239</v>
      </c>
      <c r="D36" s="182" t="e">
        <f>+VLOOKUP(Tabla3[[#This Row],[CEDULA ]],'OCTUBRE 2025'!$C$8:$J$10,2,0)</f>
        <v>#N/A</v>
      </c>
      <c r="E36" s="182" t="e">
        <f>+VLOOKUP(Tabla3[[#This Row],[CEDULA ]],'OCTUBRE 2025'!$C$8:$J$10,4,0)</f>
        <v>#N/A</v>
      </c>
      <c r="F36" s="357" t="e">
        <f>+VLOOKUP(Tabla3[[#This Row],[CEDULA ]],'OCTUBRE 2025'!$C$8:$J$10,6,0)</f>
        <v>#N/A</v>
      </c>
      <c r="G36" s="637" t="e">
        <f>+VLOOKUP(Tabla3[[#This Row],[CEDULA ]],'OCTUBRE 2025'!$C$8:$J$10,8,0)</f>
        <v>#N/A</v>
      </c>
      <c r="H36" s="590">
        <f>+VLOOKUP(Tabla3[[#This Row],[CEDULA ]],'Conversión-HE'!$C$20:$I$70,6,0)</f>
        <v>0</v>
      </c>
      <c r="I36" s="590">
        <f>+VLOOKUP(Tabla3[[#This Row],[CEDULA ]],'Conversión-HE'!$C$20:$I$70,7,0)</f>
        <v>0</v>
      </c>
      <c r="J36" s="322" t="e">
        <f t="shared" si="17"/>
        <v>#N/A</v>
      </c>
      <c r="K36" s="322" t="e">
        <f>+((G36/240)*2)*I36</f>
        <v>#N/A</v>
      </c>
      <c r="L36" s="323" t="e">
        <f>+Tabla3[[#This Row],[US$]]+Tabla3[[#This Row],[US$,]]</f>
        <v>#N/A</v>
      </c>
    </row>
    <row r="37" spans="2:12" ht="18.600000000000001" customHeight="1">
      <c r="B37" s="230">
        <v>30</v>
      </c>
      <c r="C37" s="182" t="s">
        <v>326</v>
      </c>
      <c r="D37" s="182" t="e">
        <f>+VLOOKUP(Tabla3[[#This Row],[CEDULA ]],'OCTUBRE 2025'!$C$8:$J$10,2,0)</f>
        <v>#N/A</v>
      </c>
      <c r="E37" s="182" t="e">
        <f>+VLOOKUP(Tabla3[[#This Row],[CEDULA ]],'OCTUBRE 2025'!$C$8:$J$10,4,0)</f>
        <v>#N/A</v>
      </c>
      <c r="F37" s="357" t="e">
        <f>+VLOOKUP(Tabla3[[#This Row],[CEDULA ]],'OCTUBRE 2025'!$C$8:$J$10,6,0)</f>
        <v>#N/A</v>
      </c>
      <c r="G37" s="637" t="e">
        <f>+VLOOKUP(Tabla3[[#This Row],[CEDULA ]],'OCTUBRE 2025'!$C$8:$J$10,8,0)</f>
        <v>#N/A</v>
      </c>
      <c r="H37" s="590">
        <f>+VLOOKUP(Tabla3[[#This Row],[CEDULA ]],'Conversión-HE'!$C$20:$I$70,6,0)</f>
        <v>0</v>
      </c>
      <c r="I37" s="590">
        <f>+VLOOKUP(Tabla3[[#This Row],[CEDULA ]],'Conversión-HE'!$C$20:$I$70,7,0)</f>
        <v>0</v>
      </c>
      <c r="J37" s="322" t="e">
        <f t="shared" ref="J37:J39" si="19">((G37/240)*1.5)*H37</f>
        <v>#N/A</v>
      </c>
      <c r="K37" s="322" t="e">
        <f t="shared" ref="K37:K39" si="20">+((G37/240)*2)*I37</f>
        <v>#N/A</v>
      </c>
      <c r="L37" s="323" t="e">
        <f>+Tabla3[[#This Row],[US$]]+Tabla3[[#This Row],[US$,]]</f>
        <v>#N/A</v>
      </c>
    </row>
    <row r="38" spans="2:12" ht="18.600000000000001" customHeight="1">
      <c r="B38" s="230">
        <v>31</v>
      </c>
      <c r="C38" s="182">
        <v>955395686</v>
      </c>
      <c r="D38" s="182" t="e">
        <f>+VLOOKUP(Tabla3[[#This Row],[CEDULA ]],'OCTUBRE 2025'!$C$8:$J$10,2,0)</f>
        <v>#N/A</v>
      </c>
      <c r="E38" s="182" t="e">
        <f>+VLOOKUP(Tabla3[[#This Row],[CEDULA ]],'OCTUBRE 2025'!$C$8:$J$10,4,0)</f>
        <v>#N/A</v>
      </c>
      <c r="F38" s="357" t="e">
        <f>+VLOOKUP(Tabla3[[#This Row],[CEDULA ]],'OCTUBRE 2025'!$C$8:$J$10,6,0)</f>
        <v>#N/A</v>
      </c>
      <c r="G38" s="637" t="e">
        <f>+VLOOKUP(Tabla3[[#This Row],[CEDULA ]],'OCTUBRE 2025'!$C$8:$J$10,8,0)</f>
        <v>#N/A</v>
      </c>
      <c r="H38" s="590">
        <f>+VLOOKUP(Tabla3[[#This Row],[CEDULA ]],'Conversión-HE'!$C$20:$I$70,6,0)</f>
        <v>0</v>
      </c>
      <c r="I38" s="590">
        <f>+VLOOKUP(Tabla3[[#This Row],[CEDULA ]],'Conversión-HE'!$C$20:$I$70,7,0)</f>
        <v>0</v>
      </c>
      <c r="J38" s="322" t="e">
        <f t="shared" ref="J38" si="21">((G38/240)*1.5)*H38</f>
        <v>#N/A</v>
      </c>
      <c r="K38" s="322" t="e">
        <f t="shared" ref="K38" si="22">+((G38/240)*2)*I38</f>
        <v>#N/A</v>
      </c>
      <c r="L38" s="323" t="e">
        <f>+Tabla3[[#This Row],[US$]]+Tabla3[[#This Row],[US$,]]</f>
        <v>#N/A</v>
      </c>
    </row>
    <row r="39" spans="2:12" ht="18.600000000000001" customHeight="1">
      <c r="B39" s="230">
        <v>32</v>
      </c>
      <c r="C39" s="182">
        <v>940991987</v>
      </c>
      <c r="D39" s="182" t="e">
        <f>+VLOOKUP(Tabla3[[#This Row],[CEDULA ]],'OCTUBRE 2025'!$C$8:$J$10,2,0)</f>
        <v>#N/A</v>
      </c>
      <c r="E39" s="182" t="e">
        <f>+VLOOKUP(Tabla3[[#This Row],[CEDULA ]],'OCTUBRE 2025'!$C$8:$J$10,4,0)</f>
        <v>#N/A</v>
      </c>
      <c r="F39" s="357" t="e">
        <f>+VLOOKUP(Tabla3[[#This Row],[CEDULA ]],'OCTUBRE 2025'!$C$8:$J$10,6,0)</f>
        <v>#N/A</v>
      </c>
      <c r="G39" s="637" t="e">
        <f>+VLOOKUP(Tabla3[[#This Row],[CEDULA ]],'OCTUBRE 2025'!$C$8:$J$10,8,0)</f>
        <v>#N/A</v>
      </c>
      <c r="H39" s="590">
        <f>+VLOOKUP(Tabla3[[#This Row],[CEDULA ]],'Conversión-HE'!$C$20:$I$70,6,0)</f>
        <v>0</v>
      </c>
      <c r="I39" s="590">
        <f>+VLOOKUP(Tabla3[[#This Row],[CEDULA ]],'Conversión-HE'!$C$20:$I$70,7,0)</f>
        <v>0</v>
      </c>
      <c r="J39" s="322" t="e">
        <f t="shared" si="19"/>
        <v>#N/A</v>
      </c>
      <c r="K39" s="322" t="e">
        <f t="shared" si="20"/>
        <v>#N/A</v>
      </c>
      <c r="L39" s="323" t="e">
        <f>+Tabla3[[#This Row],[US$]]+Tabla3[[#This Row],[US$,]]</f>
        <v>#N/A</v>
      </c>
    </row>
    <row r="40" spans="2:12" ht="18.600000000000001" customHeight="1">
      <c r="B40" s="230">
        <v>33</v>
      </c>
      <c r="C40" s="182">
        <v>956929277</v>
      </c>
      <c r="D40" s="182" t="e">
        <f>+VLOOKUP(Tabla3[[#This Row],[CEDULA ]],'OCTUBRE 2025'!$C$8:$J$10,2,0)</f>
        <v>#N/A</v>
      </c>
      <c r="E40" s="182" t="e">
        <f>+VLOOKUP(Tabla3[[#This Row],[CEDULA ]],'OCTUBRE 2025'!$C$8:$J$10,4,0)</f>
        <v>#N/A</v>
      </c>
      <c r="F40" s="357" t="e">
        <f>+VLOOKUP(Tabla3[[#This Row],[CEDULA ]],'OCTUBRE 2025'!$C$8:$J$10,6,0)</f>
        <v>#N/A</v>
      </c>
      <c r="G40" s="637" t="e">
        <f>+VLOOKUP(Tabla3[[#This Row],[CEDULA ]],'OCTUBRE 2025'!$C$8:$J$10,8,0)</f>
        <v>#N/A</v>
      </c>
      <c r="H40" s="590">
        <f>+VLOOKUP(Tabla3[[#This Row],[CEDULA ]],'Conversión-HE'!$C$20:$I$70,6,0)</f>
        <v>0</v>
      </c>
      <c r="I40" s="590">
        <f>+VLOOKUP(Tabla3[[#This Row],[CEDULA ]],'Conversión-HE'!$C$20:$I$70,7,0)</f>
        <v>0</v>
      </c>
      <c r="J40" s="322" t="e">
        <f>((G40/240)*1.5)*H40</f>
        <v>#N/A</v>
      </c>
      <c r="K40" s="322" t="e">
        <f>+((G40/240)*2)*I40</f>
        <v>#N/A</v>
      </c>
      <c r="L40" s="323" t="e">
        <f>+Tabla3[[#This Row],[US$]]+Tabla3[[#This Row],[US$,]]</f>
        <v>#N/A</v>
      </c>
    </row>
    <row r="41" spans="2:12" ht="18.600000000000001" customHeight="1">
      <c r="B41" s="230">
        <v>34</v>
      </c>
      <c r="C41" s="182">
        <v>951763994</v>
      </c>
      <c r="D41" s="182" t="e">
        <f>+VLOOKUP(Tabla3[[#This Row],[CEDULA ]],'OCTUBRE 2025'!$C$8:$J$10,2,0)</f>
        <v>#N/A</v>
      </c>
      <c r="E41" s="182" t="e">
        <f>+VLOOKUP(Tabla3[[#This Row],[CEDULA ]],'OCTUBRE 2025'!$C$8:$J$10,4,0)</f>
        <v>#N/A</v>
      </c>
      <c r="F41" s="357" t="e">
        <f>+VLOOKUP(Tabla3[[#This Row],[CEDULA ]],'OCTUBRE 2025'!$C$8:$J$10,6,0)</f>
        <v>#N/A</v>
      </c>
      <c r="G41" s="637" t="e">
        <f>+VLOOKUP(Tabla3[[#This Row],[CEDULA ]],'OCTUBRE 2025'!$C$8:$J$10,8,0)</f>
        <v>#N/A</v>
      </c>
      <c r="H41" s="590">
        <f>+VLOOKUP(Tabla3[[#This Row],[CEDULA ]],'Conversión-HE'!$C$20:$I$70,6,0)</f>
        <v>0</v>
      </c>
      <c r="I41" s="590">
        <f>+VLOOKUP(Tabla3[[#This Row],[CEDULA ]],'Conversión-HE'!$C$20:$I$70,7,0)</f>
        <v>0</v>
      </c>
      <c r="J41" s="322" t="e">
        <f t="shared" si="0"/>
        <v>#N/A</v>
      </c>
      <c r="K41" s="322" t="e">
        <f t="shared" si="1"/>
        <v>#N/A</v>
      </c>
      <c r="L41" s="323" t="e">
        <f>+Tabla3[[#This Row],[US$]]+Tabla3[[#This Row],[US$,]]</f>
        <v>#N/A</v>
      </c>
    </row>
    <row r="42" spans="2:12" ht="18.600000000000001" customHeight="1">
      <c r="B42" s="230">
        <v>35</v>
      </c>
      <c r="C42" s="182">
        <v>950703199</v>
      </c>
      <c r="D42" s="182" t="e">
        <f>+VLOOKUP(Tabla3[[#This Row],[CEDULA ]],'OCTUBRE 2025'!$C$8:$J$10,2,0)</f>
        <v>#N/A</v>
      </c>
      <c r="E42" s="182" t="e">
        <f>+VLOOKUP(Tabla3[[#This Row],[CEDULA ]],'OCTUBRE 2025'!$C$8:$J$10,4,0)</f>
        <v>#N/A</v>
      </c>
      <c r="F42" s="357" t="e">
        <f>+VLOOKUP(Tabla3[[#This Row],[CEDULA ]],'OCTUBRE 2025'!$C$8:$J$10,6,0)</f>
        <v>#N/A</v>
      </c>
      <c r="G42" s="637" t="e">
        <f>+VLOOKUP(Tabla3[[#This Row],[CEDULA ]],'OCTUBRE 2025'!$C$8:$J$10,8,0)</f>
        <v>#N/A</v>
      </c>
      <c r="H42" s="590">
        <f>+VLOOKUP(Tabla3[[#This Row],[CEDULA ]],'Conversión-HE'!$C$20:$I$70,6,0)</f>
        <v>0</v>
      </c>
      <c r="I42" s="590">
        <f>+VLOOKUP(Tabla3[[#This Row],[CEDULA ]],'Conversión-HE'!$C$20:$I$70,7,0)</f>
        <v>0</v>
      </c>
      <c r="J42" s="322" t="e">
        <f t="shared" si="0"/>
        <v>#N/A</v>
      </c>
      <c r="K42" s="322" t="e">
        <f t="shared" si="1"/>
        <v>#N/A</v>
      </c>
      <c r="L42" s="323" t="e">
        <f>+Tabla3[[#This Row],[US$]]+Tabla3[[#This Row],[US$,]]</f>
        <v>#N/A</v>
      </c>
    </row>
    <row r="43" spans="2:12" ht="18.600000000000001" customHeight="1">
      <c r="B43" s="230">
        <v>36</v>
      </c>
      <c r="C43" s="182" t="s">
        <v>423</v>
      </c>
      <c r="D43" s="182" t="e">
        <f>+VLOOKUP(Tabla3[[#This Row],[CEDULA ]],'OCTUBRE 2025'!$C$8:$J$10,2,0)</f>
        <v>#N/A</v>
      </c>
      <c r="E43" s="182" t="e">
        <f>+VLOOKUP(Tabla3[[#This Row],[CEDULA ]],'OCTUBRE 2025'!$C$8:$J$10,4,0)</f>
        <v>#N/A</v>
      </c>
      <c r="F43" s="357" t="e">
        <f>+VLOOKUP(Tabla3[[#This Row],[CEDULA ]],'OCTUBRE 2025'!$C$8:$J$10,6,0)</f>
        <v>#N/A</v>
      </c>
      <c r="G43" s="637" t="e">
        <f>+VLOOKUP(Tabla3[[#This Row],[CEDULA ]],'OCTUBRE 2025'!$C$8:$J$10,8,0)</f>
        <v>#N/A</v>
      </c>
      <c r="H43" s="590">
        <f>+VLOOKUP(Tabla3[[#This Row],[CEDULA ]],'Conversión-HE'!$C$20:$I$70,6,0)</f>
        <v>0</v>
      </c>
      <c r="I43" s="590">
        <f>+VLOOKUP(Tabla3[[#This Row],[CEDULA ]],'Conversión-HE'!$C$20:$I$70,7,0)</f>
        <v>0</v>
      </c>
      <c r="J43" s="322" t="e">
        <f t="shared" ref="J43" si="23">((G43/240)*1.5)*H43</f>
        <v>#N/A</v>
      </c>
      <c r="K43" s="322" t="e">
        <f t="shared" ref="K43" si="24">+((G43/240)*2)*I43</f>
        <v>#N/A</v>
      </c>
      <c r="L43" s="323" t="e">
        <f>+Tabla3[[#This Row],[US$]]+Tabla3[[#This Row],[US$,]]</f>
        <v>#N/A</v>
      </c>
    </row>
    <row r="44" spans="2:12" ht="18.600000000000001" customHeight="1">
      <c r="B44" s="230">
        <v>37</v>
      </c>
      <c r="C44" s="182">
        <v>925830689</v>
      </c>
      <c r="D44" s="182" t="e">
        <f>+VLOOKUP(Tabla3[[#This Row],[CEDULA ]],'OCTUBRE 2025'!$C$8:$J$10,2,0)</f>
        <v>#N/A</v>
      </c>
      <c r="E44" s="182" t="e">
        <f>+VLOOKUP(Tabla3[[#This Row],[CEDULA ]],'OCTUBRE 2025'!$C$8:$J$10,4,0)</f>
        <v>#N/A</v>
      </c>
      <c r="F44" s="357" t="e">
        <f>+VLOOKUP(Tabla3[[#This Row],[CEDULA ]],'OCTUBRE 2025'!$C$8:$J$10,6,0)</f>
        <v>#N/A</v>
      </c>
      <c r="G44" s="637" t="e">
        <f>+VLOOKUP(Tabla3[[#This Row],[CEDULA ]],'OCTUBRE 2025'!$C$8:$J$10,8,0)</f>
        <v>#N/A</v>
      </c>
      <c r="H44" s="590">
        <f>+VLOOKUP(Tabla3[[#This Row],[CEDULA ]],'Conversión-HE'!$C$20:$I$70,6,0)</f>
        <v>0</v>
      </c>
      <c r="I44" s="590">
        <f>+VLOOKUP(Tabla3[[#This Row],[CEDULA ]],'Conversión-HE'!$C$20:$I$70,7,0)</f>
        <v>0</v>
      </c>
      <c r="J44" s="322" t="e">
        <f t="shared" si="0"/>
        <v>#N/A</v>
      </c>
      <c r="K44" s="322" t="e">
        <f t="shared" si="1"/>
        <v>#N/A</v>
      </c>
      <c r="L44" s="323" t="e">
        <f>+Tabla3[[#This Row],[US$]]+Tabla3[[#This Row],[US$,]]</f>
        <v>#N/A</v>
      </c>
    </row>
    <row r="45" spans="2:12" ht="18.600000000000001" customHeight="1">
      <c r="B45" s="230">
        <v>38</v>
      </c>
      <c r="C45" s="182">
        <v>944034842</v>
      </c>
      <c r="D45" s="182" t="e">
        <f>+VLOOKUP(Tabla3[[#This Row],[CEDULA ]],'OCTUBRE 2025'!$C$8:$J$10,2,0)</f>
        <v>#N/A</v>
      </c>
      <c r="E45" s="182" t="e">
        <f>+VLOOKUP(Tabla3[[#This Row],[CEDULA ]],'OCTUBRE 2025'!$C$8:$J$10,4,0)</f>
        <v>#N/A</v>
      </c>
      <c r="F45" s="357" t="e">
        <f>+VLOOKUP(Tabla3[[#This Row],[CEDULA ]],'OCTUBRE 2025'!$C$8:$J$10,6,0)</f>
        <v>#N/A</v>
      </c>
      <c r="G45" s="637" t="e">
        <f>+VLOOKUP(Tabla3[[#This Row],[CEDULA ]],'OCTUBRE 2025'!$C$8:$J$10,8,0)</f>
        <v>#N/A</v>
      </c>
      <c r="H45" s="590">
        <f>+VLOOKUP(Tabla3[[#This Row],[CEDULA ]],'Conversión-HE'!$C$20:$I$70,6,0)</f>
        <v>0</v>
      </c>
      <c r="I45" s="590">
        <f>+VLOOKUP(Tabla3[[#This Row],[CEDULA ]],'Conversión-HE'!$C$20:$I$70,7,0)</f>
        <v>0</v>
      </c>
      <c r="J45" s="322" t="e">
        <f t="shared" ref="J45" si="25">((G45/240)*1.5)*H45</f>
        <v>#N/A</v>
      </c>
      <c r="K45" s="322" t="e">
        <f t="shared" ref="K45" si="26">+((G45/240)*2)*I45</f>
        <v>#N/A</v>
      </c>
      <c r="L45" s="323" t="e">
        <f>+Tabla3[[#This Row],[US$]]+Tabla3[[#This Row],[US$,]]</f>
        <v>#N/A</v>
      </c>
    </row>
    <row r="46" spans="2:12" ht="18.600000000000001" customHeight="1">
      <c r="B46" s="230">
        <v>39</v>
      </c>
      <c r="C46" s="182">
        <v>951340702</v>
      </c>
      <c r="D46" s="182" t="e">
        <f>+VLOOKUP(Tabla3[[#This Row],[CEDULA ]],'OCTUBRE 2025'!$C$8:$J$10,2,0)</f>
        <v>#N/A</v>
      </c>
      <c r="E46" s="182" t="e">
        <f>+VLOOKUP(Tabla3[[#This Row],[CEDULA ]],'OCTUBRE 2025'!$C$8:$J$10,4,0)</f>
        <v>#N/A</v>
      </c>
      <c r="F46" s="357" t="e">
        <f>+VLOOKUP(Tabla3[[#This Row],[CEDULA ]],'OCTUBRE 2025'!$C$8:$J$10,6,0)</f>
        <v>#N/A</v>
      </c>
      <c r="G46" s="637" t="e">
        <f>+VLOOKUP(Tabla3[[#This Row],[CEDULA ]],'OCTUBRE 2025'!$C$8:$J$10,8,0)</f>
        <v>#N/A</v>
      </c>
      <c r="H46" s="590">
        <f>+VLOOKUP(Tabla3[[#This Row],[CEDULA ]],'Conversión-HE'!$C$20:$I$70,6,0)</f>
        <v>0</v>
      </c>
      <c r="I46" s="590">
        <f>+VLOOKUP(Tabla3[[#This Row],[CEDULA ]],'Conversión-HE'!$C$20:$I$70,7,0)</f>
        <v>0</v>
      </c>
      <c r="J46" s="322" t="e">
        <f t="shared" si="0"/>
        <v>#N/A</v>
      </c>
      <c r="K46" s="322" t="e">
        <f t="shared" si="1"/>
        <v>#N/A</v>
      </c>
      <c r="L46" s="323" t="e">
        <f>+Tabla3[[#This Row],[US$]]+Tabla3[[#This Row],[US$,]]</f>
        <v>#N/A</v>
      </c>
    </row>
    <row r="47" spans="2:12" ht="18.600000000000001" customHeight="1">
      <c r="B47" s="230">
        <v>40</v>
      </c>
      <c r="C47" s="182">
        <v>650112949</v>
      </c>
      <c r="D47" s="182" t="e">
        <f>+VLOOKUP(Tabla3[[#This Row],[CEDULA ]],'OCTUBRE 2025'!$C$8:$J$10,2,0)</f>
        <v>#N/A</v>
      </c>
      <c r="E47" s="182" t="e">
        <f>+VLOOKUP(Tabla3[[#This Row],[CEDULA ]],'OCTUBRE 2025'!$C$8:$J$10,4,0)</f>
        <v>#N/A</v>
      </c>
      <c r="F47" s="357" t="e">
        <f>+VLOOKUP(Tabla3[[#This Row],[CEDULA ]],'OCTUBRE 2025'!$C$8:$J$10,6,0)</f>
        <v>#N/A</v>
      </c>
      <c r="G47" s="637" t="e">
        <f>+VLOOKUP(Tabla3[[#This Row],[CEDULA ]],'OCTUBRE 2025'!$C$8:$J$10,8,0)</f>
        <v>#N/A</v>
      </c>
      <c r="H47" s="590">
        <f>+VLOOKUP(Tabla3[[#This Row],[CEDULA ]],'Conversión-HE'!$C$20:$I$70,6,0)</f>
        <v>0</v>
      </c>
      <c r="I47" s="590">
        <f>+VLOOKUP(Tabla3[[#This Row],[CEDULA ]],'Conversión-HE'!$C$20:$I$70,7,0)</f>
        <v>0</v>
      </c>
      <c r="J47" s="322" t="e">
        <f t="shared" si="0"/>
        <v>#N/A</v>
      </c>
      <c r="K47" s="322" t="e">
        <f t="shared" si="1"/>
        <v>#N/A</v>
      </c>
      <c r="L47" s="323" t="e">
        <f>+Tabla3[[#This Row],[US$]]+Tabla3[[#This Row],[US$,]]</f>
        <v>#N/A</v>
      </c>
    </row>
    <row r="48" spans="2:12" ht="18.600000000000001" customHeight="1">
      <c r="B48" s="230">
        <v>41</v>
      </c>
      <c r="C48" s="182">
        <v>924232804</v>
      </c>
      <c r="D48" s="182" t="e">
        <f>+VLOOKUP(Tabla3[[#This Row],[CEDULA ]],'OCTUBRE 2025'!$C$8:$J$10,2,0)</f>
        <v>#N/A</v>
      </c>
      <c r="E48" s="182" t="e">
        <f>+VLOOKUP(Tabla3[[#This Row],[CEDULA ]],'OCTUBRE 2025'!$C$8:$J$10,4,0)</f>
        <v>#N/A</v>
      </c>
      <c r="F48" s="357" t="e">
        <f>+VLOOKUP(Tabla3[[#This Row],[CEDULA ]],'OCTUBRE 2025'!$C$8:$J$10,6,0)</f>
        <v>#N/A</v>
      </c>
      <c r="G48" s="637" t="e">
        <f>+VLOOKUP(Tabla3[[#This Row],[CEDULA ]],'OCTUBRE 2025'!$C$8:$J$10,8,0)</f>
        <v>#N/A</v>
      </c>
      <c r="H48" s="590">
        <f>+VLOOKUP(Tabla3[[#This Row],[CEDULA ]],'Conversión-HE'!$C$20:$I$70,6,0)</f>
        <v>0</v>
      </c>
      <c r="I48" s="590">
        <f>+VLOOKUP(Tabla3[[#This Row],[CEDULA ]],'Conversión-HE'!$C$20:$I$70,7,0)</f>
        <v>0</v>
      </c>
      <c r="J48" s="322" t="e">
        <f t="shared" si="0"/>
        <v>#N/A</v>
      </c>
      <c r="K48" s="322" t="e">
        <f t="shared" si="1"/>
        <v>#N/A</v>
      </c>
      <c r="L48" s="323" t="e">
        <f>+Tabla3[[#This Row],[US$]]+Tabla3[[#This Row],[US$,]]</f>
        <v>#N/A</v>
      </c>
    </row>
    <row r="49" spans="2:22" ht="18.600000000000001" customHeight="1">
      <c r="B49" s="230">
        <v>42</v>
      </c>
      <c r="C49" s="182">
        <v>605031145</v>
      </c>
      <c r="D49" s="182" t="e">
        <f>+VLOOKUP(Tabla3[[#This Row],[CEDULA ]],'OCTUBRE 2025'!$C$8:$J$10,2,0)</f>
        <v>#N/A</v>
      </c>
      <c r="E49" s="182" t="e">
        <f>+VLOOKUP(Tabla3[[#This Row],[CEDULA ]],'OCTUBRE 2025'!$C$8:$J$10,4,0)</f>
        <v>#N/A</v>
      </c>
      <c r="F49" s="357" t="e">
        <f>+VLOOKUP(Tabla3[[#This Row],[CEDULA ]],'OCTUBRE 2025'!$C$8:$J$10,6,0)</f>
        <v>#N/A</v>
      </c>
      <c r="G49" s="637" t="e">
        <f>+VLOOKUP(Tabla3[[#This Row],[CEDULA ]],'OCTUBRE 2025'!$C$8:$J$10,8,0)</f>
        <v>#N/A</v>
      </c>
      <c r="H49" s="590">
        <f>+VLOOKUP(Tabla3[[#This Row],[CEDULA ]],'Conversión-HE'!$C$20:$I$70,6,0)</f>
        <v>0</v>
      </c>
      <c r="I49" s="590">
        <f>+VLOOKUP(Tabla3[[#This Row],[CEDULA ]],'Conversión-HE'!$C$20:$I$70,7,0)</f>
        <v>0</v>
      </c>
      <c r="J49" s="322" t="e">
        <f t="shared" si="0"/>
        <v>#N/A</v>
      </c>
      <c r="K49" s="322" t="e">
        <f t="shared" si="1"/>
        <v>#N/A</v>
      </c>
      <c r="L49" s="323" t="e">
        <f>+Tabla3[[#This Row],[US$]]+Tabla3[[#This Row],[US$,]]</f>
        <v>#N/A</v>
      </c>
    </row>
    <row r="50" spans="2:22" ht="18.600000000000001" customHeight="1">
      <c r="B50" s="230">
        <v>43</v>
      </c>
      <c r="C50" s="182">
        <v>927257576</v>
      </c>
      <c r="D50" s="182" t="e">
        <f>+VLOOKUP(Tabla3[[#This Row],[CEDULA ]],'OCTUBRE 2025'!$C$8:$J$10,2,0)</f>
        <v>#N/A</v>
      </c>
      <c r="E50" s="182" t="e">
        <f>+VLOOKUP(Tabla3[[#This Row],[CEDULA ]],'OCTUBRE 2025'!$C$8:$J$10,4,0)</f>
        <v>#N/A</v>
      </c>
      <c r="F50" s="357" t="e">
        <f>+VLOOKUP(Tabla3[[#This Row],[CEDULA ]],'OCTUBRE 2025'!$C$8:$J$10,6,0)</f>
        <v>#N/A</v>
      </c>
      <c r="G50" s="637" t="e">
        <f>+VLOOKUP(Tabla3[[#This Row],[CEDULA ]],'OCTUBRE 2025'!$C$8:$J$10,8,0)</f>
        <v>#N/A</v>
      </c>
      <c r="H50" s="590">
        <f>+VLOOKUP(Tabla3[[#This Row],[CEDULA ]],'Conversión-HE'!$C$20:$I$70,6,0)</f>
        <v>0</v>
      </c>
      <c r="I50" s="590">
        <f>+VLOOKUP(Tabla3[[#This Row],[CEDULA ]],'Conversión-HE'!$C$20:$I$70,7,0)</f>
        <v>0</v>
      </c>
      <c r="J50" s="322" t="e">
        <f t="shared" si="0"/>
        <v>#N/A</v>
      </c>
      <c r="K50" s="322" t="e">
        <f t="shared" si="1"/>
        <v>#N/A</v>
      </c>
      <c r="L50" s="323" t="e">
        <f>+Tabla3[[#This Row],[US$]]+Tabla3[[#This Row],[US$,]]</f>
        <v>#N/A</v>
      </c>
    </row>
    <row r="51" spans="2:22" ht="18.600000000000001" customHeight="1">
      <c r="B51" s="230">
        <v>44</v>
      </c>
      <c r="C51" s="182">
        <v>928901800</v>
      </c>
      <c r="D51" s="182" t="e">
        <f>+VLOOKUP(Tabla3[[#This Row],[CEDULA ]],'OCTUBRE 2025'!$C$8:$J$10,2,0)</f>
        <v>#N/A</v>
      </c>
      <c r="E51" s="182" t="e">
        <f>+VLOOKUP(Tabla3[[#This Row],[CEDULA ]],'OCTUBRE 2025'!$C$8:$J$10,4,0)</f>
        <v>#N/A</v>
      </c>
      <c r="F51" s="357" t="e">
        <f>+VLOOKUP(Tabla3[[#This Row],[CEDULA ]],'OCTUBRE 2025'!$C$8:$J$10,6,0)</f>
        <v>#N/A</v>
      </c>
      <c r="G51" s="637" t="e">
        <f>+VLOOKUP(Tabla3[[#This Row],[CEDULA ]],'OCTUBRE 2025'!$C$8:$J$10,8,0)</f>
        <v>#N/A</v>
      </c>
      <c r="H51" s="590">
        <f>+VLOOKUP(Tabla3[[#This Row],[CEDULA ]],'Conversión-HE'!$C$20:$I$70,6,0)</f>
        <v>0</v>
      </c>
      <c r="I51" s="590">
        <f>+VLOOKUP(Tabla3[[#This Row],[CEDULA ]],'Conversión-HE'!$C$20:$I$70,7,0)</f>
        <v>0</v>
      </c>
      <c r="J51" s="322" t="e">
        <f t="shared" si="0"/>
        <v>#N/A</v>
      </c>
      <c r="K51" s="322" t="e">
        <f t="shared" si="1"/>
        <v>#N/A</v>
      </c>
      <c r="L51" s="323" t="e">
        <f>+Tabla3[[#This Row],[US$]]+Tabla3[[#This Row],[US$,]]</f>
        <v>#N/A</v>
      </c>
    </row>
    <row r="52" spans="2:22" ht="18.600000000000001" customHeight="1">
      <c r="B52" s="230">
        <v>45</v>
      </c>
      <c r="C52" s="182">
        <v>951315746</v>
      </c>
      <c r="D52" s="182" t="e">
        <f>+VLOOKUP(Tabla3[[#This Row],[CEDULA ]],'OCTUBRE 2025'!$C$8:$J$10,2,0)</f>
        <v>#N/A</v>
      </c>
      <c r="E52" s="182" t="e">
        <f>+VLOOKUP(Tabla3[[#This Row],[CEDULA ]],'OCTUBRE 2025'!$C$8:$J$10,4,0)</f>
        <v>#N/A</v>
      </c>
      <c r="F52" s="357" t="e">
        <f>+VLOOKUP(Tabla3[[#This Row],[CEDULA ]],'OCTUBRE 2025'!$C$8:$J$10,6,0)</f>
        <v>#N/A</v>
      </c>
      <c r="G52" s="637" t="e">
        <f>+VLOOKUP(Tabla3[[#This Row],[CEDULA ]],'OCTUBRE 2025'!$C$8:$J$10,8,0)</f>
        <v>#N/A</v>
      </c>
      <c r="H52" s="590">
        <f>+VLOOKUP(Tabla3[[#This Row],[CEDULA ]],'Conversión-HE'!$C$20:$I$70,6,0)</f>
        <v>0</v>
      </c>
      <c r="I52" s="590">
        <f>+VLOOKUP(Tabla3[[#This Row],[CEDULA ]],'Conversión-HE'!$C$20:$I$70,7,0)</f>
        <v>0</v>
      </c>
      <c r="J52" s="322" t="e">
        <f t="shared" si="0"/>
        <v>#N/A</v>
      </c>
      <c r="K52" s="322" t="e">
        <f t="shared" si="1"/>
        <v>#N/A</v>
      </c>
      <c r="L52" s="323" t="e">
        <f>+Tabla3[[#This Row],[US$]]+Tabla3[[#This Row],[US$,]]</f>
        <v>#N/A</v>
      </c>
    </row>
    <row r="53" spans="2:22" ht="18.600000000000001" customHeight="1">
      <c r="B53" s="230">
        <v>46</v>
      </c>
      <c r="C53" s="182">
        <v>954184321</v>
      </c>
      <c r="D53" s="182" t="e">
        <f>+VLOOKUP(Tabla3[[#This Row],[CEDULA ]],'OCTUBRE 2025'!$C$8:$J$10,2,0)</f>
        <v>#N/A</v>
      </c>
      <c r="E53" s="182" t="e">
        <f>+VLOOKUP(Tabla3[[#This Row],[CEDULA ]],'OCTUBRE 2025'!$C$8:$J$10,4,0)</f>
        <v>#N/A</v>
      </c>
      <c r="F53" s="357" t="e">
        <f>+VLOOKUP(Tabla3[[#This Row],[CEDULA ]],'OCTUBRE 2025'!$C$8:$J$10,6,0)</f>
        <v>#N/A</v>
      </c>
      <c r="G53" s="637" t="e">
        <f>+VLOOKUP(Tabla3[[#This Row],[CEDULA ]],'OCTUBRE 2025'!$C$8:$J$10,8,0)</f>
        <v>#N/A</v>
      </c>
      <c r="H53" s="590">
        <f>+VLOOKUP(Tabla3[[#This Row],[CEDULA ]],'Conversión-HE'!$C$20:$I$70,6,0)</f>
        <v>0</v>
      </c>
      <c r="I53" s="590">
        <f>+VLOOKUP(Tabla3[[#This Row],[CEDULA ]],'Conversión-HE'!$C$20:$I$70,7,0)</f>
        <v>0</v>
      </c>
      <c r="J53" s="322" t="e">
        <f t="shared" si="0"/>
        <v>#N/A</v>
      </c>
      <c r="K53" s="322" t="e">
        <f t="shared" si="1"/>
        <v>#N/A</v>
      </c>
      <c r="L53" s="323" t="e">
        <f>+Tabla3[[#This Row],[US$]]+Tabla3[[#This Row],[US$,]]</f>
        <v>#N/A</v>
      </c>
    </row>
    <row r="54" spans="2:22" ht="18.600000000000001" customHeight="1">
      <c r="B54" s="230">
        <v>47</v>
      </c>
      <c r="C54" s="182">
        <v>922034772</v>
      </c>
      <c r="D54" s="182" t="e">
        <f>+VLOOKUP(Tabla3[[#This Row],[CEDULA ]],'OCTUBRE 2025'!$C$8:$J$10,2,0)</f>
        <v>#N/A</v>
      </c>
      <c r="E54" s="182" t="e">
        <f>+VLOOKUP(Tabla3[[#This Row],[CEDULA ]],'OCTUBRE 2025'!$C$8:$J$10,4,0)</f>
        <v>#N/A</v>
      </c>
      <c r="F54" s="357" t="e">
        <f>+VLOOKUP(Tabla3[[#This Row],[CEDULA ]],'OCTUBRE 2025'!$C$8:$J$10,6,0)</f>
        <v>#N/A</v>
      </c>
      <c r="G54" s="637" t="e">
        <f>+VLOOKUP(Tabla3[[#This Row],[CEDULA ]],'OCTUBRE 2025'!$C$8:$J$10,8,0)</f>
        <v>#N/A</v>
      </c>
      <c r="H54" s="590">
        <f>+VLOOKUP(Tabla3[[#This Row],[CEDULA ]],'Conversión-HE'!$C$20:$I$70,6,0)</f>
        <v>0</v>
      </c>
      <c r="I54" s="590">
        <f>+VLOOKUP(Tabla3[[#This Row],[CEDULA ]],'Conversión-HE'!$C$20:$I$70,7,0)</f>
        <v>0</v>
      </c>
      <c r="J54" s="322" t="e">
        <f t="shared" si="0"/>
        <v>#N/A</v>
      </c>
      <c r="K54" s="322" t="e">
        <f t="shared" si="1"/>
        <v>#N/A</v>
      </c>
      <c r="L54" s="323" t="e">
        <f>+Tabla3[[#This Row],[US$]]+Tabla3[[#This Row],[US$,]]</f>
        <v>#N/A</v>
      </c>
    </row>
    <row r="55" spans="2:22" ht="18.600000000000001" customHeight="1">
      <c r="B55" s="230">
        <v>48</v>
      </c>
      <c r="C55" s="182">
        <v>923837991</v>
      </c>
      <c r="D55" s="182" t="str">
        <f>+VLOOKUP(Tabla3[[#This Row],[CEDULA ]],'OCTUBRE 2025'!$C$8:$J$10,2,0)</f>
        <v>YUNDA CUJILEMA MARIA TERESA</v>
      </c>
      <c r="E55" s="182" t="str">
        <f>+VLOOKUP(Tabla3[[#This Row],[CEDULA ]],'OCTUBRE 2025'!$C$8:$J$10,4,0)</f>
        <v>CONTADOR GENERAL</v>
      </c>
      <c r="F55" s="357" t="str">
        <f>+VLOOKUP(Tabla3[[#This Row],[CEDULA ]],'OCTUBRE 2025'!$C$8:$J$10,6,0)</f>
        <v>Matriz</v>
      </c>
      <c r="G55" s="637">
        <f>+VLOOKUP(Tabla3[[#This Row],[CEDULA ]],'OCTUBRE 2025'!$C$8:$J$10,8,0)</f>
        <v>1022.2</v>
      </c>
      <c r="H55" s="590">
        <f>+VLOOKUP(Tabla3[[#This Row],[CEDULA ]],'Conversión-HE'!$C$20:$I$70,6,0)</f>
        <v>0</v>
      </c>
      <c r="I55" s="590">
        <f>+VLOOKUP(Tabla3[[#This Row],[CEDULA ]],'Conversión-HE'!$C$20:$I$70,7,0)</f>
        <v>0</v>
      </c>
      <c r="J55" s="322">
        <f t="shared" si="0"/>
        <v>0</v>
      </c>
      <c r="K55" s="322">
        <f t="shared" si="1"/>
        <v>0</v>
      </c>
      <c r="L55" s="323">
        <f>+Tabla3[[#This Row],[US$]]+Tabla3[[#This Row],[US$,]]</f>
        <v>0</v>
      </c>
    </row>
    <row r="56" spans="2:22" ht="18.600000000000001" customHeight="1">
      <c r="B56" s="230">
        <v>49</v>
      </c>
      <c r="C56" s="182">
        <v>941508905</v>
      </c>
      <c r="D56" s="182" t="str">
        <f>+VLOOKUP(Tabla3[[#This Row],[CEDULA ]],'OCTUBRE 2025'!$C$8:$J$10,2,0)</f>
        <v>YUQUILEMA CACUANGO ANGEL JOSE</v>
      </c>
      <c r="E56" s="182" t="str">
        <f>+VLOOKUP(Tabla3[[#This Row],[CEDULA ]],'OCTUBRE 2025'!$C$8:$J$10,4,0)</f>
        <v>OFICIAL DE RECAUDACIONES</v>
      </c>
      <c r="F56" s="357" t="str">
        <f>+VLOOKUP(Tabla3[[#This Row],[CEDULA ]],'OCTUBRE 2025'!$C$8:$J$10,6,0)</f>
        <v>Matriz</v>
      </c>
      <c r="G56" s="637">
        <f>+VLOOKUP(Tabla3[[#This Row],[CEDULA ]],'OCTUBRE 2025'!$C$8:$J$10,8,0)</f>
        <v>511.1</v>
      </c>
      <c r="H56" s="590">
        <f>+VLOOKUP(Tabla3[[#This Row],[CEDULA ]],'Conversión-HE'!$C$20:$I$70,6,0)</f>
        <v>0</v>
      </c>
      <c r="I56" s="590">
        <f>+VLOOKUP(Tabla3[[#This Row],[CEDULA ]],'Conversión-HE'!$C$20:$I$70,7,0)</f>
        <v>0</v>
      </c>
      <c r="J56" s="322">
        <f>((G56/240)*1.5)*H56</f>
        <v>0</v>
      </c>
      <c r="K56" s="322">
        <f>+((G56/240)*2)*I56</f>
        <v>0</v>
      </c>
      <c r="L56" s="323">
        <f>+Tabla3[[#This Row],[US$]]+Tabla3[[#This Row],[US$,]]</f>
        <v>0</v>
      </c>
    </row>
    <row r="57" spans="2:22" ht="18.600000000000001" customHeight="1">
      <c r="B57" s="230">
        <v>50</v>
      </c>
      <c r="C57" s="182">
        <v>604154575</v>
      </c>
      <c r="D57" s="182" t="str">
        <f>+VLOOKUP(Tabla3[[#This Row],[CEDULA ]],'OCTUBRE 2025'!$C$8:$J$10,2,0)</f>
        <v>YUQUILEMA DELGADO PEDRO ANTONIO</v>
      </c>
      <c r="E57" s="182" t="str">
        <f>+VLOOKUP(Tabla3[[#This Row],[CEDULA ]],'OCTUBRE 2025'!$C$8:$J$10,4,0)</f>
        <v>JEFE DE CRÉDITO</v>
      </c>
      <c r="F57" s="357" t="str">
        <f>+VLOOKUP(Tabla3[[#This Row],[CEDULA ]],'OCTUBRE 2025'!$C$8:$J$10,6,0)</f>
        <v>Durán</v>
      </c>
      <c r="G57" s="637">
        <f>+VLOOKUP(Tabla3[[#This Row],[CEDULA ]],'OCTUBRE 2025'!$C$8:$J$10,8,0)</f>
        <v>1022.2</v>
      </c>
      <c r="H57" s="590">
        <f>+VLOOKUP(Tabla3[[#This Row],[CEDULA ]],'Conversión-HE'!$C$20:$I$70,6,0)</f>
        <v>0</v>
      </c>
      <c r="I57" s="590">
        <f>+VLOOKUP(Tabla3[[#This Row],[CEDULA ]],'Conversión-HE'!$C$20:$I$70,7,0)</f>
        <v>0</v>
      </c>
      <c r="J57" s="322">
        <f t="shared" si="0"/>
        <v>0</v>
      </c>
      <c r="K57" s="322">
        <f t="shared" si="1"/>
        <v>0</v>
      </c>
      <c r="L57" s="323">
        <f>+Tabla3[[#This Row],[US$]]+Tabla3[[#This Row],[US$,]]</f>
        <v>0</v>
      </c>
    </row>
    <row r="58" spans="2:22" ht="18.600000000000001" customHeight="1">
      <c r="B58" s="64"/>
      <c r="C58" s="185"/>
      <c r="D58" s="187"/>
      <c r="E58" s="69"/>
      <c r="F58" s="241"/>
      <c r="G58" s="70"/>
      <c r="H58" s="557"/>
      <c r="I58" s="324"/>
      <c r="J58" s="322">
        <f t="shared" si="0"/>
        <v>0</v>
      </c>
      <c r="K58" s="322">
        <f t="shared" si="1"/>
        <v>0</v>
      </c>
      <c r="L58" s="323">
        <f>+Tabla3[[#This Row],[US$]]+Tabla3[[#This Row],[US$,]]</f>
        <v>0</v>
      </c>
      <c r="O58" s="51"/>
    </row>
    <row r="59" spans="2:22" ht="21.6" customHeight="1">
      <c r="B59" s="71"/>
      <c r="C59" s="186"/>
      <c r="D59" s="72" t="s">
        <v>32</v>
      </c>
      <c r="E59" s="72"/>
      <c r="F59" s="242"/>
      <c r="G59" s="73" t="e">
        <f>SUBTOTAL(109,Tabla3[SUELDO])</f>
        <v>#N/A</v>
      </c>
      <c r="H59" s="74">
        <f>SUBTOTAL(109,Tabla3[Cantidad])</f>
        <v>0</v>
      </c>
      <c r="I59" s="75">
        <f>SUBTOTAL(109,Tabla3[Cantidad2])</f>
        <v>0</v>
      </c>
      <c r="J59" s="75" t="e">
        <f>SUBTOTAL(109,Tabla3[US$])</f>
        <v>#N/A</v>
      </c>
      <c r="K59" s="76" t="e">
        <f>SUBTOTAL(109,Tabla3[US$,])</f>
        <v>#N/A</v>
      </c>
      <c r="L59" s="75" t="e">
        <f>SUBTOTAL(109,Tabla3[US$,,])</f>
        <v>#N/A</v>
      </c>
    </row>
    <row r="60" spans="2:22">
      <c r="O60" s="247"/>
      <c r="P60" s="247"/>
      <c r="Q60" s="248"/>
      <c r="R60" s="248"/>
      <c r="S60" s="247"/>
      <c r="T60" s="248"/>
      <c r="U60" s="248"/>
      <c r="V60" s="247"/>
    </row>
    <row r="61" spans="2:22">
      <c r="O61" s="249"/>
      <c r="P61" s="250"/>
      <c r="Q61" s="251"/>
      <c r="R61" s="252"/>
      <c r="S61" s="251"/>
      <c r="T61" s="253"/>
      <c r="U61" s="254"/>
      <c r="V61" s="113"/>
    </row>
    <row r="62" spans="2:22">
      <c r="O62" s="249"/>
      <c r="P62" s="250"/>
      <c r="Q62" s="251"/>
      <c r="R62" s="252"/>
      <c r="S62" s="251"/>
      <c r="T62" s="253"/>
      <c r="U62" s="254"/>
      <c r="V62" s="113"/>
    </row>
  </sheetData>
  <sheetProtection autoFilter="0"/>
  <mergeCells count="5">
    <mergeCell ref="H5:I5"/>
    <mergeCell ref="J5:K5"/>
    <mergeCell ref="L5:L6"/>
    <mergeCell ref="B2:L2"/>
    <mergeCell ref="B3:L3"/>
  </mergeCells>
  <conditionalFormatting sqref="T61:T62">
    <cfRule type="cellIs" dxfId="1" priority="1" operator="between">
      <formula>80</formula>
      <formula>85</formula>
    </cfRule>
  </conditionalFormatting>
  <dataValidations count="1">
    <dataValidation type="list" allowBlank="1" showInputMessage="1" showErrorMessage="1" sqref="V61" xr:uid="{CE269A80-992C-4CEE-8F61-C714352D7C18}">
      <formula1>$AJ$6:$AJ$33</formula1>
    </dataValidation>
  </dataValidations>
  <pageMargins left="0.48" right="0.25" top="0.33" bottom="0.41" header="0.53" footer="0.3"/>
  <pageSetup scale="5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B285-DE47-4BE2-9165-48C0438FEDCC}">
  <sheetPr codeName="Hoja8"/>
  <dimension ref="B1:L70"/>
  <sheetViews>
    <sheetView topLeftCell="A18" zoomScaleNormal="100" zoomScaleSheetLayoutView="115" workbookViewId="0">
      <selection activeCell="G37" sqref="G37"/>
    </sheetView>
  </sheetViews>
  <sheetFormatPr baseColWidth="10" defaultColWidth="11.44140625" defaultRowHeight="11.4"/>
  <cols>
    <col min="1" max="1" width="11.44140625" style="533"/>
    <col min="2" max="2" width="8" style="533" customWidth="1"/>
    <col min="3" max="3" width="9.44140625" style="533" customWidth="1"/>
    <col min="4" max="4" width="44.109375" style="534" customWidth="1"/>
    <col min="5" max="5" width="9.44140625" style="534" customWidth="1"/>
    <col min="6" max="6" width="9.5546875" style="534" customWidth="1"/>
    <col min="7" max="7" width="11" style="534" customWidth="1"/>
    <col min="8" max="8" width="12.21875" style="534" customWidth="1"/>
    <col min="9" max="9" width="11.44140625" style="533"/>
    <col min="10" max="10" width="1.77734375" style="533" customWidth="1"/>
    <col min="11" max="16384" width="11.44140625" style="533"/>
  </cols>
  <sheetData>
    <row r="1" spans="4:8" hidden="1"/>
    <row r="2" spans="4:8" ht="23.25" hidden="1" customHeight="1" thickBot="1">
      <c r="D2" s="924" t="s">
        <v>336</v>
      </c>
      <c r="E2" s="924"/>
      <c r="F2" s="924"/>
      <c r="G2" s="924"/>
      <c r="H2" s="924"/>
    </row>
    <row r="3" spans="4:8" ht="33.75" hidden="1" customHeight="1" thickBot="1">
      <c r="D3" s="548" t="s">
        <v>335</v>
      </c>
      <c r="E3" s="552"/>
      <c r="F3" s="547"/>
      <c r="G3" s="547"/>
      <c r="H3" s="547" t="s">
        <v>334</v>
      </c>
    </row>
    <row r="4" spans="4:8" hidden="1">
      <c r="D4" s="543">
        <v>4</v>
      </c>
      <c r="E4" s="553"/>
      <c r="F4" s="542"/>
      <c r="G4" s="542"/>
      <c r="H4" s="542">
        <v>0.33333333333333331</v>
      </c>
    </row>
    <row r="5" spans="4:8" hidden="1">
      <c r="D5" s="543">
        <v>5</v>
      </c>
      <c r="E5" s="553"/>
      <c r="F5" s="542"/>
      <c r="G5" s="542"/>
      <c r="H5" s="542">
        <v>0.33333333333333331</v>
      </c>
    </row>
    <row r="6" spans="4:8" hidden="1">
      <c r="D6" s="546">
        <v>6</v>
      </c>
      <c r="E6" s="554"/>
      <c r="F6" s="545"/>
      <c r="G6" s="545"/>
      <c r="H6" s="545">
        <v>0.8125</v>
      </c>
    </row>
    <row r="7" spans="4:8" hidden="1">
      <c r="D7" s="543">
        <v>7</v>
      </c>
      <c r="E7" s="553"/>
      <c r="F7" s="544"/>
      <c r="G7" s="544"/>
      <c r="H7" s="544" t="s">
        <v>333</v>
      </c>
    </row>
    <row r="8" spans="4:8" hidden="1">
      <c r="D8" s="543">
        <v>8</v>
      </c>
      <c r="E8" s="553"/>
      <c r="F8" s="542"/>
      <c r="G8" s="542"/>
      <c r="H8" s="542">
        <v>0.33333333333333331</v>
      </c>
    </row>
    <row r="9" spans="4:8" hidden="1">
      <c r="D9" s="543">
        <v>9</v>
      </c>
      <c r="E9" s="553"/>
      <c r="F9" s="542"/>
      <c r="G9" s="542"/>
      <c r="H9" s="542">
        <v>0.33333333333333331</v>
      </c>
    </row>
    <row r="10" spans="4:8" hidden="1">
      <c r="D10" s="543">
        <v>10</v>
      </c>
      <c r="E10" s="553"/>
      <c r="F10" s="542"/>
      <c r="G10" s="542"/>
      <c r="H10" s="542">
        <v>0.33333333333333331</v>
      </c>
    </row>
    <row r="11" spans="4:8" hidden="1">
      <c r="D11" s="543">
        <v>11</v>
      </c>
      <c r="E11" s="553"/>
      <c r="F11" s="542"/>
      <c r="G11" s="542"/>
      <c r="H11" s="542">
        <v>0.33333333333333331</v>
      </c>
    </row>
    <row r="12" spans="4:8" hidden="1">
      <c r="D12" s="543">
        <v>12</v>
      </c>
      <c r="E12" s="553"/>
      <c r="F12" s="542"/>
      <c r="G12" s="542"/>
      <c r="H12" s="542">
        <v>0.13541666666666666</v>
      </c>
    </row>
    <row r="13" spans="4:8" hidden="1">
      <c r="D13" s="541">
        <v>13</v>
      </c>
      <c r="E13" s="555"/>
      <c r="F13" s="540"/>
      <c r="G13" s="540"/>
      <c r="H13" s="540">
        <v>0.79166666666666663</v>
      </c>
    </row>
    <row r="14" spans="4:8" ht="2.25" hidden="1" customHeight="1" thickBot="1"/>
    <row r="15" spans="4:8" hidden="1"/>
    <row r="16" spans="4:8" hidden="1"/>
    <row r="17" spans="2:11" hidden="1"/>
    <row r="18" spans="2:11" ht="12.75" customHeight="1" thickBot="1">
      <c r="D18" s="533"/>
    </row>
    <row r="19" spans="2:11" s="539" customFormat="1" ht="20.399999999999999">
      <c r="B19" s="550" t="s">
        <v>270</v>
      </c>
      <c r="C19" s="550" t="s">
        <v>337</v>
      </c>
      <c r="D19" s="550" t="s">
        <v>332</v>
      </c>
      <c r="E19" s="556" t="s">
        <v>75</v>
      </c>
      <c r="F19" s="551" t="s">
        <v>331</v>
      </c>
      <c r="G19" s="551" t="s">
        <v>330</v>
      </c>
      <c r="H19" s="551" t="s">
        <v>341</v>
      </c>
      <c r="I19" s="551" t="s">
        <v>342</v>
      </c>
    </row>
    <row r="20" spans="2:11" s="535" customFormat="1" ht="10.8" customHeight="1">
      <c r="B20" s="534">
        <v>1</v>
      </c>
      <c r="C20" s="538">
        <v>925813685</v>
      </c>
      <c r="D20" s="537" t="e">
        <f>+VLOOKUP($C20,'OCTUBRE 2025'!$C$8:$J$10,2,0)</f>
        <v>#N/A</v>
      </c>
      <c r="E20" s="642" t="e">
        <f>+VLOOKUP($C20,'OCTUBRE 2025'!$C$8:$J$10,6,0)</f>
        <v>#N/A</v>
      </c>
      <c r="F20" s="549"/>
      <c r="G20" s="549"/>
      <c r="H20" s="536">
        <f t="shared" ref="H20:H69" si="0">+F20*24</f>
        <v>0</v>
      </c>
      <c r="I20" s="536">
        <f>+G20*24</f>
        <v>0</v>
      </c>
    </row>
    <row r="21" spans="2:11" s="535" customFormat="1" ht="10.8" customHeight="1">
      <c r="B21" s="534">
        <f>+B20+1</f>
        <v>2</v>
      </c>
      <c r="C21" s="538">
        <v>944405737</v>
      </c>
      <c r="D21" s="537" t="e">
        <f>+VLOOKUP($C21,'OCTUBRE 2025'!$C$8:$J$10,2,0)</f>
        <v>#N/A</v>
      </c>
      <c r="E21" s="642" t="e">
        <f>+VLOOKUP($C21,'OCTUBRE 2025'!$C$8:$J$10,6,0)</f>
        <v>#N/A</v>
      </c>
      <c r="F21" s="549"/>
      <c r="G21" s="549"/>
      <c r="H21" s="536">
        <f t="shared" si="0"/>
        <v>0</v>
      </c>
      <c r="I21" s="536">
        <f t="shared" ref="I21:I69" si="1">+G21*24</f>
        <v>0</v>
      </c>
    </row>
    <row r="22" spans="2:11" s="535" customFormat="1" ht="10.8" customHeight="1">
      <c r="B22" s="534">
        <f t="shared" ref="B22:B69" si="2">+B21+1</f>
        <v>3</v>
      </c>
      <c r="C22" s="538">
        <v>604394502</v>
      </c>
      <c r="D22" s="537" t="e">
        <f>+VLOOKUP($C22,'OCTUBRE 2025'!$C$8:$J$10,2,0)</f>
        <v>#N/A</v>
      </c>
      <c r="E22" s="642" t="e">
        <f>+VLOOKUP($C22,'OCTUBRE 2025'!$C$8:$J$10,6,0)</f>
        <v>#N/A</v>
      </c>
      <c r="F22" s="549"/>
      <c r="G22" s="549"/>
      <c r="H22" s="536">
        <f t="shared" si="0"/>
        <v>0</v>
      </c>
      <c r="I22" s="536">
        <f t="shared" si="1"/>
        <v>0</v>
      </c>
    </row>
    <row r="23" spans="2:11" s="535" customFormat="1" ht="10.8" customHeight="1">
      <c r="B23" s="534">
        <f t="shared" si="2"/>
        <v>4</v>
      </c>
      <c r="C23" s="538">
        <v>955741970</v>
      </c>
      <c r="D23" s="537" t="e">
        <f>+VLOOKUP($C23,'OCTUBRE 2025'!$C$8:$J$10,2,0)</f>
        <v>#N/A</v>
      </c>
      <c r="E23" s="642" t="e">
        <f>+VLOOKUP($C23,'OCTUBRE 2025'!$C$8:$J$10,6,0)</f>
        <v>#N/A</v>
      </c>
      <c r="F23" s="549"/>
      <c r="G23" s="549"/>
      <c r="H23" s="536">
        <f t="shared" si="0"/>
        <v>0</v>
      </c>
      <c r="I23" s="536">
        <f t="shared" si="1"/>
        <v>0</v>
      </c>
      <c r="K23" s="721"/>
    </row>
    <row r="24" spans="2:11" s="535" customFormat="1" ht="10.8" customHeight="1">
      <c r="B24" s="534">
        <f t="shared" si="2"/>
        <v>5</v>
      </c>
      <c r="C24" s="538" t="s">
        <v>467</v>
      </c>
      <c r="D24" s="537" t="e">
        <f>+VLOOKUP($C24,'OCTUBRE 2025'!$C$8:$J$10,2,0)</f>
        <v>#N/A</v>
      </c>
      <c r="E24" s="642" t="e">
        <f>+VLOOKUP($C24,'OCTUBRE 2025'!$C$8:$J$10,6,0)</f>
        <v>#N/A</v>
      </c>
      <c r="F24" s="549"/>
      <c r="G24" s="549"/>
      <c r="H24" s="536">
        <f t="shared" ref="H24" si="3">+F24*24</f>
        <v>0</v>
      </c>
      <c r="I24" s="536">
        <f t="shared" ref="I24" si="4">+G24*24</f>
        <v>0</v>
      </c>
      <c r="K24" s="721"/>
    </row>
    <row r="25" spans="2:11" s="535" customFormat="1" ht="10.8" customHeight="1">
      <c r="B25" s="534">
        <f t="shared" si="2"/>
        <v>6</v>
      </c>
      <c r="C25" s="538">
        <v>944143148</v>
      </c>
      <c r="D25" s="537" t="e">
        <f>+VLOOKUP($C25,'OCTUBRE 2025'!$C$8:$J$10,2,0)</f>
        <v>#N/A</v>
      </c>
      <c r="E25" s="642" t="e">
        <f>+VLOOKUP($C25,'OCTUBRE 2025'!$C$8:$J$10,6,0)</f>
        <v>#N/A</v>
      </c>
      <c r="F25" s="549"/>
      <c r="G25" s="549"/>
      <c r="H25" s="536">
        <f t="shared" ref="H25" si="5">+F25*24</f>
        <v>0</v>
      </c>
      <c r="I25" s="536">
        <f t="shared" ref="I25" si="6">+G25*24</f>
        <v>0</v>
      </c>
    </row>
    <row r="26" spans="2:11" s="535" customFormat="1" ht="10.8" customHeight="1">
      <c r="B26" s="534">
        <f t="shared" si="2"/>
        <v>7</v>
      </c>
      <c r="C26" s="538">
        <v>955325238</v>
      </c>
      <c r="D26" s="537" t="e">
        <f>+VLOOKUP($C26,'OCTUBRE 2025'!$C$8:$J$10,2,0)</f>
        <v>#N/A</v>
      </c>
      <c r="E26" s="642" t="e">
        <f>+VLOOKUP($C26,'OCTUBRE 2025'!$C$8:$J$10,6,0)</f>
        <v>#N/A</v>
      </c>
      <c r="F26" s="549"/>
      <c r="G26" s="549"/>
      <c r="H26" s="536">
        <f t="shared" ref="H26" si="7">+F26*24</f>
        <v>0</v>
      </c>
      <c r="I26" s="536">
        <f t="shared" ref="I26" si="8">+G26*24</f>
        <v>0</v>
      </c>
    </row>
    <row r="27" spans="2:11" s="535" customFormat="1" ht="10.8" customHeight="1">
      <c r="B27" s="534">
        <f t="shared" si="2"/>
        <v>8</v>
      </c>
      <c r="C27" s="538">
        <v>914163654</v>
      </c>
      <c r="D27" s="537" t="e">
        <f>+VLOOKUP($C27,'OCTUBRE 2025'!$C$8:$J$10,2,0)</f>
        <v>#N/A</v>
      </c>
      <c r="E27" s="642" t="e">
        <f>+VLOOKUP($C27,'OCTUBRE 2025'!$C$8:$J$10,6,0)</f>
        <v>#N/A</v>
      </c>
      <c r="F27" s="549"/>
      <c r="G27" s="549"/>
      <c r="H27" s="536">
        <f t="shared" si="0"/>
        <v>0</v>
      </c>
      <c r="I27" s="536">
        <f>+G27*24</f>
        <v>0</v>
      </c>
    </row>
    <row r="28" spans="2:11" s="535" customFormat="1" ht="10.8" customHeight="1">
      <c r="B28" s="534">
        <f t="shared" si="2"/>
        <v>9</v>
      </c>
      <c r="C28" s="182">
        <v>956668305</v>
      </c>
      <c r="D28" s="537" t="e">
        <f>+VLOOKUP($C28,'OCTUBRE 2025'!$C$8:$J$10,2,0)</f>
        <v>#N/A</v>
      </c>
      <c r="E28" s="642" t="e">
        <f>+VLOOKUP($C28,'OCTUBRE 2025'!$C$8:$J$10,6,0)</f>
        <v>#N/A</v>
      </c>
      <c r="F28" s="549"/>
      <c r="G28" s="549"/>
      <c r="H28" s="536">
        <f t="shared" ref="H28:H29" si="9">+F28*24</f>
        <v>0</v>
      </c>
      <c r="I28" s="536">
        <f t="shared" ref="I28:I29" si="10">+G28*24</f>
        <v>0</v>
      </c>
    </row>
    <row r="29" spans="2:11" s="535" customFormat="1" ht="10.8" customHeight="1">
      <c r="B29" s="534">
        <f t="shared" si="2"/>
        <v>10</v>
      </c>
      <c r="C29" s="182" t="s">
        <v>470</v>
      </c>
      <c r="D29" s="537" t="e">
        <f>+VLOOKUP($C29,'OCTUBRE 2025'!$C$8:$J$10,2,0)</f>
        <v>#N/A</v>
      </c>
      <c r="E29" s="642" t="e">
        <f>+VLOOKUP($C29,'OCTUBRE 2025'!$C$8:$J$10,6,0)</f>
        <v>#N/A</v>
      </c>
      <c r="F29" s="549"/>
      <c r="G29" s="549"/>
      <c r="H29" s="536">
        <f t="shared" si="9"/>
        <v>0</v>
      </c>
      <c r="I29" s="536">
        <f t="shared" si="10"/>
        <v>0</v>
      </c>
    </row>
    <row r="30" spans="2:11" s="535" customFormat="1" ht="10.8" customHeight="1">
      <c r="B30" s="534">
        <f t="shared" si="2"/>
        <v>11</v>
      </c>
      <c r="C30" s="731">
        <v>931097620</v>
      </c>
      <c r="D30" s="537" t="e">
        <f>+VLOOKUP($C30,'OCTUBRE 2025'!$C$8:$J$10,2,0)</f>
        <v>#N/A</v>
      </c>
      <c r="E30" s="642" t="e">
        <f>+VLOOKUP($C30,'OCTUBRE 2025'!$C$8:$J$10,6,0)</f>
        <v>#N/A</v>
      </c>
      <c r="F30" s="549"/>
      <c r="G30" s="549"/>
      <c r="H30" s="536">
        <f t="shared" ref="H30" si="11">+F30*24</f>
        <v>0</v>
      </c>
      <c r="I30" s="536">
        <f t="shared" ref="I30" si="12">+G30*24</f>
        <v>0</v>
      </c>
    </row>
    <row r="31" spans="2:11" s="535" customFormat="1" ht="10.8" customHeight="1">
      <c r="B31" s="534">
        <f t="shared" si="2"/>
        <v>12</v>
      </c>
      <c r="C31" s="538">
        <v>1105483422</v>
      </c>
      <c r="D31" s="537" t="e">
        <f>+VLOOKUP($C31,'OCTUBRE 2025'!$C$8:$J$10,2,0)</f>
        <v>#N/A</v>
      </c>
      <c r="E31" s="642" t="e">
        <f>+VLOOKUP($C31,'OCTUBRE 2025'!$C$8:$J$10,6,0)</f>
        <v>#N/A</v>
      </c>
      <c r="F31" s="549"/>
      <c r="G31" s="549"/>
      <c r="H31" s="536">
        <f t="shared" si="0"/>
        <v>0</v>
      </c>
      <c r="I31" s="536">
        <f t="shared" si="1"/>
        <v>0</v>
      </c>
    </row>
    <row r="32" spans="2:11" s="535" customFormat="1" ht="10.8" customHeight="1">
      <c r="B32" s="534">
        <f t="shared" si="2"/>
        <v>13</v>
      </c>
      <c r="C32" s="538">
        <v>942614645</v>
      </c>
      <c r="D32" s="537" t="e">
        <f>+VLOOKUP($C32,'OCTUBRE 2025'!$C$8:$J$10,2,0)</f>
        <v>#N/A</v>
      </c>
      <c r="E32" s="642" t="e">
        <f>+VLOOKUP($C32,'OCTUBRE 2025'!$C$8:$J$10,6,0)</f>
        <v>#N/A</v>
      </c>
      <c r="F32" s="549"/>
      <c r="G32" s="549"/>
      <c r="H32" s="536">
        <f>+F32*24</f>
        <v>0</v>
      </c>
      <c r="I32" s="536">
        <f t="shared" si="1"/>
        <v>0</v>
      </c>
    </row>
    <row r="33" spans="2:12" s="535" customFormat="1" ht="10.8" customHeight="1">
      <c r="B33" s="534">
        <f t="shared" si="2"/>
        <v>14</v>
      </c>
      <c r="C33" s="538">
        <v>951200062</v>
      </c>
      <c r="D33" s="537" t="e">
        <f>+VLOOKUP($C33,'OCTUBRE 2025'!$C$8:$J$10,2,0)</f>
        <v>#N/A</v>
      </c>
      <c r="E33" s="642" t="e">
        <f>+VLOOKUP($C33,'OCTUBRE 2025'!$C$8:$J$10,6,0)</f>
        <v>#N/A</v>
      </c>
      <c r="F33" s="549"/>
      <c r="G33" s="549"/>
      <c r="H33" s="536">
        <f t="shared" si="0"/>
        <v>0</v>
      </c>
      <c r="I33" s="536">
        <f>+G33*24</f>
        <v>0</v>
      </c>
    </row>
    <row r="34" spans="2:12" s="535" customFormat="1" ht="10.8" customHeight="1">
      <c r="B34" s="534">
        <f t="shared" si="2"/>
        <v>15</v>
      </c>
      <c r="C34" s="538">
        <v>950929232</v>
      </c>
      <c r="D34" s="537" t="e">
        <f>+VLOOKUP($C34,'OCTUBRE 2025'!$C$8:$J$10,2,0)</f>
        <v>#N/A</v>
      </c>
      <c r="E34" s="642" t="e">
        <f>+VLOOKUP($C34,'OCTUBRE 2025'!$C$8:$J$10,6,0)</f>
        <v>#N/A</v>
      </c>
      <c r="F34" s="549"/>
      <c r="G34" s="549"/>
      <c r="H34" s="536">
        <f t="shared" si="0"/>
        <v>0</v>
      </c>
      <c r="I34" s="536">
        <f t="shared" si="1"/>
        <v>0</v>
      </c>
    </row>
    <row r="35" spans="2:12" s="535" customFormat="1" ht="10.8" customHeight="1">
      <c r="B35" s="534">
        <f t="shared" si="2"/>
        <v>16</v>
      </c>
      <c r="C35" s="538">
        <v>953819646</v>
      </c>
      <c r="D35" s="537" t="e">
        <f>+VLOOKUP($C35,'OCTUBRE 2025'!$C$8:$J$10,2,0)</f>
        <v>#N/A</v>
      </c>
      <c r="E35" s="642" t="e">
        <f>+VLOOKUP($C35,'OCTUBRE 2025'!$C$8:$J$10,6,0)</f>
        <v>#N/A</v>
      </c>
      <c r="F35" s="549"/>
      <c r="G35" s="549"/>
      <c r="H35" s="536">
        <f t="shared" si="0"/>
        <v>0</v>
      </c>
      <c r="I35" s="536">
        <f t="shared" si="1"/>
        <v>0</v>
      </c>
    </row>
    <row r="36" spans="2:12" s="535" customFormat="1" ht="10.8" customHeight="1">
      <c r="B36" s="534">
        <f t="shared" si="2"/>
        <v>17</v>
      </c>
      <c r="C36" s="538">
        <v>956953392</v>
      </c>
      <c r="D36" s="537" t="e">
        <f>+VLOOKUP($C36,'OCTUBRE 2025'!$C$8:$J$10,2,0)</f>
        <v>#N/A</v>
      </c>
      <c r="E36" s="642" t="e">
        <f>+VLOOKUP($C36,'OCTUBRE 2025'!$C$8:$J$10,6,0)</f>
        <v>#N/A</v>
      </c>
      <c r="F36" s="549"/>
      <c r="G36" s="549"/>
      <c r="H36" s="536">
        <f t="shared" si="0"/>
        <v>0</v>
      </c>
      <c r="I36" s="536">
        <f t="shared" si="1"/>
        <v>0</v>
      </c>
    </row>
    <row r="37" spans="2:12" s="535" customFormat="1" ht="10.8" customHeight="1">
      <c r="B37" s="534">
        <f t="shared" si="2"/>
        <v>18</v>
      </c>
      <c r="C37" s="538">
        <v>956796767</v>
      </c>
      <c r="D37" s="537" t="e">
        <f>+VLOOKUP($C37,'OCTUBRE 2025'!$C$8:$J$10,2,0)</f>
        <v>#N/A</v>
      </c>
      <c r="E37" s="642" t="e">
        <f>+VLOOKUP($C37,'OCTUBRE 2025'!$C$8:$J$10,6,0)</f>
        <v>#N/A</v>
      </c>
      <c r="F37" s="549"/>
      <c r="G37" s="549"/>
      <c r="H37" s="536">
        <f t="shared" ref="H37:H39" si="13">+F37*24</f>
        <v>0</v>
      </c>
      <c r="I37" s="536">
        <f t="shared" ref="I37:I39" si="14">+G37*24</f>
        <v>0</v>
      </c>
    </row>
    <row r="38" spans="2:12" s="535" customFormat="1" ht="10.8" customHeight="1">
      <c r="B38" s="534">
        <f t="shared" si="2"/>
        <v>19</v>
      </c>
      <c r="C38" s="538" t="s">
        <v>417</v>
      </c>
      <c r="D38" s="537" t="e">
        <f>+VLOOKUP($C38,'OCTUBRE 2025'!$C$8:$J$10,2,0)</f>
        <v>#N/A</v>
      </c>
      <c r="E38" s="642" t="e">
        <f>+VLOOKUP($C38,'OCTUBRE 2025'!$C$8:$J$10,6,0)</f>
        <v>#N/A</v>
      </c>
      <c r="F38" s="549"/>
      <c r="G38" s="549"/>
      <c r="H38" s="536">
        <f t="shared" ref="H38" si="15">+F38*24</f>
        <v>0</v>
      </c>
      <c r="I38" s="536">
        <f t="shared" ref="I38" si="16">+G38*24</f>
        <v>0</v>
      </c>
    </row>
    <row r="39" spans="2:12" s="535" customFormat="1" ht="10.8" customHeight="1">
      <c r="B39" s="534">
        <f t="shared" si="2"/>
        <v>20</v>
      </c>
      <c r="C39" s="538">
        <v>1724102940</v>
      </c>
      <c r="D39" s="537" t="e">
        <f>+VLOOKUP($C39,'OCTUBRE 2025'!$C$8:$J$10,2,0)</f>
        <v>#N/A</v>
      </c>
      <c r="E39" s="642" t="e">
        <f>+VLOOKUP($C39,'OCTUBRE 2025'!$C$8:$J$10,6,0)</f>
        <v>#N/A</v>
      </c>
      <c r="F39" s="549"/>
      <c r="G39" s="549"/>
      <c r="H39" s="536">
        <f t="shared" si="13"/>
        <v>0</v>
      </c>
      <c r="I39" s="536">
        <f t="shared" si="14"/>
        <v>0</v>
      </c>
    </row>
    <row r="40" spans="2:12" s="535" customFormat="1" ht="10.8" customHeight="1">
      <c r="B40" s="534">
        <f t="shared" si="2"/>
        <v>21</v>
      </c>
      <c r="C40" s="538">
        <v>943322974</v>
      </c>
      <c r="D40" s="537" t="e">
        <f>+VLOOKUP($C40,'OCTUBRE 2025'!$C$8:$J$10,2,0)</f>
        <v>#N/A</v>
      </c>
      <c r="E40" s="642" t="e">
        <f>+VLOOKUP($C40,'OCTUBRE 2025'!$C$8:$J$10,6,0)</f>
        <v>#N/A</v>
      </c>
      <c r="F40" s="549"/>
      <c r="G40" s="549"/>
      <c r="H40" s="536">
        <f t="shared" si="0"/>
        <v>0</v>
      </c>
      <c r="I40" s="536">
        <f t="shared" si="1"/>
        <v>0</v>
      </c>
      <c r="K40" s="721"/>
    </row>
    <row r="41" spans="2:12" s="535" customFormat="1" ht="10.8" customHeight="1">
      <c r="B41" s="534">
        <f t="shared" si="2"/>
        <v>22</v>
      </c>
      <c r="C41" s="538">
        <v>941096851</v>
      </c>
      <c r="D41" s="537" t="e">
        <f>+VLOOKUP($C41,'OCTUBRE 2025'!$C$8:$J$10,2,0)</f>
        <v>#N/A</v>
      </c>
      <c r="E41" s="642" t="e">
        <f>+VLOOKUP($C41,'OCTUBRE 2025'!$C$8:$J$10,6,0)</f>
        <v>#N/A</v>
      </c>
      <c r="F41" s="549"/>
      <c r="G41" s="549"/>
      <c r="H41" s="536">
        <f t="shared" si="0"/>
        <v>0</v>
      </c>
      <c r="I41" s="536">
        <f t="shared" si="1"/>
        <v>0</v>
      </c>
    </row>
    <row r="42" spans="2:12" s="535" customFormat="1">
      <c r="B42" s="534">
        <f t="shared" si="2"/>
        <v>23</v>
      </c>
      <c r="C42" s="690">
        <v>957093800</v>
      </c>
      <c r="D42" s="537" t="e">
        <f>+VLOOKUP($C42,'OCTUBRE 2025'!$C$8:$J$10,2,0)</f>
        <v>#N/A</v>
      </c>
      <c r="E42" s="642" t="e">
        <f>+VLOOKUP($C42,'OCTUBRE 2025'!$C$8:$J$10,6,0)</f>
        <v>#N/A</v>
      </c>
      <c r="F42" s="549"/>
      <c r="G42" s="549"/>
      <c r="H42" s="536">
        <f t="shared" ref="H42" si="17">+F42*24</f>
        <v>0</v>
      </c>
      <c r="I42" s="536">
        <f t="shared" ref="I42" si="18">+G42*24</f>
        <v>0</v>
      </c>
    </row>
    <row r="43" spans="2:12" s="535" customFormat="1" ht="10.8" customHeight="1">
      <c r="B43" s="534">
        <f t="shared" si="2"/>
        <v>24</v>
      </c>
      <c r="C43" s="538">
        <v>957924350</v>
      </c>
      <c r="D43" s="537" t="e">
        <f>+VLOOKUP($C43,'OCTUBRE 2025'!$C$8:$J$10,2,0)</f>
        <v>#N/A</v>
      </c>
      <c r="E43" s="642" t="e">
        <f>+VLOOKUP($C43,'OCTUBRE 2025'!$C$8:$J$10,6,0)</f>
        <v>#N/A</v>
      </c>
      <c r="F43" s="549"/>
      <c r="G43" s="549"/>
      <c r="H43" s="536">
        <f t="shared" si="0"/>
        <v>0</v>
      </c>
      <c r="I43" s="536">
        <f t="shared" si="1"/>
        <v>0</v>
      </c>
    </row>
    <row r="44" spans="2:12" s="535" customFormat="1" ht="10.8" customHeight="1">
      <c r="B44" s="534">
        <f t="shared" si="2"/>
        <v>25</v>
      </c>
      <c r="C44" s="538">
        <v>603838657</v>
      </c>
      <c r="D44" s="537" t="e">
        <f>+VLOOKUP($C44,'OCTUBRE 2025'!$C$8:$J$10,2,0)</f>
        <v>#N/A</v>
      </c>
      <c r="E44" s="642" t="e">
        <f>+VLOOKUP($C44,'OCTUBRE 2025'!$C$8:$J$10,6,0)</f>
        <v>#N/A</v>
      </c>
      <c r="F44" s="549"/>
      <c r="G44" s="549"/>
      <c r="H44" s="536">
        <f t="shared" si="0"/>
        <v>0</v>
      </c>
      <c r="I44" s="536">
        <f t="shared" si="1"/>
        <v>0</v>
      </c>
    </row>
    <row r="45" spans="2:12" s="535" customFormat="1" ht="10.8" customHeight="1">
      <c r="B45" s="534">
        <f t="shared" si="2"/>
        <v>26</v>
      </c>
      <c r="C45" s="538">
        <v>925240525</v>
      </c>
      <c r="D45" s="537" t="e">
        <f>+VLOOKUP($C45,'OCTUBRE 2025'!$C$8:$J$10,2,0)</f>
        <v>#N/A</v>
      </c>
      <c r="E45" s="642" t="e">
        <f>+VLOOKUP($C45,'OCTUBRE 2025'!$C$8:$J$10,6,0)</f>
        <v>#N/A</v>
      </c>
      <c r="F45" s="549"/>
      <c r="G45" s="549"/>
      <c r="H45" s="536">
        <f t="shared" si="0"/>
        <v>0</v>
      </c>
      <c r="I45" s="536">
        <f t="shared" si="1"/>
        <v>0</v>
      </c>
    </row>
    <row r="46" spans="2:12" s="535" customFormat="1" ht="10.8" customHeight="1">
      <c r="B46" s="534">
        <f t="shared" si="2"/>
        <v>27</v>
      </c>
      <c r="C46" s="538">
        <v>954520599</v>
      </c>
      <c r="D46" s="537" t="e">
        <f>+VLOOKUP($C46,'OCTUBRE 2025'!$C$8:$J$10,2,0)</f>
        <v>#N/A</v>
      </c>
      <c r="E46" s="642" t="e">
        <f>+VLOOKUP($C46,'OCTUBRE 2025'!$C$8:$J$10,6,0)</f>
        <v>#N/A</v>
      </c>
      <c r="F46" s="549"/>
      <c r="G46" s="549"/>
      <c r="H46" s="536">
        <f t="shared" si="0"/>
        <v>0</v>
      </c>
      <c r="I46" s="536">
        <f t="shared" si="1"/>
        <v>0</v>
      </c>
    </row>
    <row r="47" spans="2:12" s="535" customFormat="1" ht="10.8" customHeight="1">
      <c r="B47" s="534">
        <f t="shared" si="2"/>
        <v>28</v>
      </c>
      <c r="C47" s="538" t="s">
        <v>275</v>
      </c>
      <c r="D47" s="537" t="e">
        <f>+VLOOKUP($C47,'OCTUBRE 2025'!$C$8:$J$10,2,0)</f>
        <v>#N/A</v>
      </c>
      <c r="E47" s="642" t="e">
        <f>+VLOOKUP($C47,'OCTUBRE 2025'!$C$8:$J$10,6,0)</f>
        <v>#N/A</v>
      </c>
      <c r="F47" s="549"/>
      <c r="G47" s="549"/>
      <c r="H47" s="536">
        <f t="shared" ref="H47" si="19">+F47*24</f>
        <v>0</v>
      </c>
      <c r="I47" s="536">
        <f t="shared" ref="I47" si="20">+G47*24</f>
        <v>0</v>
      </c>
    </row>
    <row r="48" spans="2:12" s="535" customFormat="1" ht="10.8" customHeight="1">
      <c r="B48" s="534">
        <f t="shared" si="2"/>
        <v>29</v>
      </c>
      <c r="C48" s="538" t="s">
        <v>239</v>
      </c>
      <c r="D48" s="537" t="e">
        <f>+VLOOKUP($C48,'OCTUBRE 2025'!$C$8:$J$10,2,0)</f>
        <v>#N/A</v>
      </c>
      <c r="E48" s="642" t="e">
        <f>+VLOOKUP($C48,'OCTUBRE 2025'!$C$8:$J$10,6,0)</f>
        <v>#N/A</v>
      </c>
      <c r="F48" s="549"/>
      <c r="G48" s="549"/>
      <c r="H48" s="536">
        <f t="shared" si="0"/>
        <v>0</v>
      </c>
      <c r="I48" s="536">
        <f t="shared" si="1"/>
        <v>0</v>
      </c>
      <c r="L48" s="569"/>
    </row>
    <row r="49" spans="2:12" s="535" customFormat="1" ht="10.8" customHeight="1">
      <c r="B49" s="534">
        <f t="shared" si="2"/>
        <v>30</v>
      </c>
      <c r="C49" s="538" t="s">
        <v>326</v>
      </c>
      <c r="D49" s="537" t="e">
        <f>+VLOOKUP($C49,'OCTUBRE 2025'!$C$8:$J$10,2,0)</f>
        <v>#N/A</v>
      </c>
      <c r="E49" s="642" t="e">
        <f>+VLOOKUP($C49,'OCTUBRE 2025'!$C$8:$J$10,6,0)</f>
        <v>#N/A</v>
      </c>
      <c r="F49" s="549"/>
      <c r="G49" s="549"/>
      <c r="H49" s="536">
        <f t="shared" si="0"/>
        <v>0</v>
      </c>
      <c r="I49" s="536">
        <f t="shared" si="1"/>
        <v>0</v>
      </c>
    </row>
    <row r="50" spans="2:12" s="535" customFormat="1" ht="10.8" customHeight="1">
      <c r="B50" s="534">
        <f t="shared" si="2"/>
        <v>31</v>
      </c>
      <c r="C50" s="538">
        <v>955395686</v>
      </c>
      <c r="D50" s="537" t="e">
        <f>+VLOOKUP($C50,'OCTUBRE 2025'!$C$8:$J$10,2,0)</f>
        <v>#N/A</v>
      </c>
      <c r="E50" s="642" t="e">
        <f>+VLOOKUP($C50,'OCTUBRE 2025'!$C$8:$J$10,6,0)</f>
        <v>#N/A</v>
      </c>
      <c r="F50" s="549"/>
      <c r="G50" s="549"/>
      <c r="H50" s="536">
        <f t="shared" si="0"/>
        <v>0</v>
      </c>
      <c r="I50" s="536">
        <f t="shared" si="1"/>
        <v>0</v>
      </c>
    </row>
    <row r="51" spans="2:12" s="535" customFormat="1" ht="10.8" customHeight="1">
      <c r="B51" s="534">
        <f t="shared" si="2"/>
        <v>32</v>
      </c>
      <c r="C51" s="538">
        <v>940991987</v>
      </c>
      <c r="D51" s="537" t="e">
        <f>+VLOOKUP($C51,'OCTUBRE 2025'!$C$8:$J$10,2,0)</f>
        <v>#N/A</v>
      </c>
      <c r="E51" s="642" t="e">
        <f>+VLOOKUP($C51,'OCTUBRE 2025'!$C$8:$J$10,6,0)</f>
        <v>#N/A</v>
      </c>
      <c r="F51" s="549"/>
      <c r="G51" s="549"/>
      <c r="H51" s="536">
        <f t="shared" si="0"/>
        <v>0</v>
      </c>
      <c r="I51" s="536">
        <f t="shared" si="1"/>
        <v>0</v>
      </c>
    </row>
    <row r="52" spans="2:12" s="535" customFormat="1" ht="10.8" customHeight="1">
      <c r="B52" s="534">
        <f t="shared" si="2"/>
        <v>33</v>
      </c>
      <c r="C52" s="538">
        <v>956929277</v>
      </c>
      <c r="D52" s="537" t="e">
        <f>+VLOOKUP($C52,'OCTUBRE 2025'!$C$8:$J$10,2,0)</f>
        <v>#N/A</v>
      </c>
      <c r="E52" s="642" t="e">
        <f>+VLOOKUP($C52,'OCTUBRE 2025'!$C$8:$J$10,6,0)</f>
        <v>#N/A</v>
      </c>
      <c r="F52" s="549"/>
      <c r="G52" s="549"/>
      <c r="H52" s="536">
        <f>+F52*24</f>
        <v>0</v>
      </c>
      <c r="I52" s="536">
        <f>+G52*24</f>
        <v>0</v>
      </c>
    </row>
    <row r="53" spans="2:12" s="535" customFormat="1" ht="10.8" customHeight="1">
      <c r="B53" s="534">
        <f t="shared" si="2"/>
        <v>34</v>
      </c>
      <c r="C53" s="538">
        <v>951763994</v>
      </c>
      <c r="D53" s="537" t="e">
        <f>+VLOOKUP($C53,'OCTUBRE 2025'!$C$8:$J$10,2,0)</f>
        <v>#N/A</v>
      </c>
      <c r="E53" s="642" t="e">
        <f>+VLOOKUP($C53,'OCTUBRE 2025'!$C$8:$J$10,6,0)</f>
        <v>#N/A</v>
      </c>
      <c r="F53" s="549"/>
      <c r="G53" s="549"/>
      <c r="H53" s="536">
        <f t="shared" si="0"/>
        <v>0</v>
      </c>
      <c r="I53" s="536">
        <f t="shared" si="1"/>
        <v>0</v>
      </c>
      <c r="L53" s="570"/>
    </row>
    <row r="54" spans="2:12" s="535" customFormat="1" ht="10.8" customHeight="1">
      <c r="B54" s="534">
        <f t="shared" si="2"/>
        <v>35</v>
      </c>
      <c r="C54" s="538">
        <v>950703199</v>
      </c>
      <c r="D54" s="537" t="e">
        <f>+VLOOKUP($C54,'OCTUBRE 2025'!$C$8:$J$10,2,0)</f>
        <v>#N/A</v>
      </c>
      <c r="E54" s="642" t="e">
        <f>+VLOOKUP($C54,'OCTUBRE 2025'!$C$8:$J$10,6,0)</f>
        <v>#N/A</v>
      </c>
      <c r="F54" s="549"/>
      <c r="G54" s="549"/>
      <c r="H54" s="536">
        <f t="shared" si="0"/>
        <v>0</v>
      </c>
      <c r="I54" s="536">
        <f t="shared" si="1"/>
        <v>0</v>
      </c>
      <c r="L54" s="570"/>
    </row>
    <row r="55" spans="2:12" s="535" customFormat="1" ht="10.8" customHeight="1">
      <c r="B55" s="534">
        <f t="shared" si="2"/>
        <v>36</v>
      </c>
      <c r="C55" s="538" t="s">
        <v>423</v>
      </c>
      <c r="D55" s="537" t="e">
        <f>+VLOOKUP($C55,'OCTUBRE 2025'!$C$8:$J$10,2,0)</f>
        <v>#N/A</v>
      </c>
      <c r="E55" s="642" t="e">
        <f>+VLOOKUP($C55,'OCTUBRE 2025'!$C$8:$J$10,6,0)</f>
        <v>#N/A</v>
      </c>
      <c r="F55" s="549"/>
      <c r="G55" s="549"/>
      <c r="H55" s="536">
        <f t="shared" ref="H55" si="21">+F55*24</f>
        <v>0</v>
      </c>
      <c r="I55" s="536">
        <f t="shared" ref="I55" si="22">+G55*24</f>
        <v>0</v>
      </c>
      <c r="L55" s="570"/>
    </row>
    <row r="56" spans="2:12" s="535" customFormat="1" ht="10.8" customHeight="1">
      <c r="B56" s="534">
        <f t="shared" si="2"/>
        <v>37</v>
      </c>
      <c r="C56" s="538">
        <v>925830689</v>
      </c>
      <c r="D56" s="537" t="e">
        <f>+VLOOKUP($C56,'OCTUBRE 2025'!$C$8:$J$10,2,0)</f>
        <v>#N/A</v>
      </c>
      <c r="E56" s="642" t="e">
        <f>+VLOOKUP($C56,'OCTUBRE 2025'!$C$8:$J$10,6,0)</f>
        <v>#N/A</v>
      </c>
      <c r="F56" s="549"/>
      <c r="G56" s="549"/>
      <c r="H56" s="536">
        <f t="shared" si="0"/>
        <v>0</v>
      </c>
      <c r="I56" s="536">
        <f t="shared" si="1"/>
        <v>0</v>
      </c>
    </row>
    <row r="57" spans="2:12" s="535" customFormat="1" ht="10.8" customHeight="1">
      <c r="B57" s="534">
        <f t="shared" si="2"/>
        <v>38</v>
      </c>
      <c r="C57" s="538">
        <v>944034842</v>
      </c>
      <c r="D57" s="537" t="e">
        <f>+VLOOKUP($C57,'OCTUBRE 2025'!$C$8:$J$10,2,0)</f>
        <v>#N/A</v>
      </c>
      <c r="E57" s="642" t="e">
        <f>+VLOOKUP($C57,'OCTUBRE 2025'!$C$8:$J$10,6,0)</f>
        <v>#N/A</v>
      </c>
      <c r="F57" s="549"/>
      <c r="G57" s="549"/>
      <c r="H57" s="536">
        <f t="shared" ref="H57" si="23">+F57*24</f>
        <v>0</v>
      </c>
      <c r="I57" s="536">
        <f t="shared" ref="I57" si="24">+G57*24</f>
        <v>0</v>
      </c>
    </row>
    <row r="58" spans="2:12" s="535" customFormat="1" ht="10.8" customHeight="1">
      <c r="B58" s="534">
        <f t="shared" si="2"/>
        <v>39</v>
      </c>
      <c r="C58" s="538">
        <v>951340702</v>
      </c>
      <c r="D58" s="537" t="e">
        <f>+VLOOKUP($C58,'OCTUBRE 2025'!$C$8:$J$10,2,0)</f>
        <v>#N/A</v>
      </c>
      <c r="E58" s="642" t="e">
        <f>+VLOOKUP($C58,'OCTUBRE 2025'!$C$8:$J$10,6,0)</f>
        <v>#N/A</v>
      </c>
      <c r="F58" s="549"/>
      <c r="G58" s="720"/>
      <c r="H58" s="536">
        <f t="shared" si="0"/>
        <v>0</v>
      </c>
      <c r="I58" s="536">
        <f t="shared" si="1"/>
        <v>0</v>
      </c>
    </row>
    <row r="59" spans="2:12" s="535" customFormat="1" ht="10.8" customHeight="1">
      <c r="B59" s="534">
        <f t="shared" si="2"/>
        <v>40</v>
      </c>
      <c r="C59" s="538">
        <v>650112949</v>
      </c>
      <c r="D59" s="537" t="e">
        <f>+VLOOKUP($C59,'OCTUBRE 2025'!$C$8:$J$10,2,0)</f>
        <v>#N/A</v>
      </c>
      <c r="E59" s="642" t="e">
        <f>+VLOOKUP($C59,'OCTUBRE 2025'!$C$8:$J$10,6,0)</f>
        <v>#N/A</v>
      </c>
      <c r="F59" s="549"/>
      <c r="G59" s="549"/>
      <c r="H59" s="536">
        <f t="shared" si="0"/>
        <v>0</v>
      </c>
      <c r="I59" s="536">
        <f t="shared" si="1"/>
        <v>0</v>
      </c>
      <c r="K59" s="721"/>
    </row>
    <row r="60" spans="2:12" s="535" customFormat="1" ht="10.8" customHeight="1">
      <c r="B60" s="534">
        <f t="shared" si="2"/>
        <v>41</v>
      </c>
      <c r="C60" s="538">
        <v>924232804</v>
      </c>
      <c r="D60" s="537" t="e">
        <f>+VLOOKUP($C60,'OCTUBRE 2025'!$C$8:$J$10,2,0)</f>
        <v>#N/A</v>
      </c>
      <c r="E60" s="642" t="e">
        <f>+VLOOKUP($C60,'OCTUBRE 2025'!$C$8:$J$10,6,0)</f>
        <v>#N/A</v>
      </c>
      <c r="F60" s="549"/>
      <c r="G60" s="549"/>
      <c r="H60" s="536">
        <f t="shared" si="0"/>
        <v>0</v>
      </c>
      <c r="I60" s="536">
        <f t="shared" si="1"/>
        <v>0</v>
      </c>
    </row>
    <row r="61" spans="2:12" s="535" customFormat="1" ht="10.8" customHeight="1">
      <c r="B61" s="534">
        <f t="shared" si="2"/>
        <v>42</v>
      </c>
      <c r="C61" s="538">
        <v>605031145</v>
      </c>
      <c r="D61" s="537" t="e">
        <f>+VLOOKUP($C61,'OCTUBRE 2025'!$C$8:$J$10,2,0)</f>
        <v>#N/A</v>
      </c>
      <c r="E61" s="642" t="e">
        <f>+VLOOKUP($C61,'OCTUBRE 2025'!$C$8:$J$10,6,0)</f>
        <v>#N/A</v>
      </c>
      <c r="F61" s="549"/>
      <c r="G61" s="549"/>
      <c r="H61" s="536">
        <f t="shared" si="0"/>
        <v>0</v>
      </c>
      <c r="I61" s="536">
        <f t="shared" si="1"/>
        <v>0</v>
      </c>
    </row>
    <row r="62" spans="2:12" s="535" customFormat="1" ht="10.8" customHeight="1">
      <c r="B62" s="534">
        <f t="shared" si="2"/>
        <v>43</v>
      </c>
      <c r="C62" s="538">
        <v>927257576</v>
      </c>
      <c r="D62" s="537" t="e">
        <f>+VLOOKUP($C62,'OCTUBRE 2025'!$C$8:$J$10,2,0)</f>
        <v>#N/A</v>
      </c>
      <c r="E62" s="642" t="e">
        <f>+VLOOKUP($C62,'OCTUBRE 2025'!$C$8:$J$10,6,0)</f>
        <v>#N/A</v>
      </c>
      <c r="F62" s="549"/>
      <c r="G62" s="549"/>
      <c r="H62" s="536">
        <f t="shared" si="0"/>
        <v>0</v>
      </c>
      <c r="I62" s="536">
        <f t="shared" si="1"/>
        <v>0</v>
      </c>
    </row>
    <row r="63" spans="2:12" s="535" customFormat="1" ht="10.8" customHeight="1">
      <c r="B63" s="534">
        <f t="shared" si="2"/>
        <v>44</v>
      </c>
      <c r="C63" s="538">
        <v>928901800</v>
      </c>
      <c r="D63" s="537" t="e">
        <f>+VLOOKUP($C63,'OCTUBRE 2025'!$C$8:$J$10,2,0)</f>
        <v>#N/A</v>
      </c>
      <c r="E63" s="642" t="e">
        <f>+VLOOKUP($C63,'OCTUBRE 2025'!$C$8:$J$10,6,0)</f>
        <v>#N/A</v>
      </c>
      <c r="F63" s="549"/>
      <c r="G63" s="549"/>
      <c r="H63" s="536">
        <f t="shared" si="0"/>
        <v>0</v>
      </c>
      <c r="I63" s="536">
        <f t="shared" si="1"/>
        <v>0</v>
      </c>
    </row>
    <row r="64" spans="2:12" s="535" customFormat="1" ht="10.8" customHeight="1">
      <c r="B64" s="534">
        <f t="shared" si="2"/>
        <v>45</v>
      </c>
      <c r="C64" s="538">
        <v>951315746</v>
      </c>
      <c r="D64" s="537" t="e">
        <f>+VLOOKUP($C64,'OCTUBRE 2025'!$C$8:$J$10,2,0)</f>
        <v>#N/A</v>
      </c>
      <c r="E64" s="642" t="e">
        <f>+VLOOKUP($C64,'OCTUBRE 2025'!$C$8:$J$10,6,0)</f>
        <v>#N/A</v>
      </c>
      <c r="F64" s="549"/>
      <c r="G64" s="549"/>
      <c r="H64" s="536">
        <f t="shared" si="0"/>
        <v>0</v>
      </c>
      <c r="I64" s="536">
        <f t="shared" si="1"/>
        <v>0</v>
      </c>
    </row>
    <row r="65" spans="2:9" s="535" customFormat="1" ht="10.8" customHeight="1">
      <c r="B65" s="534">
        <f t="shared" si="2"/>
        <v>46</v>
      </c>
      <c r="C65" s="538">
        <v>954184321</v>
      </c>
      <c r="D65" s="537" t="e">
        <f>+VLOOKUP($C65,'OCTUBRE 2025'!$C$8:$J$10,2,0)</f>
        <v>#N/A</v>
      </c>
      <c r="E65" s="642" t="e">
        <f>+VLOOKUP($C65,'OCTUBRE 2025'!$C$8:$J$10,6,0)</f>
        <v>#N/A</v>
      </c>
      <c r="F65" s="549"/>
      <c r="G65" s="549"/>
      <c r="H65" s="536">
        <f t="shared" si="0"/>
        <v>0</v>
      </c>
      <c r="I65" s="536">
        <f t="shared" si="1"/>
        <v>0</v>
      </c>
    </row>
    <row r="66" spans="2:9" s="535" customFormat="1" ht="10.8" customHeight="1">
      <c r="B66" s="534">
        <f t="shared" si="2"/>
        <v>47</v>
      </c>
      <c r="C66" s="538">
        <v>922034772</v>
      </c>
      <c r="D66" s="537" t="e">
        <f>+VLOOKUP($C66,'OCTUBRE 2025'!$C$8:$J$10,2,0)</f>
        <v>#N/A</v>
      </c>
      <c r="E66" s="642" t="e">
        <f>+VLOOKUP($C66,'OCTUBRE 2025'!$C$8:$J$10,6,0)</f>
        <v>#N/A</v>
      </c>
      <c r="F66" s="549"/>
      <c r="G66" s="549"/>
      <c r="H66" s="536">
        <f t="shared" si="0"/>
        <v>0</v>
      </c>
      <c r="I66" s="536">
        <f t="shared" si="1"/>
        <v>0</v>
      </c>
    </row>
    <row r="67" spans="2:9" s="535" customFormat="1" ht="10.8" customHeight="1">
      <c r="B67" s="534">
        <f t="shared" si="2"/>
        <v>48</v>
      </c>
      <c r="C67" s="538">
        <v>923837991</v>
      </c>
      <c r="D67" s="537" t="str">
        <f>+VLOOKUP($C67,'OCTUBRE 2025'!$C$8:$J$10,2,0)</f>
        <v>YUNDA CUJILEMA MARIA TERESA</v>
      </c>
      <c r="E67" s="642" t="str">
        <f>+VLOOKUP($C67,'OCTUBRE 2025'!$C$8:$J$10,6,0)</f>
        <v>Matriz</v>
      </c>
      <c r="F67" s="549"/>
      <c r="G67" s="549"/>
      <c r="H67" s="536">
        <f t="shared" si="0"/>
        <v>0</v>
      </c>
      <c r="I67" s="536">
        <f t="shared" si="1"/>
        <v>0</v>
      </c>
    </row>
    <row r="68" spans="2:9" s="535" customFormat="1" ht="10.8" customHeight="1">
      <c r="B68" s="534">
        <f t="shared" si="2"/>
        <v>49</v>
      </c>
      <c r="C68" s="538">
        <v>941508905</v>
      </c>
      <c r="D68" s="537" t="str">
        <f>+VLOOKUP($C68,'OCTUBRE 2025'!$C$8:$J$10,2,0)</f>
        <v>YUQUILEMA CACUANGO ANGEL JOSE</v>
      </c>
      <c r="E68" s="642" t="str">
        <f>+VLOOKUP($C68,'OCTUBRE 2025'!$C$8:$J$10,6,0)</f>
        <v>Matriz</v>
      </c>
      <c r="F68" s="549"/>
      <c r="G68" s="549"/>
      <c r="H68" s="536">
        <f t="shared" si="0"/>
        <v>0</v>
      </c>
      <c r="I68" s="536">
        <f t="shared" si="1"/>
        <v>0</v>
      </c>
    </row>
    <row r="69" spans="2:9" s="535" customFormat="1" ht="10.8" customHeight="1">
      <c r="B69" s="534">
        <f t="shared" si="2"/>
        <v>50</v>
      </c>
      <c r="C69" s="538">
        <v>604154575</v>
      </c>
      <c r="D69" s="537" t="str">
        <f>+VLOOKUP($C69,'OCTUBRE 2025'!$C$8:$J$10,2,0)</f>
        <v>YUQUILEMA DELGADO PEDRO ANTONIO</v>
      </c>
      <c r="E69" s="642" t="str">
        <f>+VLOOKUP($C69,'OCTUBRE 2025'!$C$8:$J$10,6,0)</f>
        <v>Durán</v>
      </c>
      <c r="F69" s="549"/>
      <c r="G69" s="549"/>
      <c r="H69" s="536">
        <f t="shared" si="0"/>
        <v>0</v>
      </c>
      <c r="I69" s="536">
        <f t="shared" si="1"/>
        <v>0</v>
      </c>
    </row>
    <row r="70" spans="2:9">
      <c r="H70" s="558">
        <f>SUM(H20:H69)</f>
        <v>0</v>
      </c>
      <c r="I70" s="558">
        <f>SUM(I20:I69)</f>
        <v>0</v>
      </c>
    </row>
  </sheetData>
  <autoFilter ref="B19:I70" xr:uid="{818CB285-DE47-4BE2-9165-48C0438FEDCC}"/>
  <mergeCells count="1">
    <mergeCell ref="D2:H2"/>
  </mergeCells>
  <phoneticPr fontId="13" type="noConversion"/>
  <printOptions horizontalCentered="1"/>
  <pageMargins left="0.70866141732283472" right="0.70866141732283472" top="0.47244094488188981" bottom="0.35433070866141736" header="0.31496062992125984" footer="0.31496062992125984"/>
  <pageSetup paperSize="9" scale="9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968D-602F-41C4-B032-57DE8869C699}">
  <sheetPr codeName="Hoja9">
    <tabColor theme="5" tint="-0.249977111117893"/>
  </sheetPr>
  <dimension ref="B3:N56"/>
  <sheetViews>
    <sheetView showGridLines="0" zoomScale="89" zoomScaleNormal="89" workbookViewId="0">
      <selection activeCell="I28" sqref="I28"/>
    </sheetView>
  </sheetViews>
  <sheetFormatPr baseColWidth="10" defaultRowHeight="13.2"/>
  <cols>
    <col min="1" max="1" width="3.6640625" style="77" customWidth="1"/>
    <col min="2" max="2" width="5.88671875" style="77" customWidth="1"/>
    <col min="3" max="3" width="18.6640625" style="77" customWidth="1"/>
    <col min="4" max="4" width="41.5546875" style="77" customWidth="1"/>
    <col min="5" max="5" width="11.88671875" style="112" customWidth="1"/>
    <col min="6" max="6" width="14.33203125" style="648" customWidth="1"/>
    <col min="7" max="7" width="11" style="77" customWidth="1"/>
    <col min="8" max="8" width="9.109375" style="77" customWidth="1"/>
    <col min="9" max="9" width="32.6640625" style="77" customWidth="1"/>
    <col min="10" max="10" width="14.5546875" style="77" customWidth="1"/>
    <col min="11" max="12" width="9.109375" style="77" customWidth="1"/>
    <col min="13" max="13" width="20" style="77" customWidth="1"/>
    <col min="14" max="14" width="23.109375" style="77" customWidth="1"/>
    <col min="15" max="176" width="9.109375" style="77" customWidth="1"/>
    <col min="177" max="177" width="0" style="77" hidden="1" customWidth="1"/>
    <col min="178" max="178" width="1.6640625" style="77" customWidth="1"/>
    <col min="179" max="179" width="3.44140625" style="77" customWidth="1"/>
    <col min="180" max="180" width="2.33203125" style="77" customWidth="1"/>
    <col min="181" max="181" width="0.109375" style="77" customWidth="1"/>
    <col min="182" max="182" width="1.109375" style="77" customWidth="1"/>
    <col min="183" max="183" width="1.6640625" style="77" customWidth="1"/>
    <col min="184" max="184" width="2" style="77" customWidth="1"/>
    <col min="185" max="185" width="0.6640625" style="77" customWidth="1"/>
    <col min="186" max="186" width="0.33203125" style="77" customWidth="1"/>
    <col min="187" max="187" width="2.6640625" style="77" customWidth="1"/>
    <col min="188" max="188" width="0.5546875" style="77" customWidth="1"/>
    <col min="189" max="189" width="1.33203125" style="77" customWidth="1"/>
    <col min="190" max="190" width="4.5546875" style="77" customWidth="1"/>
    <col min="191" max="191" width="0.109375" style="77" customWidth="1"/>
    <col min="192" max="192" width="12.33203125" style="77" customWidth="1"/>
    <col min="193" max="193" width="10.5546875" style="77" customWidth="1"/>
    <col min="194" max="194" width="2.6640625" style="77" customWidth="1"/>
    <col min="195" max="195" width="2.33203125" style="77" customWidth="1"/>
    <col min="196" max="196" width="1.6640625" style="77" customWidth="1"/>
    <col min="197" max="197" width="21.109375" style="77" customWidth="1"/>
    <col min="198" max="199" width="0.109375" style="77" customWidth="1"/>
    <col min="200" max="200" width="11.88671875" style="77" customWidth="1"/>
    <col min="201" max="202" width="0.109375" style="77" customWidth="1"/>
    <col min="203" max="203" width="5" style="77" customWidth="1"/>
    <col min="204" max="204" width="0.5546875" style="77" customWidth="1"/>
    <col min="205" max="205" width="3.44140625" style="77" customWidth="1"/>
    <col min="206" max="206" width="0.88671875" style="77" customWidth="1"/>
    <col min="207" max="207" width="0.33203125" style="77" customWidth="1"/>
    <col min="208" max="209" width="0" style="77" hidden="1" customWidth="1"/>
    <col min="210" max="432" width="9.109375" style="77" customWidth="1"/>
    <col min="433" max="433" width="0" style="77" hidden="1" customWidth="1"/>
    <col min="434" max="434" width="1.6640625" style="77" customWidth="1"/>
    <col min="435" max="435" width="3.44140625" style="77" customWidth="1"/>
    <col min="436" max="436" width="2.33203125" style="77" customWidth="1"/>
    <col min="437" max="437" width="0.109375" style="77" customWidth="1"/>
    <col min="438" max="438" width="1.109375" style="77" customWidth="1"/>
    <col min="439" max="439" width="1.6640625" style="77" customWidth="1"/>
    <col min="440" max="440" width="2" style="77" customWidth="1"/>
    <col min="441" max="441" width="0.6640625" style="77" customWidth="1"/>
    <col min="442" max="442" width="0.33203125" style="77" customWidth="1"/>
    <col min="443" max="443" width="2.6640625" style="77" customWidth="1"/>
    <col min="444" max="444" width="0.5546875" style="77" customWidth="1"/>
    <col min="445" max="445" width="1.33203125" style="77" customWidth="1"/>
    <col min="446" max="446" width="4.5546875" style="77" customWidth="1"/>
    <col min="447" max="447" width="0.109375" style="77" customWidth="1"/>
    <col min="448" max="448" width="12.33203125" style="77" customWidth="1"/>
    <col min="449" max="449" width="10.5546875" style="77" customWidth="1"/>
    <col min="450" max="450" width="2.6640625" style="77" customWidth="1"/>
    <col min="451" max="451" width="2.33203125" style="77" customWidth="1"/>
    <col min="452" max="452" width="1.6640625" style="77" customWidth="1"/>
    <col min="453" max="453" width="21.109375" style="77" customWidth="1"/>
    <col min="454" max="455" width="0.109375" style="77" customWidth="1"/>
    <col min="456" max="456" width="11.88671875" style="77" customWidth="1"/>
    <col min="457" max="458" width="0.109375" style="77" customWidth="1"/>
    <col min="459" max="459" width="5" style="77" customWidth="1"/>
    <col min="460" max="460" width="0.5546875" style="77" customWidth="1"/>
    <col min="461" max="461" width="3.44140625" style="77" customWidth="1"/>
    <col min="462" max="462" width="0.88671875" style="77" customWidth="1"/>
    <col min="463" max="463" width="0.33203125" style="77" customWidth="1"/>
    <col min="464" max="465" width="0" style="77" hidden="1" customWidth="1"/>
    <col min="466" max="688" width="9.109375" style="77" customWidth="1"/>
    <col min="689" max="689" width="0" style="77" hidden="1" customWidth="1"/>
    <col min="690" max="690" width="1.6640625" style="77" customWidth="1"/>
    <col min="691" max="691" width="3.44140625" style="77" customWidth="1"/>
    <col min="692" max="692" width="2.33203125" style="77" customWidth="1"/>
    <col min="693" max="693" width="0.109375" style="77" customWidth="1"/>
    <col min="694" max="694" width="1.109375" style="77" customWidth="1"/>
    <col min="695" max="695" width="1.6640625" style="77" customWidth="1"/>
    <col min="696" max="696" width="2" style="77" customWidth="1"/>
    <col min="697" max="697" width="0.6640625" style="77" customWidth="1"/>
    <col min="698" max="698" width="0.33203125" style="77" customWidth="1"/>
    <col min="699" max="699" width="2.6640625" style="77" customWidth="1"/>
    <col min="700" max="700" width="0.5546875" style="77" customWidth="1"/>
    <col min="701" max="701" width="1.33203125" style="77" customWidth="1"/>
    <col min="702" max="702" width="4.5546875" style="77" customWidth="1"/>
    <col min="703" max="703" width="0.109375" style="77" customWidth="1"/>
    <col min="704" max="704" width="12.33203125" style="77" customWidth="1"/>
    <col min="705" max="705" width="10.5546875" style="77" customWidth="1"/>
    <col min="706" max="706" width="2.6640625" style="77" customWidth="1"/>
    <col min="707" max="707" width="2.33203125" style="77" customWidth="1"/>
    <col min="708" max="708" width="1.6640625" style="77" customWidth="1"/>
    <col min="709" max="709" width="21.109375" style="77" customWidth="1"/>
    <col min="710" max="711" width="0.109375" style="77" customWidth="1"/>
    <col min="712" max="712" width="11.88671875" style="77" customWidth="1"/>
    <col min="713" max="714" width="0.109375" style="77" customWidth="1"/>
    <col min="715" max="715" width="5" style="77" customWidth="1"/>
    <col min="716" max="716" width="0.5546875" style="77" customWidth="1"/>
    <col min="717" max="717" width="3.44140625" style="77" customWidth="1"/>
    <col min="718" max="718" width="0.88671875" style="77" customWidth="1"/>
    <col min="719" max="719" width="0.33203125" style="77" customWidth="1"/>
    <col min="720" max="721" width="0" style="77" hidden="1" customWidth="1"/>
    <col min="722" max="944" width="9.109375" style="77" customWidth="1"/>
    <col min="945" max="945" width="0" style="77" hidden="1" customWidth="1"/>
    <col min="946" max="946" width="1.6640625" style="77" customWidth="1"/>
    <col min="947" max="947" width="3.44140625" style="77" customWidth="1"/>
    <col min="948" max="948" width="2.33203125" style="77" customWidth="1"/>
    <col min="949" max="949" width="0.109375" style="77" customWidth="1"/>
    <col min="950" max="950" width="1.109375" style="77" customWidth="1"/>
    <col min="951" max="951" width="1.6640625" style="77" customWidth="1"/>
    <col min="952" max="952" width="2" style="77" customWidth="1"/>
    <col min="953" max="953" width="0.6640625" style="77" customWidth="1"/>
    <col min="954" max="954" width="0.33203125" style="77" customWidth="1"/>
    <col min="955" max="955" width="2.6640625" style="77" customWidth="1"/>
    <col min="956" max="956" width="0.5546875" style="77" customWidth="1"/>
    <col min="957" max="957" width="1.33203125" style="77" customWidth="1"/>
    <col min="958" max="958" width="4.5546875" style="77" customWidth="1"/>
    <col min="959" max="959" width="0.109375" style="77" customWidth="1"/>
    <col min="960" max="960" width="12.33203125" style="77" customWidth="1"/>
    <col min="961" max="961" width="10.5546875" style="77" customWidth="1"/>
    <col min="962" max="962" width="2.6640625" style="77" customWidth="1"/>
    <col min="963" max="963" width="2.33203125" style="77" customWidth="1"/>
    <col min="964" max="964" width="1.6640625" style="77" customWidth="1"/>
    <col min="965" max="965" width="21.109375" style="77" customWidth="1"/>
    <col min="966" max="967" width="0.109375" style="77" customWidth="1"/>
    <col min="968" max="968" width="11.88671875" style="77" customWidth="1"/>
    <col min="969" max="970" width="0.109375" style="77" customWidth="1"/>
    <col min="971" max="971" width="5" style="77" customWidth="1"/>
    <col min="972" max="972" width="0.5546875" style="77" customWidth="1"/>
    <col min="973" max="973" width="3.44140625" style="77" customWidth="1"/>
    <col min="974" max="974" width="0.88671875" style="77" customWidth="1"/>
    <col min="975" max="975" width="0.33203125" style="77" customWidth="1"/>
    <col min="976" max="977" width="0" style="77" hidden="1" customWidth="1"/>
    <col min="978" max="1200" width="9.109375" style="77" customWidth="1"/>
    <col min="1201" max="1201" width="0" style="77" hidden="1" customWidth="1"/>
    <col min="1202" max="1202" width="1.6640625" style="77" customWidth="1"/>
    <col min="1203" max="1203" width="3.44140625" style="77" customWidth="1"/>
    <col min="1204" max="1204" width="2.33203125" style="77" customWidth="1"/>
    <col min="1205" max="1205" width="0.109375" style="77" customWidth="1"/>
    <col min="1206" max="1206" width="1.109375" style="77" customWidth="1"/>
    <col min="1207" max="1207" width="1.6640625" style="77" customWidth="1"/>
    <col min="1208" max="1208" width="2" style="77" customWidth="1"/>
    <col min="1209" max="1209" width="0.6640625" style="77" customWidth="1"/>
    <col min="1210" max="1210" width="0.33203125" style="77" customWidth="1"/>
    <col min="1211" max="1211" width="2.6640625" style="77" customWidth="1"/>
    <col min="1212" max="1212" width="0.5546875" style="77" customWidth="1"/>
    <col min="1213" max="1213" width="1.33203125" style="77" customWidth="1"/>
    <col min="1214" max="1214" width="4.5546875" style="77" customWidth="1"/>
    <col min="1215" max="1215" width="0.109375" style="77" customWidth="1"/>
    <col min="1216" max="1216" width="12.33203125" style="77" customWidth="1"/>
    <col min="1217" max="1217" width="10.5546875" style="77" customWidth="1"/>
    <col min="1218" max="1218" width="2.6640625" style="77" customWidth="1"/>
    <col min="1219" max="1219" width="2.33203125" style="77" customWidth="1"/>
    <col min="1220" max="1220" width="1.6640625" style="77" customWidth="1"/>
    <col min="1221" max="1221" width="21.109375" style="77" customWidth="1"/>
    <col min="1222" max="1223" width="0.109375" style="77" customWidth="1"/>
    <col min="1224" max="1224" width="11.88671875" style="77" customWidth="1"/>
    <col min="1225" max="1226" width="0.109375" style="77" customWidth="1"/>
    <col min="1227" max="1227" width="5" style="77" customWidth="1"/>
    <col min="1228" max="1228" width="0.5546875" style="77" customWidth="1"/>
    <col min="1229" max="1229" width="3.44140625" style="77" customWidth="1"/>
    <col min="1230" max="1230" width="0.88671875" style="77" customWidth="1"/>
    <col min="1231" max="1231" width="0.33203125" style="77" customWidth="1"/>
    <col min="1232" max="1233" width="0" style="77" hidden="1" customWidth="1"/>
    <col min="1234" max="1456" width="9.109375" style="77" customWidth="1"/>
    <col min="1457" max="1457" width="0" style="77" hidden="1" customWidth="1"/>
    <col min="1458" max="1458" width="1.6640625" style="77" customWidth="1"/>
    <col min="1459" max="1459" width="3.44140625" style="77" customWidth="1"/>
    <col min="1460" max="1460" width="2.33203125" style="77" customWidth="1"/>
    <col min="1461" max="1461" width="0.109375" style="77" customWidth="1"/>
    <col min="1462" max="1462" width="1.109375" style="77" customWidth="1"/>
    <col min="1463" max="1463" width="1.6640625" style="77" customWidth="1"/>
    <col min="1464" max="1464" width="2" style="77" customWidth="1"/>
    <col min="1465" max="1465" width="0.6640625" style="77" customWidth="1"/>
    <col min="1466" max="1466" width="0.33203125" style="77" customWidth="1"/>
    <col min="1467" max="1467" width="2.6640625" style="77" customWidth="1"/>
    <col min="1468" max="1468" width="0.5546875" style="77" customWidth="1"/>
    <col min="1469" max="1469" width="1.33203125" style="77" customWidth="1"/>
    <col min="1470" max="1470" width="4.5546875" style="77" customWidth="1"/>
    <col min="1471" max="1471" width="0.109375" style="77" customWidth="1"/>
    <col min="1472" max="1472" width="12.33203125" style="77" customWidth="1"/>
    <col min="1473" max="1473" width="10.5546875" style="77" customWidth="1"/>
    <col min="1474" max="1474" width="2.6640625" style="77" customWidth="1"/>
    <col min="1475" max="1475" width="2.33203125" style="77" customWidth="1"/>
    <col min="1476" max="1476" width="1.6640625" style="77" customWidth="1"/>
    <col min="1477" max="1477" width="21.109375" style="77" customWidth="1"/>
    <col min="1478" max="1479" width="0.109375" style="77" customWidth="1"/>
    <col min="1480" max="1480" width="11.88671875" style="77" customWidth="1"/>
    <col min="1481" max="1482" width="0.109375" style="77" customWidth="1"/>
    <col min="1483" max="1483" width="5" style="77" customWidth="1"/>
    <col min="1484" max="1484" width="0.5546875" style="77" customWidth="1"/>
    <col min="1485" max="1485" width="3.44140625" style="77" customWidth="1"/>
    <col min="1486" max="1486" width="0.88671875" style="77" customWidth="1"/>
    <col min="1487" max="1487" width="0.33203125" style="77" customWidth="1"/>
    <col min="1488" max="1489" width="0" style="77" hidden="1" customWidth="1"/>
    <col min="1490" max="1712" width="9.109375" style="77" customWidth="1"/>
    <col min="1713" max="1713" width="0" style="77" hidden="1" customWidth="1"/>
    <col min="1714" max="1714" width="1.6640625" style="77" customWidth="1"/>
    <col min="1715" max="1715" width="3.44140625" style="77" customWidth="1"/>
    <col min="1716" max="1716" width="2.33203125" style="77" customWidth="1"/>
    <col min="1717" max="1717" width="0.109375" style="77" customWidth="1"/>
    <col min="1718" max="1718" width="1.109375" style="77" customWidth="1"/>
    <col min="1719" max="1719" width="1.6640625" style="77" customWidth="1"/>
    <col min="1720" max="1720" width="2" style="77" customWidth="1"/>
    <col min="1721" max="1721" width="0.6640625" style="77" customWidth="1"/>
    <col min="1722" max="1722" width="0.33203125" style="77" customWidth="1"/>
    <col min="1723" max="1723" width="2.6640625" style="77" customWidth="1"/>
    <col min="1724" max="1724" width="0.5546875" style="77" customWidth="1"/>
    <col min="1725" max="1725" width="1.33203125" style="77" customWidth="1"/>
    <col min="1726" max="1726" width="4.5546875" style="77" customWidth="1"/>
    <col min="1727" max="1727" width="0.109375" style="77" customWidth="1"/>
    <col min="1728" max="1728" width="12.33203125" style="77" customWidth="1"/>
    <col min="1729" max="1729" width="10.5546875" style="77" customWidth="1"/>
    <col min="1730" max="1730" width="2.6640625" style="77" customWidth="1"/>
    <col min="1731" max="1731" width="2.33203125" style="77" customWidth="1"/>
    <col min="1732" max="1732" width="1.6640625" style="77" customWidth="1"/>
    <col min="1733" max="1733" width="21.109375" style="77" customWidth="1"/>
    <col min="1734" max="1735" width="0.109375" style="77" customWidth="1"/>
    <col min="1736" max="1736" width="11.88671875" style="77" customWidth="1"/>
    <col min="1737" max="1738" width="0.109375" style="77" customWidth="1"/>
    <col min="1739" max="1739" width="5" style="77" customWidth="1"/>
    <col min="1740" max="1740" width="0.5546875" style="77" customWidth="1"/>
    <col min="1741" max="1741" width="3.44140625" style="77" customWidth="1"/>
    <col min="1742" max="1742" width="0.88671875" style="77" customWidth="1"/>
    <col min="1743" max="1743" width="0.33203125" style="77" customWidth="1"/>
    <col min="1744" max="1745" width="0" style="77" hidden="1" customWidth="1"/>
    <col min="1746" max="1968" width="9.109375" style="77" customWidth="1"/>
    <col min="1969" max="1969" width="0" style="77" hidden="1" customWidth="1"/>
    <col min="1970" max="1970" width="1.6640625" style="77" customWidth="1"/>
    <col min="1971" max="1971" width="3.44140625" style="77" customWidth="1"/>
    <col min="1972" max="1972" width="2.33203125" style="77" customWidth="1"/>
    <col min="1973" max="1973" width="0.109375" style="77" customWidth="1"/>
    <col min="1974" max="1974" width="1.109375" style="77" customWidth="1"/>
    <col min="1975" max="1975" width="1.6640625" style="77" customWidth="1"/>
    <col min="1976" max="1976" width="2" style="77" customWidth="1"/>
    <col min="1977" max="1977" width="0.6640625" style="77" customWidth="1"/>
    <col min="1978" max="1978" width="0.33203125" style="77" customWidth="1"/>
    <col min="1979" max="1979" width="2.6640625" style="77" customWidth="1"/>
    <col min="1980" max="1980" width="0.5546875" style="77" customWidth="1"/>
    <col min="1981" max="1981" width="1.33203125" style="77" customWidth="1"/>
    <col min="1982" max="1982" width="4.5546875" style="77" customWidth="1"/>
    <col min="1983" max="1983" width="0.109375" style="77" customWidth="1"/>
    <col min="1984" max="1984" width="12.33203125" style="77" customWidth="1"/>
    <col min="1985" max="1985" width="10.5546875" style="77" customWidth="1"/>
    <col min="1986" max="1986" width="2.6640625" style="77" customWidth="1"/>
    <col min="1987" max="1987" width="2.33203125" style="77" customWidth="1"/>
    <col min="1988" max="1988" width="1.6640625" style="77" customWidth="1"/>
    <col min="1989" max="1989" width="21.109375" style="77" customWidth="1"/>
    <col min="1990" max="1991" width="0.109375" style="77" customWidth="1"/>
    <col min="1992" max="1992" width="11.88671875" style="77" customWidth="1"/>
    <col min="1993" max="1994" width="0.109375" style="77" customWidth="1"/>
    <col min="1995" max="1995" width="5" style="77" customWidth="1"/>
    <col min="1996" max="1996" width="0.5546875" style="77" customWidth="1"/>
    <col min="1997" max="1997" width="3.44140625" style="77" customWidth="1"/>
    <col min="1998" max="1998" width="0.88671875" style="77" customWidth="1"/>
    <col min="1999" max="1999" width="0.33203125" style="77" customWidth="1"/>
    <col min="2000" max="2001" width="0" style="77" hidden="1" customWidth="1"/>
    <col min="2002" max="2224" width="9.109375" style="77" customWidth="1"/>
    <col min="2225" max="2225" width="0" style="77" hidden="1" customWidth="1"/>
    <col min="2226" max="2226" width="1.6640625" style="77" customWidth="1"/>
    <col min="2227" max="2227" width="3.44140625" style="77" customWidth="1"/>
    <col min="2228" max="2228" width="2.33203125" style="77" customWidth="1"/>
    <col min="2229" max="2229" width="0.109375" style="77" customWidth="1"/>
    <col min="2230" max="2230" width="1.109375" style="77" customWidth="1"/>
    <col min="2231" max="2231" width="1.6640625" style="77" customWidth="1"/>
    <col min="2232" max="2232" width="2" style="77" customWidth="1"/>
    <col min="2233" max="2233" width="0.6640625" style="77" customWidth="1"/>
    <col min="2234" max="2234" width="0.33203125" style="77" customWidth="1"/>
    <col min="2235" max="2235" width="2.6640625" style="77" customWidth="1"/>
    <col min="2236" max="2236" width="0.5546875" style="77" customWidth="1"/>
    <col min="2237" max="2237" width="1.33203125" style="77" customWidth="1"/>
    <col min="2238" max="2238" width="4.5546875" style="77" customWidth="1"/>
    <col min="2239" max="2239" width="0.109375" style="77" customWidth="1"/>
    <col min="2240" max="2240" width="12.33203125" style="77" customWidth="1"/>
    <col min="2241" max="2241" width="10.5546875" style="77" customWidth="1"/>
    <col min="2242" max="2242" width="2.6640625" style="77" customWidth="1"/>
    <col min="2243" max="2243" width="2.33203125" style="77" customWidth="1"/>
    <col min="2244" max="2244" width="1.6640625" style="77" customWidth="1"/>
    <col min="2245" max="2245" width="21.109375" style="77" customWidth="1"/>
    <col min="2246" max="2247" width="0.109375" style="77" customWidth="1"/>
    <col min="2248" max="2248" width="11.88671875" style="77" customWidth="1"/>
    <col min="2249" max="2250" width="0.109375" style="77" customWidth="1"/>
    <col min="2251" max="2251" width="5" style="77" customWidth="1"/>
    <col min="2252" max="2252" width="0.5546875" style="77" customWidth="1"/>
    <col min="2253" max="2253" width="3.44140625" style="77" customWidth="1"/>
    <col min="2254" max="2254" width="0.88671875" style="77" customWidth="1"/>
    <col min="2255" max="2255" width="0.33203125" style="77" customWidth="1"/>
    <col min="2256" max="2257" width="0" style="77" hidden="1" customWidth="1"/>
    <col min="2258" max="2480" width="9.109375" style="77" customWidth="1"/>
    <col min="2481" max="2481" width="0" style="77" hidden="1" customWidth="1"/>
    <col min="2482" max="2482" width="1.6640625" style="77" customWidth="1"/>
    <col min="2483" max="2483" width="3.44140625" style="77" customWidth="1"/>
    <col min="2484" max="2484" width="2.33203125" style="77" customWidth="1"/>
    <col min="2485" max="2485" width="0.109375" style="77" customWidth="1"/>
    <col min="2486" max="2486" width="1.109375" style="77" customWidth="1"/>
    <col min="2487" max="2487" width="1.6640625" style="77" customWidth="1"/>
    <col min="2488" max="2488" width="2" style="77" customWidth="1"/>
    <col min="2489" max="2489" width="0.6640625" style="77" customWidth="1"/>
    <col min="2490" max="2490" width="0.33203125" style="77" customWidth="1"/>
    <col min="2491" max="2491" width="2.6640625" style="77" customWidth="1"/>
    <col min="2492" max="2492" width="0.5546875" style="77" customWidth="1"/>
    <col min="2493" max="2493" width="1.33203125" style="77" customWidth="1"/>
    <col min="2494" max="2494" width="4.5546875" style="77" customWidth="1"/>
    <col min="2495" max="2495" width="0.109375" style="77" customWidth="1"/>
    <col min="2496" max="2496" width="12.33203125" style="77" customWidth="1"/>
    <col min="2497" max="2497" width="10.5546875" style="77" customWidth="1"/>
    <col min="2498" max="2498" width="2.6640625" style="77" customWidth="1"/>
    <col min="2499" max="2499" width="2.33203125" style="77" customWidth="1"/>
    <col min="2500" max="2500" width="1.6640625" style="77" customWidth="1"/>
    <col min="2501" max="2501" width="21.109375" style="77" customWidth="1"/>
    <col min="2502" max="2503" width="0.109375" style="77" customWidth="1"/>
    <col min="2504" max="2504" width="11.88671875" style="77" customWidth="1"/>
    <col min="2505" max="2506" width="0.109375" style="77" customWidth="1"/>
    <col min="2507" max="2507" width="5" style="77" customWidth="1"/>
    <col min="2508" max="2508" width="0.5546875" style="77" customWidth="1"/>
    <col min="2509" max="2509" width="3.44140625" style="77" customWidth="1"/>
    <col min="2510" max="2510" width="0.88671875" style="77" customWidth="1"/>
    <col min="2511" max="2511" width="0.33203125" style="77" customWidth="1"/>
    <col min="2512" max="2513" width="0" style="77" hidden="1" customWidth="1"/>
    <col min="2514" max="2736" width="9.109375" style="77" customWidth="1"/>
    <col min="2737" max="2737" width="0" style="77" hidden="1" customWidth="1"/>
    <col min="2738" max="2738" width="1.6640625" style="77" customWidth="1"/>
    <col min="2739" max="2739" width="3.44140625" style="77" customWidth="1"/>
    <col min="2740" max="2740" width="2.33203125" style="77" customWidth="1"/>
    <col min="2741" max="2741" width="0.109375" style="77" customWidth="1"/>
    <col min="2742" max="2742" width="1.109375" style="77" customWidth="1"/>
    <col min="2743" max="2743" width="1.6640625" style="77" customWidth="1"/>
    <col min="2744" max="2744" width="2" style="77" customWidth="1"/>
    <col min="2745" max="2745" width="0.6640625" style="77" customWidth="1"/>
    <col min="2746" max="2746" width="0.33203125" style="77" customWidth="1"/>
    <col min="2747" max="2747" width="2.6640625" style="77" customWidth="1"/>
    <col min="2748" max="2748" width="0.5546875" style="77" customWidth="1"/>
    <col min="2749" max="2749" width="1.33203125" style="77" customWidth="1"/>
    <col min="2750" max="2750" width="4.5546875" style="77" customWidth="1"/>
    <col min="2751" max="2751" width="0.109375" style="77" customWidth="1"/>
    <col min="2752" max="2752" width="12.33203125" style="77" customWidth="1"/>
    <col min="2753" max="2753" width="10.5546875" style="77" customWidth="1"/>
    <col min="2754" max="2754" width="2.6640625" style="77" customWidth="1"/>
    <col min="2755" max="2755" width="2.33203125" style="77" customWidth="1"/>
    <col min="2756" max="2756" width="1.6640625" style="77" customWidth="1"/>
    <col min="2757" max="2757" width="21.109375" style="77" customWidth="1"/>
    <col min="2758" max="2759" width="0.109375" style="77" customWidth="1"/>
    <col min="2760" max="2760" width="11.88671875" style="77" customWidth="1"/>
    <col min="2761" max="2762" width="0.109375" style="77" customWidth="1"/>
    <col min="2763" max="2763" width="5" style="77" customWidth="1"/>
    <col min="2764" max="2764" width="0.5546875" style="77" customWidth="1"/>
    <col min="2765" max="2765" width="3.44140625" style="77" customWidth="1"/>
    <col min="2766" max="2766" width="0.88671875" style="77" customWidth="1"/>
    <col min="2767" max="2767" width="0.33203125" style="77" customWidth="1"/>
    <col min="2768" max="2769" width="0" style="77" hidden="1" customWidth="1"/>
    <col min="2770" max="2992" width="9.109375" style="77" customWidth="1"/>
    <col min="2993" max="2993" width="0" style="77" hidden="1" customWidth="1"/>
    <col min="2994" max="2994" width="1.6640625" style="77" customWidth="1"/>
    <col min="2995" max="2995" width="3.44140625" style="77" customWidth="1"/>
    <col min="2996" max="2996" width="2.33203125" style="77" customWidth="1"/>
    <col min="2997" max="2997" width="0.109375" style="77" customWidth="1"/>
    <col min="2998" max="2998" width="1.109375" style="77" customWidth="1"/>
    <col min="2999" max="2999" width="1.6640625" style="77" customWidth="1"/>
    <col min="3000" max="3000" width="2" style="77" customWidth="1"/>
    <col min="3001" max="3001" width="0.6640625" style="77" customWidth="1"/>
    <col min="3002" max="3002" width="0.33203125" style="77" customWidth="1"/>
    <col min="3003" max="3003" width="2.6640625" style="77" customWidth="1"/>
    <col min="3004" max="3004" width="0.5546875" style="77" customWidth="1"/>
    <col min="3005" max="3005" width="1.33203125" style="77" customWidth="1"/>
    <col min="3006" max="3006" width="4.5546875" style="77" customWidth="1"/>
    <col min="3007" max="3007" width="0.109375" style="77" customWidth="1"/>
    <col min="3008" max="3008" width="12.33203125" style="77" customWidth="1"/>
    <col min="3009" max="3009" width="10.5546875" style="77" customWidth="1"/>
    <col min="3010" max="3010" width="2.6640625" style="77" customWidth="1"/>
    <col min="3011" max="3011" width="2.33203125" style="77" customWidth="1"/>
    <col min="3012" max="3012" width="1.6640625" style="77" customWidth="1"/>
    <col min="3013" max="3013" width="21.109375" style="77" customWidth="1"/>
    <col min="3014" max="3015" width="0.109375" style="77" customWidth="1"/>
    <col min="3016" max="3016" width="11.88671875" style="77" customWidth="1"/>
    <col min="3017" max="3018" width="0.109375" style="77" customWidth="1"/>
    <col min="3019" max="3019" width="5" style="77" customWidth="1"/>
    <col min="3020" max="3020" width="0.5546875" style="77" customWidth="1"/>
    <col min="3021" max="3021" width="3.44140625" style="77" customWidth="1"/>
    <col min="3022" max="3022" width="0.88671875" style="77" customWidth="1"/>
    <col min="3023" max="3023" width="0.33203125" style="77" customWidth="1"/>
    <col min="3024" max="3025" width="0" style="77" hidden="1" customWidth="1"/>
    <col min="3026" max="3248" width="9.109375" style="77" customWidth="1"/>
    <col min="3249" max="3249" width="0" style="77" hidden="1" customWidth="1"/>
    <col min="3250" max="3250" width="1.6640625" style="77" customWidth="1"/>
    <col min="3251" max="3251" width="3.44140625" style="77" customWidth="1"/>
    <col min="3252" max="3252" width="2.33203125" style="77" customWidth="1"/>
    <col min="3253" max="3253" width="0.109375" style="77" customWidth="1"/>
    <col min="3254" max="3254" width="1.109375" style="77" customWidth="1"/>
    <col min="3255" max="3255" width="1.6640625" style="77" customWidth="1"/>
    <col min="3256" max="3256" width="2" style="77" customWidth="1"/>
    <col min="3257" max="3257" width="0.6640625" style="77" customWidth="1"/>
    <col min="3258" max="3258" width="0.33203125" style="77" customWidth="1"/>
    <col min="3259" max="3259" width="2.6640625" style="77" customWidth="1"/>
    <col min="3260" max="3260" width="0.5546875" style="77" customWidth="1"/>
    <col min="3261" max="3261" width="1.33203125" style="77" customWidth="1"/>
    <col min="3262" max="3262" width="4.5546875" style="77" customWidth="1"/>
    <col min="3263" max="3263" width="0.109375" style="77" customWidth="1"/>
    <col min="3264" max="3264" width="12.33203125" style="77" customWidth="1"/>
    <col min="3265" max="3265" width="10.5546875" style="77" customWidth="1"/>
    <col min="3266" max="3266" width="2.6640625" style="77" customWidth="1"/>
    <col min="3267" max="3267" width="2.33203125" style="77" customWidth="1"/>
    <col min="3268" max="3268" width="1.6640625" style="77" customWidth="1"/>
    <col min="3269" max="3269" width="21.109375" style="77" customWidth="1"/>
    <col min="3270" max="3271" width="0.109375" style="77" customWidth="1"/>
    <col min="3272" max="3272" width="11.88671875" style="77" customWidth="1"/>
    <col min="3273" max="3274" width="0.109375" style="77" customWidth="1"/>
    <col min="3275" max="3275" width="5" style="77" customWidth="1"/>
    <col min="3276" max="3276" width="0.5546875" style="77" customWidth="1"/>
    <col min="3277" max="3277" width="3.44140625" style="77" customWidth="1"/>
    <col min="3278" max="3278" width="0.88671875" style="77" customWidth="1"/>
    <col min="3279" max="3279" width="0.33203125" style="77" customWidth="1"/>
    <col min="3280" max="3281" width="0" style="77" hidden="1" customWidth="1"/>
    <col min="3282" max="3504" width="9.109375" style="77" customWidth="1"/>
    <col min="3505" max="3505" width="0" style="77" hidden="1" customWidth="1"/>
    <col min="3506" max="3506" width="1.6640625" style="77" customWidth="1"/>
    <col min="3507" max="3507" width="3.44140625" style="77" customWidth="1"/>
    <col min="3508" max="3508" width="2.33203125" style="77" customWidth="1"/>
    <col min="3509" max="3509" width="0.109375" style="77" customWidth="1"/>
    <col min="3510" max="3510" width="1.109375" style="77" customWidth="1"/>
    <col min="3511" max="3511" width="1.6640625" style="77" customWidth="1"/>
    <col min="3512" max="3512" width="2" style="77" customWidth="1"/>
    <col min="3513" max="3513" width="0.6640625" style="77" customWidth="1"/>
    <col min="3514" max="3514" width="0.33203125" style="77" customWidth="1"/>
    <col min="3515" max="3515" width="2.6640625" style="77" customWidth="1"/>
    <col min="3516" max="3516" width="0.5546875" style="77" customWidth="1"/>
    <col min="3517" max="3517" width="1.33203125" style="77" customWidth="1"/>
    <col min="3518" max="3518" width="4.5546875" style="77" customWidth="1"/>
    <col min="3519" max="3519" width="0.109375" style="77" customWidth="1"/>
    <col min="3520" max="3520" width="12.33203125" style="77" customWidth="1"/>
    <col min="3521" max="3521" width="10.5546875" style="77" customWidth="1"/>
    <col min="3522" max="3522" width="2.6640625" style="77" customWidth="1"/>
    <col min="3523" max="3523" width="2.33203125" style="77" customWidth="1"/>
    <col min="3524" max="3524" width="1.6640625" style="77" customWidth="1"/>
    <col min="3525" max="3525" width="21.109375" style="77" customWidth="1"/>
    <col min="3526" max="3527" width="0.109375" style="77" customWidth="1"/>
    <col min="3528" max="3528" width="11.88671875" style="77" customWidth="1"/>
    <col min="3529" max="3530" width="0.109375" style="77" customWidth="1"/>
    <col min="3531" max="3531" width="5" style="77" customWidth="1"/>
    <col min="3532" max="3532" width="0.5546875" style="77" customWidth="1"/>
    <col min="3533" max="3533" width="3.44140625" style="77" customWidth="1"/>
    <col min="3534" max="3534" width="0.88671875" style="77" customWidth="1"/>
    <col min="3535" max="3535" width="0.33203125" style="77" customWidth="1"/>
    <col min="3536" max="3537" width="0" style="77" hidden="1" customWidth="1"/>
    <col min="3538" max="3760" width="9.109375" style="77" customWidth="1"/>
    <col min="3761" max="3761" width="0" style="77" hidden="1" customWidth="1"/>
    <col min="3762" max="3762" width="1.6640625" style="77" customWidth="1"/>
    <col min="3763" max="3763" width="3.44140625" style="77" customWidth="1"/>
    <col min="3764" max="3764" width="2.33203125" style="77" customWidth="1"/>
    <col min="3765" max="3765" width="0.109375" style="77" customWidth="1"/>
    <col min="3766" max="3766" width="1.109375" style="77" customWidth="1"/>
    <col min="3767" max="3767" width="1.6640625" style="77" customWidth="1"/>
    <col min="3768" max="3768" width="2" style="77" customWidth="1"/>
    <col min="3769" max="3769" width="0.6640625" style="77" customWidth="1"/>
    <col min="3770" max="3770" width="0.33203125" style="77" customWidth="1"/>
    <col min="3771" max="3771" width="2.6640625" style="77" customWidth="1"/>
    <col min="3772" max="3772" width="0.5546875" style="77" customWidth="1"/>
    <col min="3773" max="3773" width="1.33203125" style="77" customWidth="1"/>
    <col min="3774" max="3774" width="4.5546875" style="77" customWidth="1"/>
    <col min="3775" max="3775" width="0.109375" style="77" customWidth="1"/>
    <col min="3776" max="3776" width="12.33203125" style="77" customWidth="1"/>
    <col min="3777" max="3777" width="10.5546875" style="77" customWidth="1"/>
    <col min="3778" max="3778" width="2.6640625" style="77" customWidth="1"/>
    <col min="3779" max="3779" width="2.33203125" style="77" customWidth="1"/>
    <col min="3780" max="3780" width="1.6640625" style="77" customWidth="1"/>
    <col min="3781" max="3781" width="21.109375" style="77" customWidth="1"/>
    <col min="3782" max="3783" width="0.109375" style="77" customWidth="1"/>
    <col min="3784" max="3784" width="11.88671875" style="77" customWidth="1"/>
    <col min="3785" max="3786" width="0.109375" style="77" customWidth="1"/>
    <col min="3787" max="3787" width="5" style="77" customWidth="1"/>
    <col min="3788" max="3788" width="0.5546875" style="77" customWidth="1"/>
    <col min="3789" max="3789" width="3.44140625" style="77" customWidth="1"/>
    <col min="3790" max="3790" width="0.88671875" style="77" customWidth="1"/>
    <col min="3791" max="3791" width="0.33203125" style="77" customWidth="1"/>
    <col min="3792" max="3793" width="0" style="77" hidden="1" customWidth="1"/>
    <col min="3794" max="4016" width="9.109375" style="77" customWidth="1"/>
    <col min="4017" max="4017" width="0" style="77" hidden="1" customWidth="1"/>
    <col min="4018" max="4018" width="1.6640625" style="77" customWidth="1"/>
    <col min="4019" max="4019" width="3.44140625" style="77" customWidth="1"/>
    <col min="4020" max="4020" width="2.33203125" style="77" customWidth="1"/>
    <col min="4021" max="4021" width="0.109375" style="77" customWidth="1"/>
    <col min="4022" max="4022" width="1.109375" style="77" customWidth="1"/>
    <col min="4023" max="4023" width="1.6640625" style="77" customWidth="1"/>
    <col min="4024" max="4024" width="2" style="77" customWidth="1"/>
    <col min="4025" max="4025" width="0.6640625" style="77" customWidth="1"/>
    <col min="4026" max="4026" width="0.33203125" style="77" customWidth="1"/>
    <col min="4027" max="4027" width="2.6640625" style="77" customWidth="1"/>
    <col min="4028" max="4028" width="0.5546875" style="77" customWidth="1"/>
    <col min="4029" max="4029" width="1.33203125" style="77" customWidth="1"/>
    <col min="4030" max="4030" width="4.5546875" style="77" customWidth="1"/>
    <col min="4031" max="4031" width="0.109375" style="77" customWidth="1"/>
    <col min="4032" max="4032" width="12.33203125" style="77" customWidth="1"/>
    <col min="4033" max="4033" width="10.5546875" style="77" customWidth="1"/>
    <col min="4034" max="4034" width="2.6640625" style="77" customWidth="1"/>
    <col min="4035" max="4035" width="2.33203125" style="77" customWidth="1"/>
    <col min="4036" max="4036" width="1.6640625" style="77" customWidth="1"/>
    <col min="4037" max="4037" width="21.109375" style="77" customWidth="1"/>
    <col min="4038" max="4039" width="0.109375" style="77" customWidth="1"/>
    <col min="4040" max="4040" width="11.88671875" style="77" customWidth="1"/>
    <col min="4041" max="4042" width="0.109375" style="77" customWidth="1"/>
    <col min="4043" max="4043" width="5" style="77" customWidth="1"/>
    <col min="4044" max="4044" width="0.5546875" style="77" customWidth="1"/>
    <col min="4045" max="4045" width="3.44140625" style="77" customWidth="1"/>
    <col min="4046" max="4046" width="0.88671875" style="77" customWidth="1"/>
    <col min="4047" max="4047" width="0.33203125" style="77" customWidth="1"/>
    <col min="4048" max="4049" width="0" style="77" hidden="1" customWidth="1"/>
    <col min="4050" max="4272" width="9.109375" style="77" customWidth="1"/>
    <col min="4273" max="4273" width="0" style="77" hidden="1" customWidth="1"/>
    <col min="4274" max="4274" width="1.6640625" style="77" customWidth="1"/>
    <col min="4275" max="4275" width="3.44140625" style="77" customWidth="1"/>
    <col min="4276" max="4276" width="2.33203125" style="77" customWidth="1"/>
    <col min="4277" max="4277" width="0.109375" style="77" customWidth="1"/>
    <col min="4278" max="4278" width="1.109375" style="77" customWidth="1"/>
    <col min="4279" max="4279" width="1.6640625" style="77" customWidth="1"/>
    <col min="4280" max="4280" width="2" style="77" customWidth="1"/>
    <col min="4281" max="4281" width="0.6640625" style="77" customWidth="1"/>
    <col min="4282" max="4282" width="0.33203125" style="77" customWidth="1"/>
    <col min="4283" max="4283" width="2.6640625" style="77" customWidth="1"/>
    <col min="4284" max="4284" width="0.5546875" style="77" customWidth="1"/>
    <col min="4285" max="4285" width="1.33203125" style="77" customWidth="1"/>
    <col min="4286" max="4286" width="4.5546875" style="77" customWidth="1"/>
    <col min="4287" max="4287" width="0.109375" style="77" customWidth="1"/>
    <col min="4288" max="4288" width="12.33203125" style="77" customWidth="1"/>
    <col min="4289" max="4289" width="10.5546875" style="77" customWidth="1"/>
    <col min="4290" max="4290" width="2.6640625" style="77" customWidth="1"/>
    <col min="4291" max="4291" width="2.33203125" style="77" customWidth="1"/>
    <col min="4292" max="4292" width="1.6640625" style="77" customWidth="1"/>
    <col min="4293" max="4293" width="21.109375" style="77" customWidth="1"/>
    <col min="4294" max="4295" width="0.109375" style="77" customWidth="1"/>
    <col min="4296" max="4296" width="11.88671875" style="77" customWidth="1"/>
    <col min="4297" max="4298" width="0.109375" style="77" customWidth="1"/>
    <col min="4299" max="4299" width="5" style="77" customWidth="1"/>
    <col min="4300" max="4300" width="0.5546875" style="77" customWidth="1"/>
    <col min="4301" max="4301" width="3.44140625" style="77" customWidth="1"/>
    <col min="4302" max="4302" width="0.88671875" style="77" customWidth="1"/>
    <col min="4303" max="4303" width="0.33203125" style="77" customWidth="1"/>
    <col min="4304" max="4305" width="0" style="77" hidden="1" customWidth="1"/>
    <col min="4306" max="4528" width="9.109375" style="77" customWidth="1"/>
    <col min="4529" max="4529" width="0" style="77" hidden="1" customWidth="1"/>
    <col min="4530" max="4530" width="1.6640625" style="77" customWidth="1"/>
    <col min="4531" max="4531" width="3.44140625" style="77" customWidth="1"/>
    <col min="4532" max="4532" width="2.33203125" style="77" customWidth="1"/>
    <col min="4533" max="4533" width="0.109375" style="77" customWidth="1"/>
    <col min="4534" max="4534" width="1.109375" style="77" customWidth="1"/>
    <col min="4535" max="4535" width="1.6640625" style="77" customWidth="1"/>
    <col min="4536" max="4536" width="2" style="77" customWidth="1"/>
    <col min="4537" max="4537" width="0.6640625" style="77" customWidth="1"/>
    <col min="4538" max="4538" width="0.33203125" style="77" customWidth="1"/>
    <col min="4539" max="4539" width="2.6640625" style="77" customWidth="1"/>
    <col min="4540" max="4540" width="0.5546875" style="77" customWidth="1"/>
    <col min="4541" max="4541" width="1.33203125" style="77" customWidth="1"/>
    <col min="4542" max="4542" width="4.5546875" style="77" customWidth="1"/>
    <col min="4543" max="4543" width="0.109375" style="77" customWidth="1"/>
    <col min="4544" max="4544" width="12.33203125" style="77" customWidth="1"/>
    <col min="4545" max="4545" width="10.5546875" style="77" customWidth="1"/>
    <col min="4546" max="4546" width="2.6640625" style="77" customWidth="1"/>
    <col min="4547" max="4547" width="2.33203125" style="77" customWidth="1"/>
    <col min="4548" max="4548" width="1.6640625" style="77" customWidth="1"/>
    <col min="4549" max="4549" width="21.109375" style="77" customWidth="1"/>
    <col min="4550" max="4551" width="0.109375" style="77" customWidth="1"/>
    <col min="4552" max="4552" width="11.88671875" style="77" customWidth="1"/>
    <col min="4553" max="4554" width="0.109375" style="77" customWidth="1"/>
    <col min="4555" max="4555" width="5" style="77" customWidth="1"/>
    <col min="4556" max="4556" width="0.5546875" style="77" customWidth="1"/>
    <col min="4557" max="4557" width="3.44140625" style="77" customWidth="1"/>
    <col min="4558" max="4558" width="0.88671875" style="77" customWidth="1"/>
    <col min="4559" max="4559" width="0.33203125" style="77" customWidth="1"/>
    <col min="4560" max="4561" width="0" style="77" hidden="1" customWidth="1"/>
    <col min="4562" max="4784" width="9.109375" style="77" customWidth="1"/>
    <col min="4785" max="4785" width="0" style="77" hidden="1" customWidth="1"/>
    <col min="4786" max="4786" width="1.6640625" style="77" customWidth="1"/>
    <col min="4787" max="4787" width="3.44140625" style="77" customWidth="1"/>
    <col min="4788" max="4788" width="2.33203125" style="77" customWidth="1"/>
    <col min="4789" max="4789" width="0.109375" style="77" customWidth="1"/>
    <col min="4790" max="4790" width="1.109375" style="77" customWidth="1"/>
    <col min="4791" max="4791" width="1.6640625" style="77" customWidth="1"/>
    <col min="4792" max="4792" width="2" style="77" customWidth="1"/>
    <col min="4793" max="4793" width="0.6640625" style="77" customWidth="1"/>
    <col min="4794" max="4794" width="0.33203125" style="77" customWidth="1"/>
    <col min="4795" max="4795" width="2.6640625" style="77" customWidth="1"/>
    <col min="4796" max="4796" width="0.5546875" style="77" customWidth="1"/>
    <col min="4797" max="4797" width="1.33203125" style="77" customWidth="1"/>
    <col min="4798" max="4798" width="4.5546875" style="77" customWidth="1"/>
    <col min="4799" max="4799" width="0.109375" style="77" customWidth="1"/>
    <col min="4800" max="4800" width="12.33203125" style="77" customWidth="1"/>
    <col min="4801" max="4801" width="10.5546875" style="77" customWidth="1"/>
    <col min="4802" max="4802" width="2.6640625" style="77" customWidth="1"/>
    <col min="4803" max="4803" width="2.33203125" style="77" customWidth="1"/>
    <col min="4804" max="4804" width="1.6640625" style="77" customWidth="1"/>
    <col min="4805" max="4805" width="21.109375" style="77" customWidth="1"/>
    <col min="4806" max="4807" width="0.109375" style="77" customWidth="1"/>
    <col min="4808" max="4808" width="11.88671875" style="77" customWidth="1"/>
    <col min="4809" max="4810" width="0.109375" style="77" customWidth="1"/>
    <col min="4811" max="4811" width="5" style="77" customWidth="1"/>
    <col min="4812" max="4812" width="0.5546875" style="77" customWidth="1"/>
    <col min="4813" max="4813" width="3.44140625" style="77" customWidth="1"/>
    <col min="4814" max="4814" width="0.88671875" style="77" customWidth="1"/>
    <col min="4815" max="4815" width="0.33203125" style="77" customWidth="1"/>
    <col min="4816" max="4817" width="0" style="77" hidden="1" customWidth="1"/>
    <col min="4818" max="5040" width="9.109375" style="77" customWidth="1"/>
    <col min="5041" max="5041" width="0" style="77" hidden="1" customWidth="1"/>
    <col min="5042" max="5042" width="1.6640625" style="77" customWidth="1"/>
    <col min="5043" max="5043" width="3.44140625" style="77" customWidth="1"/>
    <col min="5044" max="5044" width="2.33203125" style="77" customWidth="1"/>
    <col min="5045" max="5045" width="0.109375" style="77" customWidth="1"/>
    <col min="5046" max="5046" width="1.109375" style="77" customWidth="1"/>
    <col min="5047" max="5047" width="1.6640625" style="77" customWidth="1"/>
    <col min="5048" max="5048" width="2" style="77" customWidth="1"/>
    <col min="5049" max="5049" width="0.6640625" style="77" customWidth="1"/>
    <col min="5050" max="5050" width="0.33203125" style="77" customWidth="1"/>
    <col min="5051" max="5051" width="2.6640625" style="77" customWidth="1"/>
    <col min="5052" max="5052" width="0.5546875" style="77" customWidth="1"/>
    <col min="5053" max="5053" width="1.33203125" style="77" customWidth="1"/>
    <col min="5054" max="5054" width="4.5546875" style="77" customWidth="1"/>
    <col min="5055" max="5055" width="0.109375" style="77" customWidth="1"/>
    <col min="5056" max="5056" width="12.33203125" style="77" customWidth="1"/>
    <col min="5057" max="5057" width="10.5546875" style="77" customWidth="1"/>
    <col min="5058" max="5058" width="2.6640625" style="77" customWidth="1"/>
    <col min="5059" max="5059" width="2.33203125" style="77" customWidth="1"/>
    <col min="5060" max="5060" width="1.6640625" style="77" customWidth="1"/>
    <col min="5061" max="5061" width="21.109375" style="77" customWidth="1"/>
    <col min="5062" max="5063" width="0.109375" style="77" customWidth="1"/>
    <col min="5064" max="5064" width="11.88671875" style="77" customWidth="1"/>
    <col min="5065" max="5066" width="0.109375" style="77" customWidth="1"/>
    <col min="5067" max="5067" width="5" style="77" customWidth="1"/>
    <col min="5068" max="5068" width="0.5546875" style="77" customWidth="1"/>
    <col min="5069" max="5069" width="3.44140625" style="77" customWidth="1"/>
    <col min="5070" max="5070" width="0.88671875" style="77" customWidth="1"/>
    <col min="5071" max="5071" width="0.33203125" style="77" customWidth="1"/>
    <col min="5072" max="5073" width="0" style="77" hidden="1" customWidth="1"/>
    <col min="5074" max="5296" width="9.109375" style="77" customWidth="1"/>
    <col min="5297" max="5297" width="0" style="77" hidden="1" customWidth="1"/>
    <col min="5298" max="5298" width="1.6640625" style="77" customWidth="1"/>
    <col min="5299" max="5299" width="3.44140625" style="77" customWidth="1"/>
    <col min="5300" max="5300" width="2.33203125" style="77" customWidth="1"/>
    <col min="5301" max="5301" width="0.109375" style="77" customWidth="1"/>
    <col min="5302" max="5302" width="1.109375" style="77" customWidth="1"/>
    <col min="5303" max="5303" width="1.6640625" style="77" customWidth="1"/>
    <col min="5304" max="5304" width="2" style="77" customWidth="1"/>
    <col min="5305" max="5305" width="0.6640625" style="77" customWidth="1"/>
    <col min="5306" max="5306" width="0.33203125" style="77" customWidth="1"/>
    <col min="5307" max="5307" width="2.6640625" style="77" customWidth="1"/>
    <col min="5308" max="5308" width="0.5546875" style="77" customWidth="1"/>
    <col min="5309" max="5309" width="1.33203125" style="77" customWidth="1"/>
    <col min="5310" max="5310" width="4.5546875" style="77" customWidth="1"/>
    <col min="5311" max="5311" width="0.109375" style="77" customWidth="1"/>
    <col min="5312" max="5312" width="12.33203125" style="77" customWidth="1"/>
    <col min="5313" max="5313" width="10.5546875" style="77" customWidth="1"/>
    <col min="5314" max="5314" width="2.6640625" style="77" customWidth="1"/>
    <col min="5315" max="5315" width="2.33203125" style="77" customWidth="1"/>
    <col min="5316" max="5316" width="1.6640625" style="77" customWidth="1"/>
    <col min="5317" max="5317" width="21.109375" style="77" customWidth="1"/>
    <col min="5318" max="5319" width="0.109375" style="77" customWidth="1"/>
    <col min="5320" max="5320" width="11.88671875" style="77" customWidth="1"/>
    <col min="5321" max="5322" width="0.109375" style="77" customWidth="1"/>
    <col min="5323" max="5323" width="5" style="77" customWidth="1"/>
    <col min="5324" max="5324" width="0.5546875" style="77" customWidth="1"/>
    <col min="5325" max="5325" width="3.44140625" style="77" customWidth="1"/>
    <col min="5326" max="5326" width="0.88671875" style="77" customWidth="1"/>
    <col min="5327" max="5327" width="0.33203125" style="77" customWidth="1"/>
    <col min="5328" max="5329" width="0" style="77" hidden="1" customWidth="1"/>
    <col min="5330" max="5552" width="9.109375" style="77" customWidth="1"/>
    <col min="5553" max="5553" width="0" style="77" hidden="1" customWidth="1"/>
    <col min="5554" max="5554" width="1.6640625" style="77" customWidth="1"/>
    <col min="5555" max="5555" width="3.44140625" style="77" customWidth="1"/>
    <col min="5556" max="5556" width="2.33203125" style="77" customWidth="1"/>
    <col min="5557" max="5557" width="0.109375" style="77" customWidth="1"/>
    <col min="5558" max="5558" width="1.109375" style="77" customWidth="1"/>
    <col min="5559" max="5559" width="1.6640625" style="77" customWidth="1"/>
    <col min="5560" max="5560" width="2" style="77" customWidth="1"/>
    <col min="5561" max="5561" width="0.6640625" style="77" customWidth="1"/>
    <col min="5562" max="5562" width="0.33203125" style="77" customWidth="1"/>
    <col min="5563" max="5563" width="2.6640625" style="77" customWidth="1"/>
    <col min="5564" max="5564" width="0.5546875" style="77" customWidth="1"/>
    <col min="5565" max="5565" width="1.33203125" style="77" customWidth="1"/>
    <col min="5566" max="5566" width="4.5546875" style="77" customWidth="1"/>
    <col min="5567" max="5567" width="0.109375" style="77" customWidth="1"/>
    <col min="5568" max="5568" width="12.33203125" style="77" customWidth="1"/>
    <col min="5569" max="5569" width="10.5546875" style="77" customWidth="1"/>
    <col min="5570" max="5570" width="2.6640625" style="77" customWidth="1"/>
    <col min="5571" max="5571" width="2.33203125" style="77" customWidth="1"/>
    <col min="5572" max="5572" width="1.6640625" style="77" customWidth="1"/>
    <col min="5573" max="5573" width="21.109375" style="77" customWidth="1"/>
    <col min="5574" max="5575" width="0.109375" style="77" customWidth="1"/>
    <col min="5576" max="5576" width="11.88671875" style="77" customWidth="1"/>
    <col min="5577" max="5578" width="0.109375" style="77" customWidth="1"/>
    <col min="5579" max="5579" width="5" style="77" customWidth="1"/>
    <col min="5580" max="5580" width="0.5546875" style="77" customWidth="1"/>
    <col min="5581" max="5581" width="3.44140625" style="77" customWidth="1"/>
    <col min="5582" max="5582" width="0.88671875" style="77" customWidth="1"/>
    <col min="5583" max="5583" width="0.33203125" style="77" customWidth="1"/>
    <col min="5584" max="5585" width="0" style="77" hidden="1" customWidth="1"/>
    <col min="5586" max="5808" width="9.109375" style="77" customWidth="1"/>
    <col min="5809" max="5809" width="0" style="77" hidden="1" customWidth="1"/>
    <col min="5810" max="5810" width="1.6640625" style="77" customWidth="1"/>
    <col min="5811" max="5811" width="3.44140625" style="77" customWidth="1"/>
    <col min="5812" max="5812" width="2.33203125" style="77" customWidth="1"/>
    <col min="5813" max="5813" width="0.109375" style="77" customWidth="1"/>
    <col min="5814" max="5814" width="1.109375" style="77" customWidth="1"/>
    <col min="5815" max="5815" width="1.6640625" style="77" customWidth="1"/>
    <col min="5816" max="5816" width="2" style="77" customWidth="1"/>
    <col min="5817" max="5817" width="0.6640625" style="77" customWidth="1"/>
    <col min="5818" max="5818" width="0.33203125" style="77" customWidth="1"/>
    <col min="5819" max="5819" width="2.6640625" style="77" customWidth="1"/>
    <col min="5820" max="5820" width="0.5546875" style="77" customWidth="1"/>
    <col min="5821" max="5821" width="1.33203125" style="77" customWidth="1"/>
    <col min="5822" max="5822" width="4.5546875" style="77" customWidth="1"/>
    <col min="5823" max="5823" width="0.109375" style="77" customWidth="1"/>
    <col min="5824" max="5824" width="12.33203125" style="77" customWidth="1"/>
    <col min="5825" max="5825" width="10.5546875" style="77" customWidth="1"/>
    <col min="5826" max="5826" width="2.6640625" style="77" customWidth="1"/>
    <col min="5827" max="5827" width="2.33203125" style="77" customWidth="1"/>
    <col min="5828" max="5828" width="1.6640625" style="77" customWidth="1"/>
    <col min="5829" max="5829" width="21.109375" style="77" customWidth="1"/>
    <col min="5830" max="5831" width="0.109375" style="77" customWidth="1"/>
    <col min="5832" max="5832" width="11.88671875" style="77" customWidth="1"/>
    <col min="5833" max="5834" width="0.109375" style="77" customWidth="1"/>
    <col min="5835" max="5835" width="5" style="77" customWidth="1"/>
    <col min="5836" max="5836" width="0.5546875" style="77" customWidth="1"/>
    <col min="5837" max="5837" width="3.44140625" style="77" customWidth="1"/>
    <col min="5838" max="5838" width="0.88671875" style="77" customWidth="1"/>
    <col min="5839" max="5839" width="0.33203125" style="77" customWidth="1"/>
    <col min="5840" max="5841" width="0" style="77" hidden="1" customWidth="1"/>
    <col min="5842" max="6064" width="9.109375" style="77" customWidth="1"/>
    <col min="6065" max="6065" width="0" style="77" hidden="1" customWidth="1"/>
    <col min="6066" max="6066" width="1.6640625" style="77" customWidth="1"/>
    <col min="6067" max="6067" width="3.44140625" style="77" customWidth="1"/>
    <col min="6068" max="6068" width="2.33203125" style="77" customWidth="1"/>
    <col min="6069" max="6069" width="0.109375" style="77" customWidth="1"/>
    <col min="6070" max="6070" width="1.109375" style="77" customWidth="1"/>
    <col min="6071" max="6071" width="1.6640625" style="77" customWidth="1"/>
    <col min="6072" max="6072" width="2" style="77" customWidth="1"/>
    <col min="6073" max="6073" width="0.6640625" style="77" customWidth="1"/>
    <col min="6074" max="6074" width="0.33203125" style="77" customWidth="1"/>
    <col min="6075" max="6075" width="2.6640625" style="77" customWidth="1"/>
    <col min="6076" max="6076" width="0.5546875" style="77" customWidth="1"/>
    <col min="6077" max="6077" width="1.33203125" style="77" customWidth="1"/>
    <col min="6078" max="6078" width="4.5546875" style="77" customWidth="1"/>
    <col min="6079" max="6079" width="0.109375" style="77" customWidth="1"/>
    <col min="6080" max="6080" width="12.33203125" style="77" customWidth="1"/>
    <col min="6081" max="6081" width="10.5546875" style="77" customWidth="1"/>
    <col min="6082" max="6082" width="2.6640625" style="77" customWidth="1"/>
    <col min="6083" max="6083" width="2.33203125" style="77" customWidth="1"/>
    <col min="6084" max="6084" width="1.6640625" style="77" customWidth="1"/>
    <col min="6085" max="6085" width="21.109375" style="77" customWidth="1"/>
    <col min="6086" max="6087" width="0.109375" style="77" customWidth="1"/>
    <col min="6088" max="6088" width="11.88671875" style="77" customWidth="1"/>
    <col min="6089" max="6090" width="0.109375" style="77" customWidth="1"/>
    <col min="6091" max="6091" width="5" style="77" customWidth="1"/>
    <col min="6092" max="6092" width="0.5546875" style="77" customWidth="1"/>
    <col min="6093" max="6093" width="3.44140625" style="77" customWidth="1"/>
    <col min="6094" max="6094" width="0.88671875" style="77" customWidth="1"/>
    <col min="6095" max="6095" width="0.33203125" style="77" customWidth="1"/>
    <col min="6096" max="6097" width="0" style="77" hidden="1" customWidth="1"/>
    <col min="6098" max="6320" width="9.109375" style="77" customWidth="1"/>
    <col min="6321" max="6321" width="0" style="77" hidden="1" customWidth="1"/>
    <col min="6322" max="6322" width="1.6640625" style="77" customWidth="1"/>
    <col min="6323" max="6323" width="3.44140625" style="77" customWidth="1"/>
    <col min="6324" max="6324" width="2.33203125" style="77" customWidth="1"/>
    <col min="6325" max="6325" width="0.109375" style="77" customWidth="1"/>
    <col min="6326" max="6326" width="1.109375" style="77" customWidth="1"/>
    <col min="6327" max="6327" width="1.6640625" style="77" customWidth="1"/>
    <col min="6328" max="6328" width="2" style="77" customWidth="1"/>
    <col min="6329" max="6329" width="0.6640625" style="77" customWidth="1"/>
    <col min="6330" max="6330" width="0.33203125" style="77" customWidth="1"/>
    <col min="6331" max="6331" width="2.6640625" style="77" customWidth="1"/>
    <col min="6332" max="6332" width="0.5546875" style="77" customWidth="1"/>
    <col min="6333" max="6333" width="1.33203125" style="77" customWidth="1"/>
    <col min="6334" max="6334" width="4.5546875" style="77" customWidth="1"/>
    <col min="6335" max="6335" width="0.109375" style="77" customWidth="1"/>
    <col min="6336" max="6336" width="12.33203125" style="77" customWidth="1"/>
    <col min="6337" max="6337" width="10.5546875" style="77" customWidth="1"/>
    <col min="6338" max="6338" width="2.6640625" style="77" customWidth="1"/>
    <col min="6339" max="6339" width="2.33203125" style="77" customWidth="1"/>
    <col min="6340" max="6340" width="1.6640625" style="77" customWidth="1"/>
    <col min="6341" max="6341" width="21.109375" style="77" customWidth="1"/>
    <col min="6342" max="6343" width="0.109375" style="77" customWidth="1"/>
    <col min="6344" max="6344" width="11.88671875" style="77" customWidth="1"/>
    <col min="6345" max="6346" width="0.109375" style="77" customWidth="1"/>
    <col min="6347" max="6347" width="5" style="77" customWidth="1"/>
    <col min="6348" max="6348" width="0.5546875" style="77" customWidth="1"/>
    <col min="6349" max="6349" width="3.44140625" style="77" customWidth="1"/>
    <col min="6350" max="6350" width="0.88671875" style="77" customWidth="1"/>
    <col min="6351" max="6351" width="0.33203125" style="77" customWidth="1"/>
    <col min="6352" max="6353" width="0" style="77" hidden="1" customWidth="1"/>
    <col min="6354" max="6576" width="9.109375" style="77" customWidth="1"/>
    <col min="6577" max="6577" width="0" style="77" hidden="1" customWidth="1"/>
    <col min="6578" max="6578" width="1.6640625" style="77" customWidth="1"/>
    <col min="6579" max="6579" width="3.44140625" style="77" customWidth="1"/>
    <col min="6580" max="6580" width="2.33203125" style="77" customWidth="1"/>
    <col min="6581" max="6581" width="0.109375" style="77" customWidth="1"/>
    <col min="6582" max="6582" width="1.109375" style="77" customWidth="1"/>
    <col min="6583" max="6583" width="1.6640625" style="77" customWidth="1"/>
    <col min="6584" max="6584" width="2" style="77" customWidth="1"/>
    <col min="6585" max="6585" width="0.6640625" style="77" customWidth="1"/>
    <col min="6586" max="6586" width="0.33203125" style="77" customWidth="1"/>
    <col min="6587" max="6587" width="2.6640625" style="77" customWidth="1"/>
    <col min="6588" max="6588" width="0.5546875" style="77" customWidth="1"/>
    <col min="6589" max="6589" width="1.33203125" style="77" customWidth="1"/>
    <col min="6590" max="6590" width="4.5546875" style="77" customWidth="1"/>
    <col min="6591" max="6591" width="0.109375" style="77" customWidth="1"/>
    <col min="6592" max="6592" width="12.33203125" style="77" customWidth="1"/>
    <col min="6593" max="6593" width="10.5546875" style="77" customWidth="1"/>
    <col min="6594" max="6594" width="2.6640625" style="77" customWidth="1"/>
    <col min="6595" max="6595" width="2.33203125" style="77" customWidth="1"/>
    <col min="6596" max="6596" width="1.6640625" style="77" customWidth="1"/>
    <col min="6597" max="6597" width="21.109375" style="77" customWidth="1"/>
    <col min="6598" max="6599" width="0.109375" style="77" customWidth="1"/>
    <col min="6600" max="6600" width="11.88671875" style="77" customWidth="1"/>
    <col min="6601" max="6602" width="0.109375" style="77" customWidth="1"/>
    <col min="6603" max="6603" width="5" style="77" customWidth="1"/>
    <col min="6604" max="6604" width="0.5546875" style="77" customWidth="1"/>
    <col min="6605" max="6605" width="3.44140625" style="77" customWidth="1"/>
    <col min="6606" max="6606" width="0.88671875" style="77" customWidth="1"/>
    <col min="6607" max="6607" width="0.33203125" style="77" customWidth="1"/>
    <col min="6608" max="6609" width="0" style="77" hidden="1" customWidth="1"/>
    <col min="6610" max="6832" width="9.109375" style="77" customWidth="1"/>
    <col min="6833" max="6833" width="0" style="77" hidden="1" customWidth="1"/>
    <col min="6834" max="6834" width="1.6640625" style="77" customWidth="1"/>
    <col min="6835" max="6835" width="3.44140625" style="77" customWidth="1"/>
    <col min="6836" max="6836" width="2.33203125" style="77" customWidth="1"/>
    <col min="6837" max="6837" width="0.109375" style="77" customWidth="1"/>
    <col min="6838" max="6838" width="1.109375" style="77" customWidth="1"/>
    <col min="6839" max="6839" width="1.6640625" style="77" customWidth="1"/>
    <col min="6840" max="6840" width="2" style="77" customWidth="1"/>
    <col min="6841" max="6841" width="0.6640625" style="77" customWidth="1"/>
    <col min="6842" max="6842" width="0.33203125" style="77" customWidth="1"/>
    <col min="6843" max="6843" width="2.6640625" style="77" customWidth="1"/>
    <col min="6844" max="6844" width="0.5546875" style="77" customWidth="1"/>
    <col min="6845" max="6845" width="1.33203125" style="77" customWidth="1"/>
    <col min="6846" max="6846" width="4.5546875" style="77" customWidth="1"/>
    <col min="6847" max="6847" width="0.109375" style="77" customWidth="1"/>
    <col min="6848" max="6848" width="12.33203125" style="77" customWidth="1"/>
    <col min="6849" max="6849" width="10.5546875" style="77" customWidth="1"/>
    <col min="6850" max="6850" width="2.6640625" style="77" customWidth="1"/>
    <col min="6851" max="6851" width="2.33203125" style="77" customWidth="1"/>
    <col min="6852" max="6852" width="1.6640625" style="77" customWidth="1"/>
    <col min="6853" max="6853" width="21.109375" style="77" customWidth="1"/>
    <col min="6854" max="6855" width="0.109375" style="77" customWidth="1"/>
    <col min="6856" max="6856" width="11.88671875" style="77" customWidth="1"/>
    <col min="6857" max="6858" width="0.109375" style="77" customWidth="1"/>
    <col min="6859" max="6859" width="5" style="77" customWidth="1"/>
    <col min="6860" max="6860" width="0.5546875" style="77" customWidth="1"/>
    <col min="6861" max="6861" width="3.44140625" style="77" customWidth="1"/>
    <col min="6862" max="6862" width="0.88671875" style="77" customWidth="1"/>
    <col min="6863" max="6863" width="0.33203125" style="77" customWidth="1"/>
    <col min="6864" max="6865" width="0" style="77" hidden="1" customWidth="1"/>
    <col min="6866" max="7088" width="9.109375" style="77" customWidth="1"/>
    <col min="7089" max="7089" width="0" style="77" hidden="1" customWidth="1"/>
    <col min="7090" max="7090" width="1.6640625" style="77" customWidth="1"/>
    <col min="7091" max="7091" width="3.44140625" style="77" customWidth="1"/>
    <col min="7092" max="7092" width="2.33203125" style="77" customWidth="1"/>
    <col min="7093" max="7093" width="0.109375" style="77" customWidth="1"/>
    <col min="7094" max="7094" width="1.109375" style="77" customWidth="1"/>
    <col min="7095" max="7095" width="1.6640625" style="77" customWidth="1"/>
    <col min="7096" max="7096" width="2" style="77" customWidth="1"/>
    <col min="7097" max="7097" width="0.6640625" style="77" customWidth="1"/>
    <col min="7098" max="7098" width="0.33203125" style="77" customWidth="1"/>
    <col min="7099" max="7099" width="2.6640625" style="77" customWidth="1"/>
    <col min="7100" max="7100" width="0.5546875" style="77" customWidth="1"/>
    <col min="7101" max="7101" width="1.33203125" style="77" customWidth="1"/>
    <col min="7102" max="7102" width="4.5546875" style="77" customWidth="1"/>
    <col min="7103" max="7103" width="0.109375" style="77" customWidth="1"/>
    <col min="7104" max="7104" width="12.33203125" style="77" customWidth="1"/>
    <col min="7105" max="7105" width="10.5546875" style="77" customWidth="1"/>
    <col min="7106" max="7106" width="2.6640625" style="77" customWidth="1"/>
    <col min="7107" max="7107" width="2.33203125" style="77" customWidth="1"/>
    <col min="7108" max="7108" width="1.6640625" style="77" customWidth="1"/>
    <col min="7109" max="7109" width="21.109375" style="77" customWidth="1"/>
    <col min="7110" max="7111" width="0.109375" style="77" customWidth="1"/>
    <col min="7112" max="7112" width="11.88671875" style="77" customWidth="1"/>
    <col min="7113" max="7114" width="0.109375" style="77" customWidth="1"/>
    <col min="7115" max="7115" width="5" style="77" customWidth="1"/>
    <col min="7116" max="7116" width="0.5546875" style="77" customWidth="1"/>
    <col min="7117" max="7117" width="3.44140625" style="77" customWidth="1"/>
    <col min="7118" max="7118" width="0.88671875" style="77" customWidth="1"/>
    <col min="7119" max="7119" width="0.33203125" style="77" customWidth="1"/>
    <col min="7120" max="7121" width="0" style="77" hidden="1" customWidth="1"/>
    <col min="7122" max="7344" width="9.109375" style="77" customWidth="1"/>
    <col min="7345" max="7345" width="0" style="77" hidden="1" customWidth="1"/>
    <col min="7346" max="7346" width="1.6640625" style="77" customWidth="1"/>
    <col min="7347" max="7347" width="3.44140625" style="77" customWidth="1"/>
    <col min="7348" max="7348" width="2.33203125" style="77" customWidth="1"/>
    <col min="7349" max="7349" width="0.109375" style="77" customWidth="1"/>
    <col min="7350" max="7350" width="1.109375" style="77" customWidth="1"/>
    <col min="7351" max="7351" width="1.6640625" style="77" customWidth="1"/>
    <col min="7352" max="7352" width="2" style="77" customWidth="1"/>
    <col min="7353" max="7353" width="0.6640625" style="77" customWidth="1"/>
    <col min="7354" max="7354" width="0.33203125" style="77" customWidth="1"/>
    <col min="7355" max="7355" width="2.6640625" style="77" customWidth="1"/>
    <col min="7356" max="7356" width="0.5546875" style="77" customWidth="1"/>
    <col min="7357" max="7357" width="1.33203125" style="77" customWidth="1"/>
    <col min="7358" max="7358" width="4.5546875" style="77" customWidth="1"/>
    <col min="7359" max="7359" width="0.109375" style="77" customWidth="1"/>
    <col min="7360" max="7360" width="12.33203125" style="77" customWidth="1"/>
    <col min="7361" max="7361" width="10.5546875" style="77" customWidth="1"/>
    <col min="7362" max="7362" width="2.6640625" style="77" customWidth="1"/>
    <col min="7363" max="7363" width="2.33203125" style="77" customWidth="1"/>
    <col min="7364" max="7364" width="1.6640625" style="77" customWidth="1"/>
    <col min="7365" max="7365" width="21.109375" style="77" customWidth="1"/>
    <col min="7366" max="7367" width="0.109375" style="77" customWidth="1"/>
    <col min="7368" max="7368" width="11.88671875" style="77" customWidth="1"/>
    <col min="7369" max="7370" width="0.109375" style="77" customWidth="1"/>
    <col min="7371" max="7371" width="5" style="77" customWidth="1"/>
    <col min="7372" max="7372" width="0.5546875" style="77" customWidth="1"/>
    <col min="7373" max="7373" width="3.44140625" style="77" customWidth="1"/>
    <col min="7374" max="7374" width="0.88671875" style="77" customWidth="1"/>
    <col min="7375" max="7375" width="0.33203125" style="77" customWidth="1"/>
    <col min="7376" max="7377" width="0" style="77" hidden="1" customWidth="1"/>
    <col min="7378" max="7600" width="9.109375" style="77" customWidth="1"/>
    <col min="7601" max="7601" width="0" style="77" hidden="1" customWidth="1"/>
    <col min="7602" max="7602" width="1.6640625" style="77" customWidth="1"/>
    <col min="7603" max="7603" width="3.44140625" style="77" customWidth="1"/>
    <col min="7604" max="7604" width="2.33203125" style="77" customWidth="1"/>
    <col min="7605" max="7605" width="0.109375" style="77" customWidth="1"/>
    <col min="7606" max="7606" width="1.109375" style="77" customWidth="1"/>
    <col min="7607" max="7607" width="1.6640625" style="77" customWidth="1"/>
    <col min="7608" max="7608" width="2" style="77" customWidth="1"/>
    <col min="7609" max="7609" width="0.6640625" style="77" customWidth="1"/>
    <col min="7610" max="7610" width="0.33203125" style="77" customWidth="1"/>
    <col min="7611" max="7611" width="2.6640625" style="77" customWidth="1"/>
    <col min="7612" max="7612" width="0.5546875" style="77" customWidth="1"/>
    <col min="7613" max="7613" width="1.33203125" style="77" customWidth="1"/>
    <col min="7614" max="7614" width="4.5546875" style="77" customWidth="1"/>
    <col min="7615" max="7615" width="0.109375" style="77" customWidth="1"/>
    <col min="7616" max="7616" width="12.33203125" style="77" customWidth="1"/>
    <col min="7617" max="7617" width="10.5546875" style="77" customWidth="1"/>
    <col min="7618" max="7618" width="2.6640625" style="77" customWidth="1"/>
    <col min="7619" max="7619" width="2.33203125" style="77" customWidth="1"/>
    <col min="7620" max="7620" width="1.6640625" style="77" customWidth="1"/>
    <col min="7621" max="7621" width="21.109375" style="77" customWidth="1"/>
    <col min="7622" max="7623" width="0.109375" style="77" customWidth="1"/>
    <col min="7624" max="7624" width="11.88671875" style="77" customWidth="1"/>
    <col min="7625" max="7626" width="0.109375" style="77" customWidth="1"/>
    <col min="7627" max="7627" width="5" style="77" customWidth="1"/>
    <col min="7628" max="7628" width="0.5546875" style="77" customWidth="1"/>
    <col min="7629" max="7629" width="3.44140625" style="77" customWidth="1"/>
    <col min="7630" max="7630" width="0.88671875" style="77" customWidth="1"/>
    <col min="7631" max="7631" width="0.33203125" style="77" customWidth="1"/>
    <col min="7632" max="7633" width="0" style="77" hidden="1" customWidth="1"/>
    <col min="7634" max="7856" width="9.109375" style="77" customWidth="1"/>
    <col min="7857" max="7857" width="0" style="77" hidden="1" customWidth="1"/>
    <col min="7858" max="7858" width="1.6640625" style="77" customWidth="1"/>
    <col min="7859" max="7859" width="3.44140625" style="77" customWidth="1"/>
    <col min="7860" max="7860" width="2.33203125" style="77" customWidth="1"/>
    <col min="7861" max="7861" width="0.109375" style="77" customWidth="1"/>
    <col min="7862" max="7862" width="1.109375" style="77" customWidth="1"/>
    <col min="7863" max="7863" width="1.6640625" style="77" customWidth="1"/>
    <col min="7864" max="7864" width="2" style="77" customWidth="1"/>
    <col min="7865" max="7865" width="0.6640625" style="77" customWidth="1"/>
    <col min="7866" max="7866" width="0.33203125" style="77" customWidth="1"/>
    <col min="7867" max="7867" width="2.6640625" style="77" customWidth="1"/>
    <col min="7868" max="7868" width="0.5546875" style="77" customWidth="1"/>
    <col min="7869" max="7869" width="1.33203125" style="77" customWidth="1"/>
    <col min="7870" max="7870" width="4.5546875" style="77" customWidth="1"/>
    <col min="7871" max="7871" width="0.109375" style="77" customWidth="1"/>
    <col min="7872" max="7872" width="12.33203125" style="77" customWidth="1"/>
    <col min="7873" max="7873" width="10.5546875" style="77" customWidth="1"/>
    <col min="7874" max="7874" width="2.6640625" style="77" customWidth="1"/>
    <col min="7875" max="7875" width="2.33203125" style="77" customWidth="1"/>
    <col min="7876" max="7876" width="1.6640625" style="77" customWidth="1"/>
    <col min="7877" max="7877" width="21.109375" style="77" customWidth="1"/>
    <col min="7878" max="7879" width="0.109375" style="77" customWidth="1"/>
    <col min="7880" max="7880" width="11.88671875" style="77" customWidth="1"/>
    <col min="7881" max="7882" width="0.109375" style="77" customWidth="1"/>
    <col min="7883" max="7883" width="5" style="77" customWidth="1"/>
    <col min="7884" max="7884" width="0.5546875" style="77" customWidth="1"/>
    <col min="7885" max="7885" width="3.44140625" style="77" customWidth="1"/>
    <col min="7886" max="7886" width="0.88671875" style="77" customWidth="1"/>
    <col min="7887" max="7887" width="0.33203125" style="77" customWidth="1"/>
    <col min="7888" max="7889" width="0" style="77" hidden="1" customWidth="1"/>
    <col min="7890" max="8112" width="9.109375" style="77" customWidth="1"/>
    <col min="8113" max="8113" width="0" style="77" hidden="1" customWidth="1"/>
    <col min="8114" max="8114" width="1.6640625" style="77" customWidth="1"/>
    <col min="8115" max="8115" width="3.44140625" style="77" customWidth="1"/>
    <col min="8116" max="8116" width="2.33203125" style="77" customWidth="1"/>
    <col min="8117" max="8117" width="0.109375" style="77" customWidth="1"/>
    <col min="8118" max="8118" width="1.109375" style="77" customWidth="1"/>
    <col min="8119" max="8119" width="1.6640625" style="77" customWidth="1"/>
    <col min="8120" max="8120" width="2" style="77" customWidth="1"/>
    <col min="8121" max="8121" width="0.6640625" style="77" customWidth="1"/>
    <col min="8122" max="8122" width="0.33203125" style="77" customWidth="1"/>
    <col min="8123" max="8123" width="2.6640625" style="77" customWidth="1"/>
    <col min="8124" max="8124" width="0.5546875" style="77" customWidth="1"/>
    <col min="8125" max="8125" width="1.33203125" style="77" customWidth="1"/>
    <col min="8126" max="8126" width="4.5546875" style="77" customWidth="1"/>
    <col min="8127" max="8127" width="0.109375" style="77" customWidth="1"/>
    <col min="8128" max="8128" width="12.33203125" style="77" customWidth="1"/>
    <col min="8129" max="8129" width="10.5546875" style="77" customWidth="1"/>
    <col min="8130" max="8130" width="2.6640625" style="77" customWidth="1"/>
    <col min="8131" max="8131" width="2.33203125" style="77" customWidth="1"/>
    <col min="8132" max="8132" width="1.6640625" style="77" customWidth="1"/>
    <col min="8133" max="8133" width="21.109375" style="77" customWidth="1"/>
    <col min="8134" max="8135" width="0.109375" style="77" customWidth="1"/>
    <col min="8136" max="8136" width="11.88671875" style="77" customWidth="1"/>
    <col min="8137" max="8138" width="0.109375" style="77" customWidth="1"/>
    <col min="8139" max="8139" width="5" style="77" customWidth="1"/>
    <col min="8140" max="8140" width="0.5546875" style="77" customWidth="1"/>
    <col min="8141" max="8141" width="3.44140625" style="77" customWidth="1"/>
    <col min="8142" max="8142" width="0.88671875" style="77" customWidth="1"/>
    <col min="8143" max="8143" width="0.33203125" style="77" customWidth="1"/>
    <col min="8144" max="8145" width="0" style="77" hidden="1" customWidth="1"/>
    <col min="8146" max="8368" width="9.109375" style="77" customWidth="1"/>
    <col min="8369" max="8369" width="0" style="77" hidden="1" customWidth="1"/>
    <col min="8370" max="8370" width="1.6640625" style="77" customWidth="1"/>
    <col min="8371" max="8371" width="3.44140625" style="77" customWidth="1"/>
    <col min="8372" max="8372" width="2.33203125" style="77" customWidth="1"/>
    <col min="8373" max="8373" width="0.109375" style="77" customWidth="1"/>
    <col min="8374" max="8374" width="1.109375" style="77" customWidth="1"/>
    <col min="8375" max="8375" width="1.6640625" style="77" customWidth="1"/>
    <col min="8376" max="8376" width="2" style="77" customWidth="1"/>
    <col min="8377" max="8377" width="0.6640625" style="77" customWidth="1"/>
    <col min="8378" max="8378" width="0.33203125" style="77" customWidth="1"/>
    <col min="8379" max="8379" width="2.6640625" style="77" customWidth="1"/>
    <col min="8380" max="8380" width="0.5546875" style="77" customWidth="1"/>
    <col min="8381" max="8381" width="1.33203125" style="77" customWidth="1"/>
    <col min="8382" max="8382" width="4.5546875" style="77" customWidth="1"/>
    <col min="8383" max="8383" width="0.109375" style="77" customWidth="1"/>
    <col min="8384" max="8384" width="12.33203125" style="77" customWidth="1"/>
    <col min="8385" max="8385" width="10.5546875" style="77" customWidth="1"/>
    <col min="8386" max="8386" width="2.6640625" style="77" customWidth="1"/>
    <col min="8387" max="8387" width="2.33203125" style="77" customWidth="1"/>
    <col min="8388" max="8388" width="1.6640625" style="77" customWidth="1"/>
    <col min="8389" max="8389" width="21.109375" style="77" customWidth="1"/>
    <col min="8390" max="8391" width="0.109375" style="77" customWidth="1"/>
    <col min="8392" max="8392" width="11.88671875" style="77" customWidth="1"/>
    <col min="8393" max="8394" width="0.109375" style="77" customWidth="1"/>
    <col min="8395" max="8395" width="5" style="77" customWidth="1"/>
    <col min="8396" max="8396" width="0.5546875" style="77" customWidth="1"/>
    <col min="8397" max="8397" width="3.44140625" style="77" customWidth="1"/>
    <col min="8398" max="8398" width="0.88671875" style="77" customWidth="1"/>
    <col min="8399" max="8399" width="0.33203125" style="77" customWidth="1"/>
    <col min="8400" max="8401" width="0" style="77" hidden="1" customWidth="1"/>
    <col min="8402" max="8624" width="9.109375" style="77" customWidth="1"/>
    <col min="8625" max="8625" width="0" style="77" hidden="1" customWidth="1"/>
    <col min="8626" max="8626" width="1.6640625" style="77" customWidth="1"/>
    <col min="8627" max="8627" width="3.44140625" style="77" customWidth="1"/>
    <col min="8628" max="8628" width="2.33203125" style="77" customWidth="1"/>
    <col min="8629" max="8629" width="0.109375" style="77" customWidth="1"/>
    <col min="8630" max="8630" width="1.109375" style="77" customWidth="1"/>
    <col min="8631" max="8631" width="1.6640625" style="77" customWidth="1"/>
    <col min="8632" max="8632" width="2" style="77" customWidth="1"/>
    <col min="8633" max="8633" width="0.6640625" style="77" customWidth="1"/>
    <col min="8634" max="8634" width="0.33203125" style="77" customWidth="1"/>
    <col min="8635" max="8635" width="2.6640625" style="77" customWidth="1"/>
    <col min="8636" max="8636" width="0.5546875" style="77" customWidth="1"/>
    <col min="8637" max="8637" width="1.33203125" style="77" customWidth="1"/>
    <col min="8638" max="8638" width="4.5546875" style="77" customWidth="1"/>
    <col min="8639" max="8639" width="0.109375" style="77" customWidth="1"/>
    <col min="8640" max="8640" width="12.33203125" style="77" customWidth="1"/>
    <col min="8641" max="8641" width="10.5546875" style="77" customWidth="1"/>
    <col min="8642" max="8642" width="2.6640625" style="77" customWidth="1"/>
    <col min="8643" max="8643" width="2.33203125" style="77" customWidth="1"/>
    <col min="8644" max="8644" width="1.6640625" style="77" customWidth="1"/>
    <col min="8645" max="8645" width="21.109375" style="77" customWidth="1"/>
    <col min="8646" max="8647" width="0.109375" style="77" customWidth="1"/>
    <col min="8648" max="8648" width="11.88671875" style="77" customWidth="1"/>
    <col min="8649" max="8650" width="0.109375" style="77" customWidth="1"/>
    <col min="8651" max="8651" width="5" style="77" customWidth="1"/>
    <col min="8652" max="8652" width="0.5546875" style="77" customWidth="1"/>
    <col min="8653" max="8653" width="3.44140625" style="77" customWidth="1"/>
    <col min="8654" max="8654" width="0.88671875" style="77" customWidth="1"/>
    <col min="8655" max="8655" width="0.33203125" style="77" customWidth="1"/>
    <col min="8656" max="8657" width="0" style="77" hidden="1" customWidth="1"/>
    <col min="8658" max="8880" width="9.109375" style="77" customWidth="1"/>
    <col min="8881" max="8881" width="0" style="77" hidden="1" customWidth="1"/>
    <col min="8882" max="8882" width="1.6640625" style="77" customWidth="1"/>
    <col min="8883" max="8883" width="3.44140625" style="77" customWidth="1"/>
    <col min="8884" max="8884" width="2.33203125" style="77" customWidth="1"/>
    <col min="8885" max="8885" width="0.109375" style="77" customWidth="1"/>
    <col min="8886" max="8886" width="1.109375" style="77" customWidth="1"/>
    <col min="8887" max="8887" width="1.6640625" style="77" customWidth="1"/>
    <col min="8888" max="8888" width="2" style="77" customWidth="1"/>
    <col min="8889" max="8889" width="0.6640625" style="77" customWidth="1"/>
    <col min="8890" max="8890" width="0.33203125" style="77" customWidth="1"/>
    <col min="8891" max="8891" width="2.6640625" style="77" customWidth="1"/>
    <col min="8892" max="8892" width="0.5546875" style="77" customWidth="1"/>
    <col min="8893" max="8893" width="1.33203125" style="77" customWidth="1"/>
    <col min="8894" max="8894" width="4.5546875" style="77" customWidth="1"/>
    <col min="8895" max="8895" width="0.109375" style="77" customWidth="1"/>
    <col min="8896" max="8896" width="12.33203125" style="77" customWidth="1"/>
    <col min="8897" max="8897" width="10.5546875" style="77" customWidth="1"/>
    <col min="8898" max="8898" width="2.6640625" style="77" customWidth="1"/>
    <col min="8899" max="8899" width="2.33203125" style="77" customWidth="1"/>
    <col min="8900" max="8900" width="1.6640625" style="77" customWidth="1"/>
    <col min="8901" max="8901" width="21.109375" style="77" customWidth="1"/>
    <col min="8902" max="8903" width="0.109375" style="77" customWidth="1"/>
    <col min="8904" max="8904" width="11.88671875" style="77" customWidth="1"/>
    <col min="8905" max="8906" width="0.109375" style="77" customWidth="1"/>
    <col min="8907" max="8907" width="5" style="77" customWidth="1"/>
    <col min="8908" max="8908" width="0.5546875" style="77" customWidth="1"/>
    <col min="8909" max="8909" width="3.44140625" style="77" customWidth="1"/>
    <col min="8910" max="8910" width="0.88671875" style="77" customWidth="1"/>
    <col min="8911" max="8911" width="0.33203125" style="77" customWidth="1"/>
    <col min="8912" max="8913" width="0" style="77" hidden="1" customWidth="1"/>
    <col min="8914" max="9136" width="9.109375" style="77" customWidth="1"/>
    <col min="9137" max="9137" width="0" style="77" hidden="1" customWidth="1"/>
    <col min="9138" max="9138" width="1.6640625" style="77" customWidth="1"/>
    <col min="9139" max="9139" width="3.44140625" style="77" customWidth="1"/>
    <col min="9140" max="9140" width="2.33203125" style="77" customWidth="1"/>
    <col min="9141" max="9141" width="0.109375" style="77" customWidth="1"/>
    <col min="9142" max="9142" width="1.109375" style="77" customWidth="1"/>
    <col min="9143" max="9143" width="1.6640625" style="77" customWidth="1"/>
    <col min="9144" max="9144" width="2" style="77" customWidth="1"/>
    <col min="9145" max="9145" width="0.6640625" style="77" customWidth="1"/>
    <col min="9146" max="9146" width="0.33203125" style="77" customWidth="1"/>
    <col min="9147" max="9147" width="2.6640625" style="77" customWidth="1"/>
    <col min="9148" max="9148" width="0.5546875" style="77" customWidth="1"/>
    <col min="9149" max="9149" width="1.33203125" style="77" customWidth="1"/>
    <col min="9150" max="9150" width="4.5546875" style="77" customWidth="1"/>
    <col min="9151" max="9151" width="0.109375" style="77" customWidth="1"/>
    <col min="9152" max="9152" width="12.33203125" style="77" customWidth="1"/>
    <col min="9153" max="9153" width="10.5546875" style="77" customWidth="1"/>
    <col min="9154" max="9154" width="2.6640625" style="77" customWidth="1"/>
    <col min="9155" max="9155" width="2.33203125" style="77" customWidth="1"/>
    <col min="9156" max="9156" width="1.6640625" style="77" customWidth="1"/>
    <col min="9157" max="9157" width="21.109375" style="77" customWidth="1"/>
    <col min="9158" max="9159" width="0.109375" style="77" customWidth="1"/>
    <col min="9160" max="9160" width="11.88671875" style="77" customWidth="1"/>
    <col min="9161" max="9162" width="0.109375" style="77" customWidth="1"/>
    <col min="9163" max="9163" width="5" style="77" customWidth="1"/>
    <col min="9164" max="9164" width="0.5546875" style="77" customWidth="1"/>
    <col min="9165" max="9165" width="3.44140625" style="77" customWidth="1"/>
    <col min="9166" max="9166" width="0.88671875" style="77" customWidth="1"/>
    <col min="9167" max="9167" width="0.33203125" style="77" customWidth="1"/>
    <col min="9168" max="9169" width="0" style="77" hidden="1" customWidth="1"/>
    <col min="9170" max="9392" width="9.109375" style="77" customWidth="1"/>
    <col min="9393" max="9393" width="0" style="77" hidden="1" customWidth="1"/>
    <col min="9394" max="9394" width="1.6640625" style="77" customWidth="1"/>
    <col min="9395" max="9395" width="3.44140625" style="77" customWidth="1"/>
    <col min="9396" max="9396" width="2.33203125" style="77" customWidth="1"/>
    <col min="9397" max="9397" width="0.109375" style="77" customWidth="1"/>
    <col min="9398" max="9398" width="1.109375" style="77" customWidth="1"/>
    <col min="9399" max="9399" width="1.6640625" style="77" customWidth="1"/>
    <col min="9400" max="9400" width="2" style="77" customWidth="1"/>
    <col min="9401" max="9401" width="0.6640625" style="77" customWidth="1"/>
    <col min="9402" max="9402" width="0.33203125" style="77" customWidth="1"/>
    <col min="9403" max="9403" width="2.6640625" style="77" customWidth="1"/>
    <col min="9404" max="9404" width="0.5546875" style="77" customWidth="1"/>
    <col min="9405" max="9405" width="1.33203125" style="77" customWidth="1"/>
    <col min="9406" max="9406" width="4.5546875" style="77" customWidth="1"/>
    <col min="9407" max="9407" width="0.109375" style="77" customWidth="1"/>
    <col min="9408" max="9408" width="12.33203125" style="77" customWidth="1"/>
    <col min="9409" max="9409" width="10.5546875" style="77" customWidth="1"/>
    <col min="9410" max="9410" width="2.6640625" style="77" customWidth="1"/>
    <col min="9411" max="9411" width="2.33203125" style="77" customWidth="1"/>
    <col min="9412" max="9412" width="1.6640625" style="77" customWidth="1"/>
    <col min="9413" max="9413" width="21.109375" style="77" customWidth="1"/>
    <col min="9414" max="9415" width="0.109375" style="77" customWidth="1"/>
    <col min="9416" max="9416" width="11.88671875" style="77" customWidth="1"/>
    <col min="9417" max="9418" width="0.109375" style="77" customWidth="1"/>
    <col min="9419" max="9419" width="5" style="77" customWidth="1"/>
    <col min="9420" max="9420" width="0.5546875" style="77" customWidth="1"/>
    <col min="9421" max="9421" width="3.44140625" style="77" customWidth="1"/>
    <col min="9422" max="9422" width="0.88671875" style="77" customWidth="1"/>
    <col min="9423" max="9423" width="0.33203125" style="77" customWidth="1"/>
    <col min="9424" max="9425" width="0" style="77" hidden="1" customWidth="1"/>
    <col min="9426" max="9648" width="9.109375" style="77" customWidth="1"/>
    <col min="9649" max="9649" width="0" style="77" hidden="1" customWidth="1"/>
    <col min="9650" max="9650" width="1.6640625" style="77" customWidth="1"/>
    <col min="9651" max="9651" width="3.44140625" style="77" customWidth="1"/>
    <col min="9652" max="9652" width="2.33203125" style="77" customWidth="1"/>
    <col min="9653" max="9653" width="0.109375" style="77" customWidth="1"/>
    <col min="9654" max="9654" width="1.109375" style="77" customWidth="1"/>
    <col min="9655" max="9655" width="1.6640625" style="77" customWidth="1"/>
    <col min="9656" max="9656" width="2" style="77" customWidth="1"/>
    <col min="9657" max="9657" width="0.6640625" style="77" customWidth="1"/>
    <col min="9658" max="9658" width="0.33203125" style="77" customWidth="1"/>
    <col min="9659" max="9659" width="2.6640625" style="77" customWidth="1"/>
    <col min="9660" max="9660" width="0.5546875" style="77" customWidth="1"/>
    <col min="9661" max="9661" width="1.33203125" style="77" customWidth="1"/>
    <col min="9662" max="9662" width="4.5546875" style="77" customWidth="1"/>
    <col min="9663" max="9663" width="0.109375" style="77" customWidth="1"/>
    <col min="9664" max="9664" width="12.33203125" style="77" customWidth="1"/>
    <col min="9665" max="9665" width="10.5546875" style="77" customWidth="1"/>
    <col min="9666" max="9666" width="2.6640625" style="77" customWidth="1"/>
    <col min="9667" max="9667" width="2.33203125" style="77" customWidth="1"/>
    <col min="9668" max="9668" width="1.6640625" style="77" customWidth="1"/>
    <col min="9669" max="9669" width="21.109375" style="77" customWidth="1"/>
    <col min="9670" max="9671" width="0.109375" style="77" customWidth="1"/>
    <col min="9672" max="9672" width="11.88671875" style="77" customWidth="1"/>
    <col min="9673" max="9674" width="0.109375" style="77" customWidth="1"/>
    <col min="9675" max="9675" width="5" style="77" customWidth="1"/>
    <col min="9676" max="9676" width="0.5546875" style="77" customWidth="1"/>
    <col min="9677" max="9677" width="3.44140625" style="77" customWidth="1"/>
    <col min="9678" max="9678" width="0.88671875" style="77" customWidth="1"/>
    <col min="9679" max="9679" width="0.33203125" style="77" customWidth="1"/>
    <col min="9680" max="9681" width="0" style="77" hidden="1" customWidth="1"/>
    <col min="9682" max="9904" width="9.109375" style="77" customWidth="1"/>
    <col min="9905" max="9905" width="0" style="77" hidden="1" customWidth="1"/>
    <col min="9906" max="9906" width="1.6640625" style="77" customWidth="1"/>
    <col min="9907" max="9907" width="3.44140625" style="77" customWidth="1"/>
    <col min="9908" max="9908" width="2.33203125" style="77" customWidth="1"/>
    <col min="9909" max="9909" width="0.109375" style="77" customWidth="1"/>
    <col min="9910" max="9910" width="1.109375" style="77" customWidth="1"/>
    <col min="9911" max="9911" width="1.6640625" style="77" customWidth="1"/>
    <col min="9912" max="9912" width="2" style="77" customWidth="1"/>
    <col min="9913" max="9913" width="0.6640625" style="77" customWidth="1"/>
    <col min="9914" max="9914" width="0.33203125" style="77" customWidth="1"/>
    <col min="9915" max="9915" width="2.6640625" style="77" customWidth="1"/>
    <col min="9916" max="9916" width="0.5546875" style="77" customWidth="1"/>
    <col min="9917" max="9917" width="1.33203125" style="77" customWidth="1"/>
    <col min="9918" max="9918" width="4.5546875" style="77" customWidth="1"/>
    <col min="9919" max="9919" width="0.109375" style="77" customWidth="1"/>
    <col min="9920" max="9920" width="12.33203125" style="77" customWidth="1"/>
    <col min="9921" max="9921" width="10.5546875" style="77" customWidth="1"/>
    <col min="9922" max="9922" width="2.6640625" style="77" customWidth="1"/>
    <col min="9923" max="9923" width="2.33203125" style="77" customWidth="1"/>
    <col min="9924" max="9924" width="1.6640625" style="77" customWidth="1"/>
    <col min="9925" max="9925" width="21.109375" style="77" customWidth="1"/>
    <col min="9926" max="9927" width="0.109375" style="77" customWidth="1"/>
    <col min="9928" max="9928" width="11.88671875" style="77" customWidth="1"/>
    <col min="9929" max="9930" width="0.109375" style="77" customWidth="1"/>
    <col min="9931" max="9931" width="5" style="77" customWidth="1"/>
    <col min="9932" max="9932" width="0.5546875" style="77" customWidth="1"/>
    <col min="9933" max="9933" width="3.44140625" style="77" customWidth="1"/>
    <col min="9934" max="9934" width="0.88671875" style="77" customWidth="1"/>
    <col min="9935" max="9935" width="0.33203125" style="77" customWidth="1"/>
    <col min="9936" max="9937" width="0" style="77" hidden="1" customWidth="1"/>
    <col min="9938" max="10160" width="9.109375" style="77" customWidth="1"/>
    <col min="10161" max="10161" width="0" style="77" hidden="1" customWidth="1"/>
    <col min="10162" max="10162" width="1.6640625" style="77" customWidth="1"/>
    <col min="10163" max="10163" width="3.44140625" style="77" customWidth="1"/>
    <col min="10164" max="10164" width="2.33203125" style="77" customWidth="1"/>
    <col min="10165" max="10165" width="0.109375" style="77" customWidth="1"/>
    <col min="10166" max="10166" width="1.109375" style="77" customWidth="1"/>
    <col min="10167" max="10167" width="1.6640625" style="77" customWidth="1"/>
    <col min="10168" max="10168" width="2" style="77" customWidth="1"/>
    <col min="10169" max="10169" width="0.6640625" style="77" customWidth="1"/>
    <col min="10170" max="10170" width="0.33203125" style="77" customWidth="1"/>
    <col min="10171" max="10171" width="2.6640625" style="77" customWidth="1"/>
    <col min="10172" max="10172" width="0.5546875" style="77" customWidth="1"/>
    <col min="10173" max="10173" width="1.33203125" style="77" customWidth="1"/>
    <col min="10174" max="10174" width="4.5546875" style="77" customWidth="1"/>
    <col min="10175" max="10175" width="0.109375" style="77" customWidth="1"/>
    <col min="10176" max="10176" width="12.33203125" style="77" customWidth="1"/>
    <col min="10177" max="10177" width="10.5546875" style="77" customWidth="1"/>
    <col min="10178" max="10178" width="2.6640625" style="77" customWidth="1"/>
    <col min="10179" max="10179" width="2.33203125" style="77" customWidth="1"/>
    <col min="10180" max="10180" width="1.6640625" style="77" customWidth="1"/>
    <col min="10181" max="10181" width="21.109375" style="77" customWidth="1"/>
    <col min="10182" max="10183" width="0.109375" style="77" customWidth="1"/>
    <col min="10184" max="10184" width="11.88671875" style="77" customWidth="1"/>
    <col min="10185" max="10186" width="0.109375" style="77" customWidth="1"/>
    <col min="10187" max="10187" width="5" style="77" customWidth="1"/>
    <col min="10188" max="10188" width="0.5546875" style="77" customWidth="1"/>
    <col min="10189" max="10189" width="3.44140625" style="77" customWidth="1"/>
    <col min="10190" max="10190" width="0.88671875" style="77" customWidth="1"/>
    <col min="10191" max="10191" width="0.33203125" style="77" customWidth="1"/>
    <col min="10192" max="10193" width="0" style="77" hidden="1" customWidth="1"/>
    <col min="10194" max="10416" width="9.109375" style="77" customWidth="1"/>
    <col min="10417" max="10417" width="0" style="77" hidden="1" customWidth="1"/>
    <col min="10418" max="10418" width="1.6640625" style="77" customWidth="1"/>
    <col min="10419" max="10419" width="3.44140625" style="77" customWidth="1"/>
    <col min="10420" max="10420" width="2.33203125" style="77" customWidth="1"/>
    <col min="10421" max="10421" width="0.109375" style="77" customWidth="1"/>
    <col min="10422" max="10422" width="1.109375" style="77" customWidth="1"/>
    <col min="10423" max="10423" width="1.6640625" style="77" customWidth="1"/>
    <col min="10424" max="10424" width="2" style="77" customWidth="1"/>
    <col min="10425" max="10425" width="0.6640625" style="77" customWidth="1"/>
    <col min="10426" max="10426" width="0.33203125" style="77" customWidth="1"/>
    <col min="10427" max="10427" width="2.6640625" style="77" customWidth="1"/>
    <col min="10428" max="10428" width="0.5546875" style="77" customWidth="1"/>
    <col min="10429" max="10429" width="1.33203125" style="77" customWidth="1"/>
    <col min="10430" max="10430" width="4.5546875" style="77" customWidth="1"/>
    <col min="10431" max="10431" width="0.109375" style="77" customWidth="1"/>
    <col min="10432" max="10432" width="12.33203125" style="77" customWidth="1"/>
    <col min="10433" max="10433" width="10.5546875" style="77" customWidth="1"/>
    <col min="10434" max="10434" width="2.6640625" style="77" customWidth="1"/>
    <col min="10435" max="10435" width="2.33203125" style="77" customWidth="1"/>
    <col min="10436" max="10436" width="1.6640625" style="77" customWidth="1"/>
    <col min="10437" max="10437" width="21.109375" style="77" customWidth="1"/>
    <col min="10438" max="10439" width="0.109375" style="77" customWidth="1"/>
    <col min="10440" max="10440" width="11.88671875" style="77" customWidth="1"/>
    <col min="10441" max="10442" width="0.109375" style="77" customWidth="1"/>
    <col min="10443" max="10443" width="5" style="77" customWidth="1"/>
    <col min="10444" max="10444" width="0.5546875" style="77" customWidth="1"/>
    <col min="10445" max="10445" width="3.44140625" style="77" customWidth="1"/>
    <col min="10446" max="10446" width="0.88671875" style="77" customWidth="1"/>
    <col min="10447" max="10447" width="0.33203125" style="77" customWidth="1"/>
    <col min="10448" max="10449" width="0" style="77" hidden="1" customWidth="1"/>
    <col min="10450" max="10672" width="9.109375" style="77" customWidth="1"/>
    <col min="10673" max="10673" width="0" style="77" hidden="1" customWidth="1"/>
    <col min="10674" max="10674" width="1.6640625" style="77" customWidth="1"/>
    <col min="10675" max="10675" width="3.44140625" style="77" customWidth="1"/>
    <col min="10676" max="10676" width="2.33203125" style="77" customWidth="1"/>
    <col min="10677" max="10677" width="0.109375" style="77" customWidth="1"/>
    <col min="10678" max="10678" width="1.109375" style="77" customWidth="1"/>
    <col min="10679" max="10679" width="1.6640625" style="77" customWidth="1"/>
    <col min="10680" max="10680" width="2" style="77" customWidth="1"/>
    <col min="10681" max="10681" width="0.6640625" style="77" customWidth="1"/>
    <col min="10682" max="10682" width="0.33203125" style="77" customWidth="1"/>
    <col min="10683" max="10683" width="2.6640625" style="77" customWidth="1"/>
    <col min="10684" max="10684" width="0.5546875" style="77" customWidth="1"/>
    <col min="10685" max="10685" width="1.33203125" style="77" customWidth="1"/>
    <col min="10686" max="10686" width="4.5546875" style="77" customWidth="1"/>
    <col min="10687" max="10687" width="0.109375" style="77" customWidth="1"/>
    <col min="10688" max="10688" width="12.33203125" style="77" customWidth="1"/>
    <col min="10689" max="10689" width="10.5546875" style="77" customWidth="1"/>
    <col min="10690" max="10690" width="2.6640625" style="77" customWidth="1"/>
    <col min="10691" max="10691" width="2.33203125" style="77" customWidth="1"/>
    <col min="10692" max="10692" width="1.6640625" style="77" customWidth="1"/>
    <col min="10693" max="10693" width="21.109375" style="77" customWidth="1"/>
    <col min="10694" max="10695" width="0.109375" style="77" customWidth="1"/>
    <col min="10696" max="10696" width="11.88671875" style="77" customWidth="1"/>
    <col min="10697" max="10698" width="0.109375" style="77" customWidth="1"/>
    <col min="10699" max="10699" width="5" style="77" customWidth="1"/>
    <col min="10700" max="10700" width="0.5546875" style="77" customWidth="1"/>
    <col min="10701" max="10701" width="3.44140625" style="77" customWidth="1"/>
    <col min="10702" max="10702" width="0.88671875" style="77" customWidth="1"/>
    <col min="10703" max="10703" width="0.33203125" style="77" customWidth="1"/>
    <col min="10704" max="10705" width="0" style="77" hidden="1" customWidth="1"/>
    <col min="10706" max="10928" width="9.109375" style="77" customWidth="1"/>
    <col min="10929" max="10929" width="0" style="77" hidden="1" customWidth="1"/>
    <col min="10930" max="10930" width="1.6640625" style="77" customWidth="1"/>
    <col min="10931" max="10931" width="3.44140625" style="77" customWidth="1"/>
    <col min="10932" max="10932" width="2.33203125" style="77" customWidth="1"/>
    <col min="10933" max="10933" width="0.109375" style="77" customWidth="1"/>
    <col min="10934" max="10934" width="1.109375" style="77" customWidth="1"/>
    <col min="10935" max="10935" width="1.6640625" style="77" customWidth="1"/>
    <col min="10936" max="10936" width="2" style="77" customWidth="1"/>
    <col min="10937" max="10937" width="0.6640625" style="77" customWidth="1"/>
    <col min="10938" max="10938" width="0.33203125" style="77" customWidth="1"/>
    <col min="10939" max="10939" width="2.6640625" style="77" customWidth="1"/>
    <col min="10940" max="10940" width="0.5546875" style="77" customWidth="1"/>
    <col min="10941" max="10941" width="1.33203125" style="77" customWidth="1"/>
    <col min="10942" max="10942" width="4.5546875" style="77" customWidth="1"/>
    <col min="10943" max="10943" width="0.109375" style="77" customWidth="1"/>
    <col min="10944" max="10944" width="12.33203125" style="77" customWidth="1"/>
    <col min="10945" max="10945" width="10.5546875" style="77" customWidth="1"/>
    <col min="10946" max="10946" width="2.6640625" style="77" customWidth="1"/>
    <col min="10947" max="10947" width="2.33203125" style="77" customWidth="1"/>
    <col min="10948" max="10948" width="1.6640625" style="77" customWidth="1"/>
    <col min="10949" max="10949" width="21.109375" style="77" customWidth="1"/>
    <col min="10950" max="10951" width="0.109375" style="77" customWidth="1"/>
    <col min="10952" max="10952" width="11.88671875" style="77" customWidth="1"/>
    <col min="10953" max="10954" width="0.109375" style="77" customWidth="1"/>
    <col min="10955" max="10955" width="5" style="77" customWidth="1"/>
    <col min="10956" max="10956" width="0.5546875" style="77" customWidth="1"/>
    <col min="10957" max="10957" width="3.44140625" style="77" customWidth="1"/>
    <col min="10958" max="10958" width="0.88671875" style="77" customWidth="1"/>
    <col min="10959" max="10959" width="0.33203125" style="77" customWidth="1"/>
    <col min="10960" max="10961" width="0" style="77" hidden="1" customWidth="1"/>
    <col min="10962" max="11184" width="9.109375" style="77" customWidth="1"/>
    <col min="11185" max="11185" width="0" style="77" hidden="1" customWidth="1"/>
    <col min="11186" max="11186" width="1.6640625" style="77" customWidth="1"/>
    <col min="11187" max="11187" width="3.44140625" style="77" customWidth="1"/>
    <col min="11188" max="11188" width="2.33203125" style="77" customWidth="1"/>
    <col min="11189" max="11189" width="0.109375" style="77" customWidth="1"/>
    <col min="11190" max="11190" width="1.109375" style="77" customWidth="1"/>
    <col min="11191" max="11191" width="1.6640625" style="77" customWidth="1"/>
    <col min="11192" max="11192" width="2" style="77" customWidth="1"/>
    <col min="11193" max="11193" width="0.6640625" style="77" customWidth="1"/>
    <col min="11194" max="11194" width="0.33203125" style="77" customWidth="1"/>
    <col min="11195" max="11195" width="2.6640625" style="77" customWidth="1"/>
    <col min="11196" max="11196" width="0.5546875" style="77" customWidth="1"/>
    <col min="11197" max="11197" width="1.33203125" style="77" customWidth="1"/>
    <col min="11198" max="11198" width="4.5546875" style="77" customWidth="1"/>
    <col min="11199" max="11199" width="0.109375" style="77" customWidth="1"/>
    <col min="11200" max="11200" width="12.33203125" style="77" customWidth="1"/>
    <col min="11201" max="11201" width="10.5546875" style="77" customWidth="1"/>
    <col min="11202" max="11202" width="2.6640625" style="77" customWidth="1"/>
    <col min="11203" max="11203" width="2.33203125" style="77" customWidth="1"/>
    <col min="11204" max="11204" width="1.6640625" style="77" customWidth="1"/>
    <col min="11205" max="11205" width="21.109375" style="77" customWidth="1"/>
    <col min="11206" max="11207" width="0.109375" style="77" customWidth="1"/>
    <col min="11208" max="11208" width="11.88671875" style="77" customWidth="1"/>
    <col min="11209" max="11210" width="0.109375" style="77" customWidth="1"/>
    <col min="11211" max="11211" width="5" style="77" customWidth="1"/>
    <col min="11212" max="11212" width="0.5546875" style="77" customWidth="1"/>
    <col min="11213" max="11213" width="3.44140625" style="77" customWidth="1"/>
    <col min="11214" max="11214" width="0.88671875" style="77" customWidth="1"/>
    <col min="11215" max="11215" width="0.33203125" style="77" customWidth="1"/>
    <col min="11216" max="11217" width="0" style="77" hidden="1" customWidth="1"/>
    <col min="11218" max="11440" width="9.109375" style="77" customWidth="1"/>
    <col min="11441" max="11441" width="0" style="77" hidden="1" customWidth="1"/>
    <col min="11442" max="11442" width="1.6640625" style="77" customWidth="1"/>
    <col min="11443" max="11443" width="3.44140625" style="77" customWidth="1"/>
    <col min="11444" max="11444" width="2.33203125" style="77" customWidth="1"/>
    <col min="11445" max="11445" width="0.109375" style="77" customWidth="1"/>
    <col min="11446" max="11446" width="1.109375" style="77" customWidth="1"/>
    <col min="11447" max="11447" width="1.6640625" style="77" customWidth="1"/>
    <col min="11448" max="11448" width="2" style="77" customWidth="1"/>
    <col min="11449" max="11449" width="0.6640625" style="77" customWidth="1"/>
    <col min="11450" max="11450" width="0.33203125" style="77" customWidth="1"/>
    <col min="11451" max="11451" width="2.6640625" style="77" customWidth="1"/>
    <col min="11452" max="11452" width="0.5546875" style="77" customWidth="1"/>
    <col min="11453" max="11453" width="1.33203125" style="77" customWidth="1"/>
    <col min="11454" max="11454" width="4.5546875" style="77" customWidth="1"/>
    <col min="11455" max="11455" width="0.109375" style="77" customWidth="1"/>
    <col min="11456" max="11456" width="12.33203125" style="77" customWidth="1"/>
    <col min="11457" max="11457" width="10.5546875" style="77" customWidth="1"/>
    <col min="11458" max="11458" width="2.6640625" style="77" customWidth="1"/>
    <col min="11459" max="11459" width="2.33203125" style="77" customWidth="1"/>
    <col min="11460" max="11460" width="1.6640625" style="77" customWidth="1"/>
    <col min="11461" max="11461" width="21.109375" style="77" customWidth="1"/>
    <col min="11462" max="11463" width="0.109375" style="77" customWidth="1"/>
    <col min="11464" max="11464" width="11.88671875" style="77" customWidth="1"/>
    <col min="11465" max="11466" width="0.109375" style="77" customWidth="1"/>
    <col min="11467" max="11467" width="5" style="77" customWidth="1"/>
    <col min="11468" max="11468" width="0.5546875" style="77" customWidth="1"/>
    <col min="11469" max="11469" width="3.44140625" style="77" customWidth="1"/>
    <col min="11470" max="11470" width="0.88671875" style="77" customWidth="1"/>
    <col min="11471" max="11471" width="0.33203125" style="77" customWidth="1"/>
    <col min="11472" max="11473" width="0" style="77" hidden="1" customWidth="1"/>
    <col min="11474" max="11696" width="9.109375" style="77" customWidth="1"/>
    <col min="11697" max="11697" width="0" style="77" hidden="1" customWidth="1"/>
    <col min="11698" max="11698" width="1.6640625" style="77" customWidth="1"/>
    <col min="11699" max="11699" width="3.44140625" style="77" customWidth="1"/>
    <col min="11700" max="11700" width="2.33203125" style="77" customWidth="1"/>
    <col min="11701" max="11701" width="0.109375" style="77" customWidth="1"/>
    <col min="11702" max="11702" width="1.109375" style="77" customWidth="1"/>
    <col min="11703" max="11703" width="1.6640625" style="77" customWidth="1"/>
    <col min="11704" max="11704" width="2" style="77" customWidth="1"/>
    <col min="11705" max="11705" width="0.6640625" style="77" customWidth="1"/>
    <col min="11706" max="11706" width="0.33203125" style="77" customWidth="1"/>
    <col min="11707" max="11707" width="2.6640625" style="77" customWidth="1"/>
    <col min="11708" max="11708" width="0.5546875" style="77" customWidth="1"/>
    <col min="11709" max="11709" width="1.33203125" style="77" customWidth="1"/>
    <col min="11710" max="11710" width="4.5546875" style="77" customWidth="1"/>
    <col min="11711" max="11711" width="0.109375" style="77" customWidth="1"/>
    <col min="11712" max="11712" width="12.33203125" style="77" customWidth="1"/>
    <col min="11713" max="11713" width="10.5546875" style="77" customWidth="1"/>
    <col min="11714" max="11714" width="2.6640625" style="77" customWidth="1"/>
    <col min="11715" max="11715" width="2.33203125" style="77" customWidth="1"/>
    <col min="11716" max="11716" width="1.6640625" style="77" customWidth="1"/>
    <col min="11717" max="11717" width="21.109375" style="77" customWidth="1"/>
    <col min="11718" max="11719" width="0.109375" style="77" customWidth="1"/>
    <col min="11720" max="11720" width="11.88671875" style="77" customWidth="1"/>
    <col min="11721" max="11722" width="0.109375" style="77" customWidth="1"/>
    <col min="11723" max="11723" width="5" style="77" customWidth="1"/>
    <col min="11724" max="11724" width="0.5546875" style="77" customWidth="1"/>
    <col min="11725" max="11725" width="3.44140625" style="77" customWidth="1"/>
    <col min="11726" max="11726" width="0.88671875" style="77" customWidth="1"/>
    <col min="11727" max="11727" width="0.33203125" style="77" customWidth="1"/>
    <col min="11728" max="11729" width="0" style="77" hidden="1" customWidth="1"/>
    <col min="11730" max="11952" width="9.109375" style="77" customWidth="1"/>
    <col min="11953" max="11953" width="0" style="77" hidden="1" customWidth="1"/>
    <col min="11954" max="11954" width="1.6640625" style="77" customWidth="1"/>
    <col min="11955" max="11955" width="3.44140625" style="77" customWidth="1"/>
    <col min="11956" max="11956" width="2.33203125" style="77" customWidth="1"/>
    <col min="11957" max="11957" width="0.109375" style="77" customWidth="1"/>
    <col min="11958" max="11958" width="1.109375" style="77" customWidth="1"/>
    <col min="11959" max="11959" width="1.6640625" style="77" customWidth="1"/>
    <col min="11960" max="11960" width="2" style="77" customWidth="1"/>
    <col min="11961" max="11961" width="0.6640625" style="77" customWidth="1"/>
    <col min="11962" max="11962" width="0.33203125" style="77" customWidth="1"/>
    <col min="11963" max="11963" width="2.6640625" style="77" customWidth="1"/>
    <col min="11964" max="11964" width="0.5546875" style="77" customWidth="1"/>
    <col min="11965" max="11965" width="1.33203125" style="77" customWidth="1"/>
    <col min="11966" max="11966" width="4.5546875" style="77" customWidth="1"/>
    <col min="11967" max="11967" width="0.109375" style="77" customWidth="1"/>
    <col min="11968" max="11968" width="12.33203125" style="77" customWidth="1"/>
    <col min="11969" max="11969" width="10.5546875" style="77" customWidth="1"/>
    <col min="11970" max="11970" width="2.6640625" style="77" customWidth="1"/>
    <col min="11971" max="11971" width="2.33203125" style="77" customWidth="1"/>
    <col min="11972" max="11972" width="1.6640625" style="77" customWidth="1"/>
    <col min="11973" max="11973" width="21.109375" style="77" customWidth="1"/>
    <col min="11974" max="11975" width="0.109375" style="77" customWidth="1"/>
    <col min="11976" max="11976" width="11.88671875" style="77" customWidth="1"/>
    <col min="11977" max="11978" width="0.109375" style="77" customWidth="1"/>
    <col min="11979" max="11979" width="5" style="77" customWidth="1"/>
    <col min="11980" max="11980" width="0.5546875" style="77" customWidth="1"/>
    <col min="11981" max="11981" width="3.44140625" style="77" customWidth="1"/>
    <col min="11982" max="11982" width="0.88671875" style="77" customWidth="1"/>
    <col min="11983" max="11983" width="0.33203125" style="77" customWidth="1"/>
    <col min="11984" max="11985" width="0" style="77" hidden="1" customWidth="1"/>
    <col min="11986" max="12208" width="9.109375" style="77" customWidth="1"/>
    <col min="12209" max="12209" width="0" style="77" hidden="1" customWidth="1"/>
    <col min="12210" max="12210" width="1.6640625" style="77" customWidth="1"/>
    <col min="12211" max="12211" width="3.44140625" style="77" customWidth="1"/>
    <col min="12212" max="12212" width="2.33203125" style="77" customWidth="1"/>
    <col min="12213" max="12213" width="0.109375" style="77" customWidth="1"/>
    <col min="12214" max="12214" width="1.109375" style="77" customWidth="1"/>
    <col min="12215" max="12215" width="1.6640625" style="77" customWidth="1"/>
    <col min="12216" max="12216" width="2" style="77" customWidth="1"/>
    <col min="12217" max="12217" width="0.6640625" style="77" customWidth="1"/>
    <col min="12218" max="12218" width="0.33203125" style="77" customWidth="1"/>
    <col min="12219" max="12219" width="2.6640625" style="77" customWidth="1"/>
    <col min="12220" max="12220" width="0.5546875" style="77" customWidth="1"/>
    <col min="12221" max="12221" width="1.33203125" style="77" customWidth="1"/>
    <col min="12222" max="12222" width="4.5546875" style="77" customWidth="1"/>
    <col min="12223" max="12223" width="0.109375" style="77" customWidth="1"/>
    <col min="12224" max="12224" width="12.33203125" style="77" customWidth="1"/>
    <col min="12225" max="12225" width="10.5546875" style="77" customWidth="1"/>
    <col min="12226" max="12226" width="2.6640625" style="77" customWidth="1"/>
    <col min="12227" max="12227" width="2.33203125" style="77" customWidth="1"/>
    <col min="12228" max="12228" width="1.6640625" style="77" customWidth="1"/>
    <col min="12229" max="12229" width="21.109375" style="77" customWidth="1"/>
    <col min="12230" max="12231" width="0.109375" style="77" customWidth="1"/>
    <col min="12232" max="12232" width="11.88671875" style="77" customWidth="1"/>
    <col min="12233" max="12234" width="0.109375" style="77" customWidth="1"/>
    <col min="12235" max="12235" width="5" style="77" customWidth="1"/>
    <col min="12236" max="12236" width="0.5546875" style="77" customWidth="1"/>
    <col min="12237" max="12237" width="3.44140625" style="77" customWidth="1"/>
    <col min="12238" max="12238" width="0.88671875" style="77" customWidth="1"/>
    <col min="12239" max="12239" width="0.33203125" style="77" customWidth="1"/>
    <col min="12240" max="12241" width="0" style="77" hidden="1" customWidth="1"/>
    <col min="12242" max="12464" width="9.109375" style="77" customWidth="1"/>
    <col min="12465" max="12465" width="0" style="77" hidden="1" customWidth="1"/>
    <col min="12466" max="12466" width="1.6640625" style="77" customWidth="1"/>
    <col min="12467" max="12467" width="3.44140625" style="77" customWidth="1"/>
    <col min="12468" max="12468" width="2.33203125" style="77" customWidth="1"/>
    <col min="12469" max="12469" width="0.109375" style="77" customWidth="1"/>
    <col min="12470" max="12470" width="1.109375" style="77" customWidth="1"/>
    <col min="12471" max="12471" width="1.6640625" style="77" customWidth="1"/>
    <col min="12472" max="12472" width="2" style="77" customWidth="1"/>
    <col min="12473" max="12473" width="0.6640625" style="77" customWidth="1"/>
    <col min="12474" max="12474" width="0.33203125" style="77" customWidth="1"/>
    <col min="12475" max="12475" width="2.6640625" style="77" customWidth="1"/>
    <col min="12476" max="12476" width="0.5546875" style="77" customWidth="1"/>
    <col min="12477" max="12477" width="1.33203125" style="77" customWidth="1"/>
    <col min="12478" max="12478" width="4.5546875" style="77" customWidth="1"/>
    <col min="12479" max="12479" width="0.109375" style="77" customWidth="1"/>
    <col min="12480" max="12480" width="12.33203125" style="77" customWidth="1"/>
    <col min="12481" max="12481" width="10.5546875" style="77" customWidth="1"/>
    <col min="12482" max="12482" width="2.6640625" style="77" customWidth="1"/>
    <col min="12483" max="12483" width="2.33203125" style="77" customWidth="1"/>
    <col min="12484" max="12484" width="1.6640625" style="77" customWidth="1"/>
    <col min="12485" max="12485" width="21.109375" style="77" customWidth="1"/>
    <col min="12486" max="12487" width="0.109375" style="77" customWidth="1"/>
    <col min="12488" max="12488" width="11.88671875" style="77" customWidth="1"/>
    <col min="12489" max="12490" width="0.109375" style="77" customWidth="1"/>
    <col min="12491" max="12491" width="5" style="77" customWidth="1"/>
    <col min="12492" max="12492" width="0.5546875" style="77" customWidth="1"/>
    <col min="12493" max="12493" width="3.44140625" style="77" customWidth="1"/>
    <col min="12494" max="12494" width="0.88671875" style="77" customWidth="1"/>
    <col min="12495" max="12495" width="0.33203125" style="77" customWidth="1"/>
    <col min="12496" max="12497" width="0" style="77" hidden="1" customWidth="1"/>
    <col min="12498" max="12720" width="9.109375" style="77" customWidth="1"/>
    <col min="12721" max="12721" width="0" style="77" hidden="1" customWidth="1"/>
    <col min="12722" max="12722" width="1.6640625" style="77" customWidth="1"/>
    <col min="12723" max="12723" width="3.44140625" style="77" customWidth="1"/>
    <col min="12724" max="12724" width="2.33203125" style="77" customWidth="1"/>
    <col min="12725" max="12725" width="0.109375" style="77" customWidth="1"/>
    <col min="12726" max="12726" width="1.109375" style="77" customWidth="1"/>
    <col min="12727" max="12727" width="1.6640625" style="77" customWidth="1"/>
    <col min="12728" max="12728" width="2" style="77" customWidth="1"/>
    <col min="12729" max="12729" width="0.6640625" style="77" customWidth="1"/>
    <col min="12730" max="12730" width="0.33203125" style="77" customWidth="1"/>
    <col min="12731" max="12731" width="2.6640625" style="77" customWidth="1"/>
    <col min="12732" max="12732" width="0.5546875" style="77" customWidth="1"/>
    <col min="12733" max="12733" width="1.33203125" style="77" customWidth="1"/>
    <col min="12734" max="12734" width="4.5546875" style="77" customWidth="1"/>
    <col min="12735" max="12735" width="0.109375" style="77" customWidth="1"/>
    <col min="12736" max="12736" width="12.33203125" style="77" customWidth="1"/>
    <col min="12737" max="12737" width="10.5546875" style="77" customWidth="1"/>
    <col min="12738" max="12738" width="2.6640625" style="77" customWidth="1"/>
    <col min="12739" max="12739" width="2.33203125" style="77" customWidth="1"/>
    <col min="12740" max="12740" width="1.6640625" style="77" customWidth="1"/>
    <col min="12741" max="12741" width="21.109375" style="77" customWidth="1"/>
    <col min="12742" max="12743" width="0.109375" style="77" customWidth="1"/>
    <col min="12744" max="12744" width="11.88671875" style="77" customWidth="1"/>
    <col min="12745" max="12746" width="0.109375" style="77" customWidth="1"/>
    <col min="12747" max="12747" width="5" style="77" customWidth="1"/>
    <col min="12748" max="12748" width="0.5546875" style="77" customWidth="1"/>
    <col min="12749" max="12749" width="3.44140625" style="77" customWidth="1"/>
    <col min="12750" max="12750" width="0.88671875" style="77" customWidth="1"/>
    <col min="12751" max="12751" width="0.33203125" style="77" customWidth="1"/>
    <col min="12752" max="12753" width="0" style="77" hidden="1" customWidth="1"/>
    <col min="12754" max="12976" width="9.109375" style="77" customWidth="1"/>
    <col min="12977" max="12977" width="0" style="77" hidden="1" customWidth="1"/>
    <col min="12978" max="12978" width="1.6640625" style="77" customWidth="1"/>
    <col min="12979" max="12979" width="3.44140625" style="77" customWidth="1"/>
    <col min="12980" max="12980" width="2.33203125" style="77" customWidth="1"/>
    <col min="12981" max="12981" width="0.109375" style="77" customWidth="1"/>
    <col min="12982" max="12982" width="1.109375" style="77" customWidth="1"/>
    <col min="12983" max="12983" width="1.6640625" style="77" customWidth="1"/>
    <col min="12984" max="12984" width="2" style="77" customWidth="1"/>
    <col min="12985" max="12985" width="0.6640625" style="77" customWidth="1"/>
    <col min="12986" max="12986" width="0.33203125" style="77" customWidth="1"/>
    <col min="12987" max="12987" width="2.6640625" style="77" customWidth="1"/>
    <col min="12988" max="12988" width="0.5546875" style="77" customWidth="1"/>
    <col min="12989" max="12989" width="1.33203125" style="77" customWidth="1"/>
    <col min="12990" max="12990" width="4.5546875" style="77" customWidth="1"/>
    <col min="12991" max="12991" width="0.109375" style="77" customWidth="1"/>
    <col min="12992" max="12992" width="12.33203125" style="77" customWidth="1"/>
    <col min="12993" max="12993" width="10.5546875" style="77" customWidth="1"/>
    <col min="12994" max="12994" width="2.6640625" style="77" customWidth="1"/>
    <col min="12995" max="12995" width="2.33203125" style="77" customWidth="1"/>
    <col min="12996" max="12996" width="1.6640625" style="77" customWidth="1"/>
    <col min="12997" max="12997" width="21.109375" style="77" customWidth="1"/>
    <col min="12998" max="12999" width="0.109375" style="77" customWidth="1"/>
    <col min="13000" max="13000" width="11.88671875" style="77" customWidth="1"/>
    <col min="13001" max="13002" width="0.109375" style="77" customWidth="1"/>
    <col min="13003" max="13003" width="5" style="77" customWidth="1"/>
    <col min="13004" max="13004" width="0.5546875" style="77" customWidth="1"/>
    <col min="13005" max="13005" width="3.44140625" style="77" customWidth="1"/>
    <col min="13006" max="13006" width="0.88671875" style="77" customWidth="1"/>
    <col min="13007" max="13007" width="0.33203125" style="77" customWidth="1"/>
    <col min="13008" max="13009" width="0" style="77" hidden="1" customWidth="1"/>
    <col min="13010" max="13232" width="9.109375" style="77" customWidth="1"/>
    <col min="13233" max="13233" width="0" style="77" hidden="1" customWidth="1"/>
    <col min="13234" max="13234" width="1.6640625" style="77" customWidth="1"/>
    <col min="13235" max="13235" width="3.44140625" style="77" customWidth="1"/>
    <col min="13236" max="13236" width="2.33203125" style="77" customWidth="1"/>
    <col min="13237" max="13237" width="0.109375" style="77" customWidth="1"/>
    <col min="13238" max="13238" width="1.109375" style="77" customWidth="1"/>
    <col min="13239" max="13239" width="1.6640625" style="77" customWidth="1"/>
    <col min="13240" max="13240" width="2" style="77" customWidth="1"/>
    <col min="13241" max="13241" width="0.6640625" style="77" customWidth="1"/>
    <col min="13242" max="13242" width="0.33203125" style="77" customWidth="1"/>
    <col min="13243" max="13243" width="2.6640625" style="77" customWidth="1"/>
    <col min="13244" max="13244" width="0.5546875" style="77" customWidth="1"/>
    <col min="13245" max="13245" width="1.33203125" style="77" customWidth="1"/>
    <col min="13246" max="13246" width="4.5546875" style="77" customWidth="1"/>
    <col min="13247" max="13247" width="0.109375" style="77" customWidth="1"/>
    <col min="13248" max="13248" width="12.33203125" style="77" customWidth="1"/>
    <col min="13249" max="13249" width="10.5546875" style="77" customWidth="1"/>
    <col min="13250" max="13250" width="2.6640625" style="77" customWidth="1"/>
    <col min="13251" max="13251" width="2.33203125" style="77" customWidth="1"/>
    <col min="13252" max="13252" width="1.6640625" style="77" customWidth="1"/>
    <col min="13253" max="13253" width="21.109375" style="77" customWidth="1"/>
    <col min="13254" max="13255" width="0.109375" style="77" customWidth="1"/>
    <col min="13256" max="13256" width="11.88671875" style="77" customWidth="1"/>
    <col min="13257" max="13258" width="0.109375" style="77" customWidth="1"/>
    <col min="13259" max="13259" width="5" style="77" customWidth="1"/>
    <col min="13260" max="13260" width="0.5546875" style="77" customWidth="1"/>
    <col min="13261" max="13261" width="3.44140625" style="77" customWidth="1"/>
    <col min="13262" max="13262" width="0.88671875" style="77" customWidth="1"/>
    <col min="13263" max="13263" width="0.33203125" style="77" customWidth="1"/>
    <col min="13264" max="13265" width="0" style="77" hidden="1" customWidth="1"/>
    <col min="13266" max="13488" width="9.109375" style="77" customWidth="1"/>
    <col min="13489" max="13489" width="0" style="77" hidden="1" customWidth="1"/>
    <col min="13490" max="13490" width="1.6640625" style="77" customWidth="1"/>
    <col min="13491" max="13491" width="3.44140625" style="77" customWidth="1"/>
    <col min="13492" max="13492" width="2.33203125" style="77" customWidth="1"/>
    <col min="13493" max="13493" width="0.109375" style="77" customWidth="1"/>
    <col min="13494" max="13494" width="1.109375" style="77" customWidth="1"/>
    <col min="13495" max="13495" width="1.6640625" style="77" customWidth="1"/>
    <col min="13496" max="13496" width="2" style="77" customWidth="1"/>
    <col min="13497" max="13497" width="0.6640625" style="77" customWidth="1"/>
    <col min="13498" max="13498" width="0.33203125" style="77" customWidth="1"/>
    <col min="13499" max="13499" width="2.6640625" style="77" customWidth="1"/>
    <col min="13500" max="13500" width="0.5546875" style="77" customWidth="1"/>
    <col min="13501" max="13501" width="1.33203125" style="77" customWidth="1"/>
    <col min="13502" max="13502" width="4.5546875" style="77" customWidth="1"/>
    <col min="13503" max="13503" width="0.109375" style="77" customWidth="1"/>
    <col min="13504" max="13504" width="12.33203125" style="77" customWidth="1"/>
    <col min="13505" max="13505" width="10.5546875" style="77" customWidth="1"/>
    <col min="13506" max="13506" width="2.6640625" style="77" customWidth="1"/>
    <col min="13507" max="13507" width="2.33203125" style="77" customWidth="1"/>
    <col min="13508" max="13508" width="1.6640625" style="77" customWidth="1"/>
    <col min="13509" max="13509" width="21.109375" style="77" customWidth="1"/>
    <col min="13510" max="13511" width="0.109375" style="77" customWidth="1"/>
    <col min="13512" max="13512" width="11.88671875" style="77" customWidth="1"/>
    <col min="13513" max="13514" width="0.109375" style="77" customWidth="1"/>
    <col min="13515" max="13515" width="5" style="77" customWidth="1"/>
    <col min="13516" max="13516" width="0.5546875" style="77" customWidth="1"/>
    <col min="13517" max="13517" width="3.44140625" style="77" customWidth="1"/>
    <col min="13518" max="13518" width="0.88671875" style="77" customWidth="1"/>
    <col min="13519" max="13519" width="0.33203125" style="77" customWidth="1"/>
    <col min="13520" max="13521" width="0" style="77" hidden="1" customWidth="1"/>
    <col min="13522" max="13744" width="9.109375" style="77" customWidth="1"/>
    <col min="13745" max="13745" width="0" style="77" hidden="1" customWidth="1"/>
    <col min="13746" max="13746" width="1.6640625" style="77" customWidth="1"/>
    <col min="13747" max="13747" width="3.44140625" style="77" customWidth="1"/>
    <col min="13748" max="13748" width="2.33203125" style="77" customWidth="1"/>
    <col min="13749" max="13749" width="0.109375" style="77" customWidth="1"/>
    <col min="13750" max="13750" width="1.109375" style="77" customWidth="1"/>
    <col min="13751" max="13751" width="1.6640625" style="77" customWidth="1"/>
    <col min="13752" max="13752" width="2" style="77" customWidth="1"/>
    <col min="13753" max="13753" width="0.6640625" style="77" customWidth="1"/>
    <col min="13754" max="13754" width="0.33203125" style="77" customWidth="1"/>
    <col min="13755" max="13755" width="2.6640625" style="77" customWidth="1"/>
    <col min="13756" max="13756" width="0.5546875" style="77" customWidth="1"/>
    <col min="13757" max="13757" width="1.33203125" style="77" customWidth="1"/>
    <col min="13758" max="13758" width="4.5546875" style="77" customWidth="1"/>
    <col min="13759" max="13759" width="0.109375" style="77" customWidth="1"/>
    <col min="13760" max="13760" width="12.33203125" style="77" customWidth="1"/>
    <col min="13761" max="13761" width="10.5546875" style="77" customWidth="1"/>
    <col min="13762" max="13762" width="2.6640625" style="77" customWidth="1"/>
    <col min="13763" max="13763" width="2.33203125" style="77" customWidth="1"/>
    <col min="13764" max="13764" width="1.6640625" style="77" customWidth="1"/>
    <col min="13765" max="13765" width="21.109375" style="77" customWidth="1"/>
    <col min="13766" max="13767" width="0.109375" style="77" customWidth="1"/>
    <col min="13768" max="13768" width="11.88671875" style="77" customWidth="1"/>
    <col min="13769" max="13770" width="0.109375" style="77" customWidth="1"/>
    <col min="13771" max="13771" width="5" style="77" customWidth="1"/>
    <col min="13772" max="13772" width="0.5546875" style="77" customWidth="1"/>
    <col min="13773" max="13773" width="3.44140625" style="77" customWidth="1"/>
    <col min="13774" max="13774" width="0.88671875" style="77" customWidth="1"/>
    <col min="13775" max="13775" width="0.33203125" style="77" customWidth="1"/>
    <col min="13776" max="13777" width="0" style="77" hidden="1" customWidth="1"/>
    <col min="13778" max="14000" width="9.109375" style="77" customWidth="1"/>
    <col min="14001" max="14001" width="0" style="77" hidden="1" customWidth="1"/>
    <col min="14002" max="14002" width="1.6640625" style="77" customWidth="1"/>
    <col min="14003" max="14003" width="3.44140625" style="77" customWidth="1"/>
    <col min="14004" max="14004" width="2.33203125" style="77" customWidth="1"/>
    <col min="14005" max="14005" width="0.109375" style="77" customWidth="1"/>
    <col min="14006" max="14006" width="1.109375" style="77" customWidth="1"/>
    <col min="14007" max="14007" width="1.6640625" style="77" customWidth="1"/>
    <col min="14008" max="14008" width="2" style="77" customWidth="1"/>
    <col min="14009" max="14009" width="0.6640625" style="77" customWidth="1"/>
    <col min="14010" max="14010" width="0.33203125" style="77" customWidth="1"/>
    <col min="14011" max="14011" width="2.6640625" style="77" customWidth="1"/>
    <col min="14012" max="14012" width="0.5546875" style="77" customWidth="1"/>
    <col min="14013" max="14013" width="1.33203125" style="77" customWidth="1"/>
    <col min="14014" max="14014" width="4.5546875" style="77" customWidth="1"/>
    <col min="14015" max="14015" width="0.109375" style="77" customWidth="1"/>
    <col min="14016" max="14016" width="12.33203125" style="77" customWidth="1"/>
    <col min="14017" max="14017" width="10.5546875" style="77" customWidth="1"/>
    <col min="14018" max="14018" width="2.6640625" style="77" customWidth="1"/>
    <col min="14019" max="14019" width="2.33203125" style="77" customWidth="1"/>
    <col min="14020" max="14020" width="1.6640625" style="77" customWidth="1"/>
    <col min="14021" max="14021" width="21.109375" style="77" customWidth="1"/>
    <col min="14022" max="14023" width="0.109375" style="77" customWidth="1"/>
    <col min="14024" max="14024" width="11.88671875" style="77" customWidth="1"/>
    <col min="14025" max="14026" width="0.109375" style="77" customWidth="1"/>
    <col min="14027" max="14027" width="5" style="77" customWidth="1"/>
    <col min="14028" max="14028" width="0.5546875" style="77" customWidth="1"/>
    <col min="14029" max="14029" width="3.44140625" style="77" customWidth="1"/>
    <col min="14030" max="14030" width="0.88671875" style="77" customWidth="1"/>
    <col min="14031" max="14031" width="0.33203125" style="77" customWidth="1"/>
    <col min="14032" max="14033" width="0" style="77" hidden="1" customWidth="1"/>
    <col min="14034" max="14256" width="9.109375" style="77" customWidth="1"/>
    <col min="14257" max="14257" width="0" style="77" hidden="1" customWidth="1"/>
    <col min="14258" max="14258" width="1.6640625" style="77" customWidth="1"/>
    <col min="14259" max="14259" width="3.44140625" style="77" customWidth="1"/>
    <col min="14260" max="14260" width="2.33203125" style="77" customWidth="1"/>
    <col min="14261" max="14261" width="0.109375" style="77" customWidth="1"/>
    <col min="14262" max="14262" width="1.109375" style="77" customWidth="1"/>
    <col min="14263" max="14263" width="1.6640625" style="77" customWidth="1"/>
    <col min="14264" max="14264" width="2" style="77" customWidth="1"/>
    <col min="14265" max="14265" width="0.6640625" style="77" customWidth="1"/>
    <col min="14266" max="14266" width="0.33203125" style="77" customWidth="1"/>
    <col min="14267" max="14267" width="2.6640625" style="77" customWidth="1"/>
    <col min="14268" max="14268" width="0.5546875" style="77" customWidth="1"/>
    <col min="14269" max="14269" width="1.33203125" style="77" customWidth="1"/>
    <col min="14270" max="14270" width="4.5546875" style="77" customWidth="1"/>
    <col min="14271" max="14271" width="0.109375" style="77" customWidth="1"/>
    <col min="14272" max="14272" width="12.33203125" style="77" customWidth="1"/>
    <col min="14273" max="14273" width="10.5546875" style="77" customWidth="1"/>
    <col min="14274" max="14274" width="2.6640625" style="77" customWidth="1"/>
    <col min="14275" max="14275" width="2.33203125" style="77" customWidth="1"/>
    <col min="14276" max="14276" width="1.6640625" style="77" customWidth="1"/>
    <col min="14277" max="14277" width="21.109375" style="77" customWidth="1"/>
    <col min="14278" max="14279" width="0.109375" style="77" customWidth="1"/>
    <col min="14280" max="14280" width="11.88671875" style="77" customWidth="1"/>
    <col min="14281" max="14282" width="0.109375" style="77" customWidth="1"/>
    <col min="14283" max="14283" width="5" style="77" customWidth="1"/>
    <col min="14284" max="14284" width="0.5546875" style="77" customWidth="1"/>
    <col min="14285" max="14285" width="3.44140625" style="77" customWidth="1"/>
    <col min="14286" max="14286" width="0.88671875" style="77" customWidth="1"/>
    <col min="14287" max="14287" width="0.33203125" style="77" customWidth="1"/>
    <col min="14288" max="14289" width="0" style="77" hidden="1" customWidth="1"/>
    <col min="14290" max="14512" width="9.109375" style="77" customWidth="1"/>
    <col min="14513" max="14513" width="0" style="77" hidden="1" customWidth="1"/>
    <col min="14514" max="14514" width="1.6640625" style="77" customWidth="1"/>
    <col min="14515" max="14515" width="3.44140625" style="77" customWidth="1"/>
    <col min="14516" max="14516" width="2.33203125" style="77" customWidth="1"/>
    <col min="14517" max="14517" width="0.109375" style="77" customWidth="1"/>
    <col min="14518" max="14518" width="1.109375" style="77" customWidth="1"/>
    <col min="14519" max="14519" width="1.6640625" style="77" customWidth="1"/>
    <col min="14520" max="14520" width="2" style="77" customWidth="1"/>
    <col min="14521" max="14521" width="0.6640625" style="77" customWidth="1"/>
    <col min="14522" max="14522" width="0.33203125" style="77" customWidth="1"/>
    <col min="14523" max="14523" width="2.6640625" style="77" customWidth="1"/>
    <col min="14524" max="14524" width="0.5546875" style="77" customWidth="1"/>
    <col min="14525" max="14525" width="1.33203125" style="77" customWidth="1"/>
    <col min="14526" max="14526" width="4.5546875" style="77" customWidth="1"/>
    <col min="14527" max="14527" width="0.109375" style="77" customWidth="1"/>
    <col min="14528" max="14528" width="12.33203125" style="77" customWidth="1"/>
    <col min="14529" max="14529" width="10.5546875" style="77" customWidth="1"/>
    <col min="14530" max="14530" width="2.6640625" style="77" customWidth="1"/>
    <col min="14531" max="14531" width="2.33203125" style="77" customWidth="1"/>
    <col min="14532" max="14532" width="1.6640625" style="77" customWidth="1"/>
    <col min="14533" max="14533" width="21.109375" style="77" customWidth="1"/>
    <col min="14534" max="14535" width="0.109375" style="77" customWidth="1"/>
    <col min="14536" max="14536" width="11.88671875" style="77" customWidth="1"/>
    <col min="14537" max="14538" width="0.109375" style="77" customWidth="1"/>
    <col min="14539" max="14539" width="5" style="77" customWidth="1"/>
    <col min="14540" max="14540" width="0.5546875" style="77" customWidth="1"/>
    <col min="14541" max="14541" width="3.44140625" style="77" customWidth="1"/>
    <col min="14542" max="14542" width="0.88671875" style="77" customWidth="1"/>
    <col min="14543" max="14543" width="0.33203125" style="77" customWidth="1"/>
    <col min="14544" max="14545" width="0" style="77" hidden="1" customWidth="1"/>
    <col min="14546" max="14768" width="9.109375" style="77" customWidth="1"/>
    <col min="14769" max="14769" width="0" style="77" hidden="1" customWidth="1"/>
    <col min="14770" max="14770" width="1.6640625" style="77" customWidth="1"/>
    <col min="14771" max="14771" width="3.44140625" style="77" customWidth="1"/>
    <col min="14772" max="14772" width="2.33203125" style="77" customWidth="1"/>
    <col min="14773" max="14773" width="0.109375" style="77" customWidth="1"/>
    <col min="14774" max="14774" width="1.109375" style="77" customWidth="1"/>
    <col min="14775" max="14775" width="1.6640625" style="77" customWidth="1"/>
    <col min="14776" max="14776" width="2" style="77" customWidth="1"/>
    <col min="14777" max="14777" width="0.6640625" style="77" customWidth="1"/>
    <col min="14778" max="14778" width="0.33203125" style="77" customWidth="1"/>
    <col min="14779" max="14779" width="2.6640625" style="77" customWidth="1"/>
    <col min="14780" max="14780" width="0.5546875" style="77" customWidth="1"/>
    <col min="14781" max="14781" width="1.33203125" style="77" customWidth="1"/>
    <col min="14782" max="14782" width="4.5546875" style="77" customWidth="1"/>
    <col min="14783" max="14783" width="0.109375" style="77" customWidth="1"/>
    <col min="14784" max="14784" width="12.33203125" style="77" customWidth="1"/>
    <col min="14785" max="14785" width="10.5546875" style="77" customWidth="1"/>
    <col min="14786" max="14786" width="2.6640625" style="77" customWidth="1"/>
    <col min="14787" max="14787" width="2.33203125" style="77" customWidth="1"/>
    <col min="14788" max="14788" width="1.6640625" style="77" customWidth="1"/>
    <col min="14789" max="14789" width="21.109375" style="77" customWidth="1"/>
    <col min="14790" max="14791" width="0.109375" style="77" customWidth="1"/>
    <col min="14792" max="14792" width="11.88671875" style="77" customWidth="1"/>
    <col min="14793" max="14794" width="0.109375" style="77" customWidth="1"/>
    <col min="14795" max="14795" width="5" style="77" customWidth="1"/>
    <col min="14796" max="14796" width="0.5546875" style="77" customWidth="1"/>
    <col min="14797" max="14797" width="3.44140625" style="77" customWidth="1"/>
    <col min="14798" max="14798" width="0.88671875" style="77" customWidth="1"/>
    <col min="14799" max="14799" width="0.33203125" style="77" customWidth="1"/>
    <col min="14800" max="14801" width="0" style="77" hidden="1" customWidth="1"/>
    <col min="14802" max="15024" width="9.109375" style="77" customWidth="1"/>
    <col min="15025" max="15025" width="0" style="77" hidden="1" customWidth="1"/>
    <col min="15026" max="15026" width="1.6640625" style="77" customWidth="1"/>
    <col min="15027" max="15027" width="3.44140625" style="77" customWidth="1"/>
    <col min="15028" max="15028" width="2.33203125" style="77" customWidth="1"/>
    <col min="15029" max="15029" width="0.109375" style="77" customWidth="1"/>
    <col min="15030" max="15030" width="1.109375" style="77" customWidth="1"/>
    <col min="15031" max="15031" width="1.6640625" style="77" customWidth="1"/>
    <col min="15032" max="15032" width="2" style="77" customWidth="1"/>
    <col min="15033" max="15033" width="0.6640625" style="77" customWidth="1"/>
    <col min="15034" max="15034" width="0.33203125" style="77" customWidth="1"/>
    <col min="15035" max="15035" width="2.6640625" style="77" customWidth="1"/>
    <col min="15036" max="15036" width="0.5546875" style="77" customWidth="1"/>
    <col min="15037" max="15037" width="1.33203125" style="77" customWidth="1"/>
    <col min="15038" max="15038" width="4.5546875" style="77" customWidth="1"/>
    <col min="15039" max="15039" width="0.109375" style="77" customWidth="1"/>
    <col min="15040" max="15040" width="12.33203125" style="77" customWidth="1"/>
    <col min="15041" max="15041" width="10.5546875" style="77" customWidth="1"/>
    <col min="15042" max="15042" width="2.6640625" style="77" customWidth="1"/>
    <col min="15043" max="15043" width="2.33203125" style="77" customWidth="1"/>
    <col min="15044" max="15044" width="1.6640625" style="77" customWidth="1"/>
    <col min="15045" max="15045" width="21.109375" style="77" customWidth="1"/>
    <col min="15046" max="15047" width="0.109375" style="77" customWidth="1"/>
    <col min="15048" max="15048" width="11.88671875" style="77" customWidth="1"/>
    <col min="15049" max="15050" width="0.109375" style="77" customWidth="1"/>
    <col min="15051" max="15051" width="5" style="77" customWidth="1"/>
    <col min="15052" max="15052" width="0.5546875" style="77" customWidth="1"/>
    <col min="15053" max="15053" width="3.44140625" style="77" customWidth="1"/>
    <col min="15054" max="15054" width="0.88671875" style="77" customWidth="1"/>
    <col min="15055" max="15055" width="0.33203125" style="77" customWidth="1"/>
    <col min="15056" max="15057" width="0" style="77" hidden="1" customWidth="1"/>
    <col min="15058" max="15280" width="9.109375" style="77" customWidth="1"/>
    <col min="15281" max="15281" width="0" style="77" hidden="1" customWidth="1"/>
    <col min="15282" max="15282" width="1.6640625" style="77" customWidth="1"/>
    <col min="15283" max="15283" width="3.44140625" style="77" customWidth="1"/>
    <col min="15284" max="15284" width="2.33203125" style="77" customWidth="1"/>
    <col min="15285" max="15285" width="0.109375" style="77" customWidth="1"/>
    <col min="15286" max="15286" width="1.109375" style="77" customWidth="1"/>
    <col min="15287" max="15287" width="1.6640625" style="77" customWidth="1"/>
    <col min="15288" max="15288" width="2" style="77" customWidth="1"/>
    <col min="15289" max="15289" width="0.6640625" style="77" customWidth="1"/>
    <col min="15290" max="15290" width="0.33203125" style="77" customWidth="1"/>
    <col min="15291" max="15291" width="2.6640625" style="77" customWidth="1"/>
    <col min="15292" max="15292" width="0.5546875" style="77" customWidth="1"/>
    <col min="15293" max="15293" width="1.33203125" style="77" customWidth="1"/>
    <col min="15294" max="15294" width="4.5546875" style="77" customWidth="1"/>
    <col min="15295" max="15295" width="0.109375" style="77" customWidth="1"/>
    <col min="15296" max="15296" width="12.33203125" style="77" customWidth="1"/>
    <col min="15297" max="15297" width="10.5546875" style="77" customWidth="1"/>
    <col min="15298" max="15298" width="2.6640625" style="77" customWidth="1"/>
    <col min="15299" max="15299" width="2.33203125" style="77" customWidth="1"/>
    <col min="15300" max="15300" width="1.6640625" style="77" customWidth="1"/>
    <col min="15301" max="15301" width="21.109375" style="77" customWidth="1"/>
    <col min="15302" max="15303" width="0.109375" style="77" customWidth="1"/>
    <col min="15304" max="15304" width="11.88671875" style="77" customWidth="1"/>
    <col min="15305" max="15306" width="0.109375" style="77" customWidth="1"/>
    <col min="15307" max="15307" width="5" style="77" customWidth="1"/>
    <col min="15308" max="15308" width="0.5546875" style="77" customWidth="1"/>
    <col min="15309" max="15309" width="3.44140625" style="77" customWidth="1"/>
    <col min="15310" max="15310" width="0.88671875" style="77" customWidth="1"/>
    <col min="15311" max="15311" width="0.33203125" style="77" customWidth="1"/>
    <col min="15312" max="15313" width="0" style="77" hidden="1" customWidth="1"/>
    <col min="15314" max="15536" width="9.109375" style="77" customWidth="1"/>
    <col min="15537" max="15537" width="0" style="77" hidden="1" customWidth="1"/>
    <col min="15538" max="15538" width="1.6640625" style="77" customWidth="1"/>
    <col min="15539" max="15539" width="3.44140625" style="77" customWidth="1"/>
    <col min="15540" max="15540" width="2.33203125" style="77" customWidth="1"/>
    <col min="15541" max="15541" width="0.109375" style="77" customWidth="1"/>
    <col min="15542" max="15542" width="1.109375" style="77" customWidth="1"/>
    <col min="15543" max="15543" width="1.6640625" style="77" customWidth="1"/>
    <col min="15544" max="15544" width="2" style="77" customWidth="1"/>
    <col min="15545" max="15545" width="0.6640625" style="77" customWidth="1"/>
    <col min="15546" max="15546" width="0.33203125" style="77" customWidth="1"/>
    <col min="15547" max="15547" width="2.6640625" style="77" customWidth="1"/>
    <col min="15548" max="15548" width="0.5546875" style="77" customWidth="1"/>
    <col min="15549" max="15549" width="1.33203125" style="77" customWidth="1"/>
    <col min="15550" max="15550" width="4.5546875" style="77" customWidth="1"/>
    <col min="15551" max="15551" width="0.109375" style="77" customWidth="1"/>
    <col min="15552" max="15552" width="12.33203125" style="77" customWidth="1"/>
    <col min="15553" max="15553" width="10.5546875" style="77" customWidth="1"/>
    <col min="15554" max="15554" width="2.6640625" style="77" customWidth="1"/>
    <col min="15555" max="15555" width="2.33203125" style="77" customWidth="1"/>
    <col min="15556" max="15556" width="1.6640625" style="77" customWidth="1"/>
    <col min="15557" max="15557" width="21.109375" style="77" customWidth="1"/>
    <col min="15558" max="15559" width="0.109375" style="77" customWidth="1"/>
    <col min="15560" max="15560" width="11.88671875" style="77" customWidth="1"/>
    <col min="15561" max="15562" width="0.109375" style="77" customWidth="1"/>
    <col min="15563" max="15563" width="5" style="77" customWidth="1"/>
    <col min="15564" max="15564" width="0.5546875" style="77" customWidth="1"/>
    <col min="15565" max="15565" width="3.44140625" style="77" customWidth="1"/>
    <col min="15566" max="15566" width="0.88671875" style="77" customWidth="1"/>
    <col min="15567" max="15567" width="0.33203125" style="77" customWidth="1"/>
    <col min="15568" max="15569" width="0" style="77" hidden="1" customWidth="1"/>
    <col min="15570" max="15792" width="9.109375" style="77" customWidth="1"/>
    <col min="15793" max="15793" width="0" style="77" hidden="1" customWidth="1"/>
    <col min="15794" max="15794" width="1.6640625" style="77" customWidth="1"/>
    <col min="15795" max="15795" width="3.44140625" style="77" customWidth="1"/>
    <col min="15796" max="15796" width="2.33203125" style="77" customWidth="1"/>
    <col min="15797" max="15797" width="0.109375" style="77" customWidth="1"/>
    <col min="15798" max="15798" width="1.109375" style="77" customWidth="1"/>
    <col min="15799" max="15799" width="1.6640625" style="77" customWidth="1"/>
    <col min="15800" max="15800" width="2" style="77" customWidth="1"/>
    <col min="15801" max="15801" width="0.6640625" style="77" customWidth="1"/>
    <col min="15802" max="15802" width="0.33203125" style="77" customWidth="1"/>
    <col min="15803" max="15803" width="2.6640625" style="77" customWidth="1"/>
    <col min="15804" max="15804" width="0.5546875" style="77" customWidth="1"/>
    <col min="15805" max="15805" width="1.33203125" style="77" customWidth="1"/>
    <col min="15806" max="15806" width="4.5546875" style="77" customWidth="1"/>
    <col min="15807" max="15807" width="0.109375" style="77" customWidth="1"/>
    <col min="15808" max="15808" width="12.33203125" style="77" customWidth="1"/>
    <col min="15809" max="15809" width="10.5546875" style="77" customWidth="1"/>
    <col min="15810" max="15810" width="2.6640625" style="77" customWidth="1"/>
    <col min="15811" max="15811" width="2.33203125" style="77" customWidth="1"/>
    <col min="15812" max="15812" width="1.6640625" style="77" customWidth="1"/>
    <col min="15813" max="15813" width="21.109375" style="77" customWidth="1"/>
    <col min="15814" max="15815" width="0.109375" style="77" customWidth="1"/>
    <col min="15816" max="15816" width="11.88671875" style="77" customWidth="1"/>
    <col min="15817" max="15818" width="0.109375" style="77" customWidth="1"/>
    <col min="15819" max="15819" width="5" style="77" customWidth="1"/>
    <col min="15820" max="15820" width="0.5546875" style="77" customWidth="1"/>
    <col min="15821" max="15821" width="3.44140625" style="77" customWidth="1"/>
    <col min="15822" max="15822" width="0.88671875" style="77" customWidth="1"/>
    <col min="15823" max="15823" width="0.33203125" style="77" customWidth="1"/>
    <col min="15824" max="15825" width="0" style="77" hidden="1" customWidth="1"/>
    <col min="15826" max="16048" width="9.109375" style="77" customWidth="1"/>
    <col min="16049" max="16049" width="0" style="77" hidden="1" customWidth="1"/>
    <col min="16050" max="16050" width="1.6640625" style="77" customWidth="1"/>
    <col min="16051" max="16051" width="3.44140625" style="77" customWidth="1"/>
    <col min="16052" max="16052" width="2.33203125" style="77" customWidth="1"/>
    <col min="16053" max="16053" width="0.109375" style="77" customWidth="1"/>
    <col min="16054" max="16054" width="1.109375" style="77" customWidth="1"/>
    <col min="16055" max="16055" width="1.6640625" style="77" customWidth="1"/>
    <col min="16056" max="16056" width="2" style="77" customWidth="1"/>
    <col min="16057" max="16057" width="0.6640625" style="77" customWidth="1"/>
    <col min="16058" max="16058" width="0.33203125" style="77" customWidth="1"/>
    <col min="16059" max="16059" width="2.6640625" style="77" customWidth="1"/>
    <col min="16060" max="16060" width="0.5546875" style="77" customWidth="1"/>
    <col min="16061" max="16061" width="1.33203125" style="77" customWidth="1"/>
    <col min="16062" max="16062" width="4.5546875" style="77" customWidth="1"/>
    <col min="16063" max="16063" width="0.109375" style="77" customWidth="1"/>
    <col min="16064" max="16064" width="12.33203125" style="77" customWidth="1"/>
    <col min="16065" max="16065" width="10.5546875" style="77" customWidth="1"/>
    <col min="16066" max="16066" width="2.6640625" style="77" customWidth="1"/>
    <col min="16067" max="16067" width="2.33203125" style="77" customWidth="1"/>
    <col min="16068" max="16068" width="1.6640625" style="77" customWidth="1"/>
    <col min="16069" max="16069" width="21.109375" style="77" customWidth="1"/>
    <col min="16070" max="16071" width="0.109375" style="77" customWidth="1"/>
    <col min="16072" max="16072" width="11.88671875" style="77" customWidth="1"/>
    <col min="16073" max="16074" width="0.109375" style="77" customWidth="1"/>
    <col min="16075" max="16075" width="5" style="77" customWidth="1"/>
    <col min="16076" max="16076" width="0.5546875" style="77" customWidth="1"/>
    <col min="16077" max="16077" width="3.44140625" style="77" customWidth="1"/>
    <col min="16078" max="16078" width="0.88671875" style="77" customWidth="1"/>
    <col min="16079" max="16079" width="0.33203125" style="77" customWidth="1"/>
    <col min="16080" max="16081" width="0" style="77" hidden="1" customWidth="1"/>
    <col min="16082" max="16384" width="9.109375" style="77" customWidth="1"/>
  </cols>
  <sheetData>
    <row r="3" spans="2:10" ht="15" customHeight="1">
      <c r="C3" s="925" t="s">
        <v>259</v>
      </c>
      <c r="D3" s="925"/>
      <c r="E3" s="925"/>
      <c r="F3" s="925"/>
    </row>
    <row r="4" spans="2:10" ht="13.95" customHeight="1">
      <c r="C4" s="926" t="s">
        <v>460</v>
      </c>
      <c r="D4" s="926"/>
      <c r="E4" s="926"/>
      <c r="F4" s="926"/>
    </row>
    <row r="5" spans="2:10" ht="13.95" customHeight="1">
      <c r="C5" s="926"/>
      <c r="D5" s="926"/>
      <c r="E5" s="926"/>
      <c r="F5" s="926"/>
    </row>
    <row r="6" spans="2:10" ht="13.8" thickBot="1">
      <c r="C6" s="381"/>
      <c r="D6" s="381"/>
      <c r="E6" s="382"/>
      <c r="F6" s="643"/>
      <c r="H6" s="173"/>
    </row>
    <row r="7" spans="2:10" ht="13.8" thickBot="1">
      <c r="B7" s="174" t="s">
        <v>124</v>
      </c>
      <c r="C7" s="651" t="s">
        <v>84</v>
      </c>
      <c r="D7" s="387" t="s">
        <v>130</v>
      </c>
      <c r="E7" s="387" t="s">
        <v>133</v>
      </c>
      <c r="F7" s="644" t="s">
        <v>87</v>
      </c>
      <c r="H7" s="173"/>
    </row>
    <row r="8" spans="2:10" ht="15.6" customHeight="1">
      <c r="B8" s="691">
        <v>1</v>
      </c>
      <c r="C8" s="652" t="s">
        <v>372</v>
      </c>
      <c r="D8" s="383" t="s">
        <v>62</v>
      </c>
      <c r="E8" s="384">
        <v>15496427</v>
      </c>
      <c r="F8" s="653">
        <v>13.21</v>
      </c>
      <c r="H8" s="173"/>
    </row>
    <row r="9" spans="2:10" s="228" customFormat="1" ht="14.4">
      <c r="B9" s="386">
        <v>2</v>
      </c>
      <c r="C9" s="654" t="s">
        <v>372</v>
      </c>
      <c r="D9" s="377" t="s">
        <v>62</v>
      </c>
      <c r="E9" s="378">
        <v>17091341</v>
      </c>
      <c r="F9" s="645">
        <v>25.89</v>
      </c>
      <c r="H9" s="227"/>
    </row>
    <row r="10" spans="2:10" s="228" customFormat="1" ht="14.4">
      <c r="B10" s="386">
        <v>3</v>
      </c>
      <c r="C10" s="654" t="s">
        <v>372</v>
      </c>
      <c r="D10" s="377" t="s">
        <v>62</v>
      </c>
      <c r="E10" s="378">
        <v>18698061</v>
      </c>
      <c r="F10" s="645">
        <v>59.39</v>
      </c>
      <c r="H10" s="227"/>
      <c r="I10" s="568" t="s">
        <v>223</v>
      </c>
      <c r="J10" t="s">
        <v>340</v>
      </c>
    </row>
    <row r="11" spans="2:10" s="228" customFormat="1" ht="13.2" customHeight="1">
      <c r="B11" s="385">
        <v>4</v>
      </c>
      <c r="C11" s="654" t="s">
        <v>372</v>
      </c>
      <c r="D11" s="377" t="s">
        <v>62</v>
      </c>
      <c r="E11" s="378">
        <v>13715336</v>
      </c>
      <c r="F11" s="645">
        <v>11.53</v>
      </c>
      <c r="H11" s="227"/>
      <c r="I11" s="78" t="s">
        <v>416</v>
      </c>
      <c r="J11">
        <v>261.63</v>
      </c>
    </row>
    <row r="12" spans="2:10" s="228" customFormat="1" ht="16.2" customHeight="1">
      <c r="B12" s="386">
        <v>5</v>
      </c>
      <c r="C12" s="654" t="s">
        <v>372</v>
      </c>
      <c r="D12" s="377" t="s">
        <v>62</v>
      </c>
      <c r="E12" s="378">
        <v>14750228</v>
      </c>
      <c r="F12" s="645">
        <v>19.829999999999998</v>
      </c>
      <c r="H12" s="227"/>
      <c r="I12" s="78" t="s">
        <v>62</v>
      </c>
      <c r="J12">
        <v>87.66</v>
      </c>
    </row>
    <row r="13" spans="2:10" s="228" customFormat="1" ht="14.4">
      <c r="B13" s="386">
        <v>6</v>
      </c>
      <c r="C13" s="654" t="s">
        <v>372</v>
      </c>
      <c r="D13" s="377" t="s">
        <v>62</v>
      </c>
      <c r="E13" s="378">
        <v>16294333</v>
      </c>
      <c r="F13" s="645">
        <v>16.690000000000001</v>
      </c>
      <c r="H13" s="227"/>
      <c r="I13" s="78" t="s">
        <v>65</v>
      </c>
      <c r="J13">
        <v>20.96</v>
      </c>
    </row>
    <row r="14" spans="2:10" s="228" customFormat="1" ht="14.4">
      <c r="B14" s="386">
        <v>7</v>
      </c>
      <c r="C14" s="654" t="s">
        <v>373</v>
      </c>
      <c r="D14" s="377" t="s">
        <v>65</v>
      </c>
      <c r="E14" s="378">
        <v>16038686</v>
      </c>
      <c r="F14" s="645">
        <v>20.96</v>
      </c>
      <c r="I14" s="78" t="s">
        <v>68</v>
      </c>
      <c r="J14">
        <v>36.130000000000003</v>
      </c>
    </row>
    <row r="15" spans="2:10" s="228" customFormat="1" ht="14.4">
      <c r="B15" s="385">
        <v>8</v>
      </c>
      <c r="C15" s="654" t="s">
        <v>374</v>
      </c>
      <c r="D15" s="377" t="s">
        <v>66</v>
      </c>
      <c r="E15" s="378">
        <v>18644981</v>
      </c>
      <c r="F15" s="645">
        <v>15.48</v>
      </c>
      <c r="I15" s="78" t="s">
        <v>66</v>
      </c>
      <c r="J15">
        <v>27.17</v>
      </c>
    </row>
    <row r="16" spans="2:10" s="228" customFormat="1" ht="14.4">
      <c r="B16" s="386">
        <v>9</v>
      </c>
      <c r="C16" s="654" t="s">
        <v>374</v>
      </c>
      <c r="D16" s="377" t="s">
        <v>66</v>
      </c>
      <c r="E16" s="378">
        <v>17678636</v>
      </c>
      <c r="F16" s="645">
        <v>11.69</v>
      </c>
      <c r="I16" s="78" t="s">
        <v>309</v>
      </c>
      <c r="J16">
        <v>35.22</v>
      </c>
    </row>
    <row r="17" spans="2:10" s="228" customFormat="1" ht="14.4">
      <c r="B17" s="386">
        <v>10</v>
      </c>
      <c r="C17" s="654" t="s">
        <v>275</v>
      </c>
      <c r="D17" s="377" t="s">
        <v>274</v>
      </c>
      <c r="E17" s="378">
        <v>18861527</v>
      </c>
      <c r="F17" s="645">
        <v>58.15</v>
      </c>
      <c r="I17" s="78" t="s">
        <v>244</v>
      </c>
      <c r="J17">
        <v>161.05000000000001</v>
      </c>
    </row>
    <row r="18" spans="2:10" s="228" customFormat="1" ht="14.4">
      <c r="B18" s="386">
        <v>11</v>
      </c>
      <c r="C18" s="654" t="s">
        <v>326</v>
      </c>
      <c r="D18" s="377" t="s">
        <v>309</v>
      </c>
      <c r="E18" s="378">
        <v>17447992</v>
      </c>
      <c r="F18" s="645">
        <v>34.979999999999997</v>
      </c>
      <c r="I18" s="78" t="s">
        <v>26</v>
      </c>
      <c r="J18">
        <v>80.94</v>
      </c>
    </row>
    <row r="19" spans="2:10" s="228" customFormat="1" ht="14.4">
      <c r="B19" s="385">
        <v>12</v>
      </c>
      <c r="C19" s="654" t="s">
        <v>426</v>
      </c>
      <c r="D19" s="377" t="s">
        <v>26</v>
      </c>
      <c r="E19" s="378">
        <v>18546441</v>
      </c>
      <c r="F19" s="645">
        <v>80.94</v>
      </c>
      <c r="I19" s="78" t="s">
        <v>55</v>
      </c>
      <c r="J19">
        <v>71.05</v>
      </c>
    </row>
    <row r="20" spans="2:10" s="228" customFormat="1" ht="14.4">
      <c r="B20" s="386">
        <v>13</v>
      </c>
      <c r="C20" s="654" t="s">
        <v>375</v>
      </c>
      <c r="D20" s="377" t="s">
        <v>55</v>
      </c>
      <c r="E20" s="378">
        <v>18902486</v>
      </c>
      <c r="F20" s="645">
        <v>37.159999999999997</v>
      </c>
      <c r="I20" s="78" t="s">
        <v>39</v>
      </c>
      <c r="J20">
        <v>55.57</v>
      </c>
    </row>
    <row r="21" spans="2:10" s="228" customFormat="1" ht="14.4">
      <c r="B21" s="386">
        <v>14</v>
      </c>
      <c r="C21" s="654" t="s">
        <v>375</v>
      </c>
      <c r="D21" s="377" t="s">
        <v>55</v>
      </c>
      <c r="E21" s="378">
        <v>18385843</v>
      </c>
      <c r="F21" s="645">
        <v>37.04</v>
      </c>
      <c r="I21" s="78" t="s">
        <v>27</v>
      </c>
      <c r="J21">
        <v>84.3</v>
      </c>
    </row>
    <row r="22" spans="2:10" s="228" customFormat="1" ht="14.4">
      <c r="B22" s="386">
        <v>15</v>
      </c>
      <c r="C22" s="654" t="s">
        <v>375</v>
      </c>
      <c r="D22" s="377" t="s">
        <v>55</v>
      </c>
      <c r="E22" s="378">
        <v>17552082</v>
      </c>
      <c r="F22" s="645">
        <v>33.409999999999997</v>
      </c>
      <c r="I22" s="78" t="s">
        <v>242</v>
      </c>
      <c r="J22"/>
    </row>
    <row r="23" spans="2:10" s="228" customFormat="1" ht="14.4">
      <c r="B23" s="385">
        <v>16</v>
      </c>
      <c r="C23" s="655" t="s">
        <v>376</v>
      </c>
      <c r="D23" s="490" t="s">
        <v>39</v>
      </c>
      <c r="E23" s="491">
        <v>16124684</v>
      </c>
      <c r="F23" s="646">
        <v>22.78</v>
      </c>
      <c r="I23" s="78" t="s">
        <v>339</v>
      </c>
      <c r="J23">
        <v>921.68</v>
      </c>
    </row>
    <row r="24" spans="2:10" s="228" customFormat="1" ht="14.4">
      <c r="B24" s="386">
        <v>17</v>
      </c>
      <c r="C24" s="655" t="s">
        <v>376</v>
      </c>
      <c r="D24" s="490" t="s">
        <v>39</v>
      </c>
      <c r="E24" s="491">
        <v>14534491</v>
      </c>
      <c r="F24" s="646">
        <v>10.97</v>
      </c>
    </row>
    <row r="25" spans="2:10" s="228" customFormat="1" ht="14.4">
      <c r="B25" s="386">
        <v>18</v>
      </c>
      <c r="C25" s="655" t="s">
        <v>376</v>
      </c>
      <c r="D25" s="490" t="s">
        <v>39</v>
      </c>
      <c r="E25" s="491">
        <v>17321972</v>
      </c>
      <c r="F25" s="646">
        <v>21.82</v>
      </c>
    </row>
    <row r="26" spans="2:10" s="228" customFormat="1" ht="14.4">
      <c r="B26" s="386">
        <v>19</v>
      </c>
      <c r="C26" s="655" t="s">
        <v>377</v>
      </c>
      <c r="D26" s="490" t="s">
        <v>27</v>
      </c>
      <c r="E26" s="491">
        <v>14576862</v>
      </c>
      <c r="F26" s="646">
        <v>84.3</v>
      </c>
    </row>
    <row r="27" spans="2:10" s="228" customFormat="1" ht="14.4">
      <c r="B27" s="385">
        <v>20</v>
      </c>
      <c r="C27" s="655">
        <v>918741448</v>
      </c>
      <c r="D27" s="490" t="s">
        <v>416</v>
      </c>
      <c r="E27" s="491">
        <v>10070196</v>
      </c>
      <c r="F27" s="646">
        <v>261.63</v>
      </c>
    </row>
    <row r="28" spans="2:10" s="228" customFormat="1" ht="14.4">
      <c r="B28" s="386">
        <v>21</v>
      </c>
      <c r="C28" s="655">
        <v>925240525</v>
      </c>
      <c r="D28" t="s">
        <v>54</v>
      </c>
      <c r="E28">
        <v>18667642</v>
      </c>
      <c r="F28" s="646">
        <v>710.01</v>
      </c>
    </row>
    <row r="29" spans="2:10" s="228" customFormat="1" ht="15" thickBot="1">
      <c r="B29" s="692"/>
      <c r="C29" s="656"/>
      <c r="D29" s="379"/>
      <c r="E29" s="380"/>
      <c r="F29" s="647"/>
    </row>
    <row r="32" spans="2:10">
      <c r="G32" s="611">
        <f>+SUM(F8:F28)</f>
        <v>1587.8600000000001</v>
      </c>
    </row>
    <row r="33" spans="2:14">
      <c r="B33" s="281"/>
      <c r="C33" s="281"/>
      <c r="D33" s="281"/>
      <c r="E33" s="281"/>
      <c r="F33" s="649"/>
    </row>
    <row r="34" spans="2:14" ht="14.4">
      <c r="B34" s="112"/>
      <c r="C34" s="466"/>
      <c r="D34" s="391" t="s">
        <v>223</v>
      </c>
      <c r="E34" s="391" t="s">
        <v>243</v>
      </c>
      <c r="F34" s="650"/>
    </row>
    <row r="35" spans="2:14" ht="14.4">
      <c r="B35" s="112"/>
      <c r="C35" s="466"/>
      <c r="D35" s="78" t="s">
        <v>416</v>
      </c>
      <c r="E35" s="34">
        <f>+GETPIVOTDATA("VALOR",$I$10,"NOMBRES Y APELLIDOS","DEFAS CHICAIZA JOEL ALBERTO")</f>
        <v>261.63</v>
      </c>
      <c r="F35" s="650"/>
    </row>
    <row r="36" spans="2:14" ht="14.4">
      <c r="B36" s="112"/>
      <c r="C36" s="466"/>
      <c r="D36" s="78" t="s">
        <v>255</v>
      </c>
      <c r="E36" s="34">
        <f>+GETPIVOTDATA("VALOR",$I$10,"NOMBRES Y APELLIDOS","GARCIA VERA HENRY LUIS")</f>
        <v>87.66</v>
      </c>
      <c r="F36" s="650"/>
      <c r="I36" s="694"/>
      <c r="M36"/>
      <c r="N36"/>
    </row>
    <row r="37" spans="2:14" ht="14.4">
      <c r="B37" s="112"/>
      <c r="C37" s="466"/>
      <c r="D37" s="78" t="s">
        <v>65</v>
      </c>
      <c r="E37" s="34">
        <f>+GETPIVOTDATA("VALOR",$I$10,"NOMBRES Y APELLIDOS","GUAYANLEMA RUIZ EDINSON DAVID")</f>
        <v>20.96</v>
      </c>
      <c r="F37" s="650"/>
      <c r="I37" s="694"/>
      <c r="M37"/>
      <c r="N37"/>
    </row>
    <row r="38" spans="2:14" ht="14.4">
      <c r="B38" s="112"/>
      <c r="C38" s="466"/>
      <c r="D38" s="78" t="s">
        <v>68</v>
      </c>
      <c r="E38" s="34">
        <f>+GETPIVOTDATA("VALOR",$I$10,"NOMBRES Y APELLIDOS","MALAN DELGADO JOSE ALBERTO")</f>
        <v>36.130000000000003</v>
      </c>
      <c r="F38" s="650"/>
      <c r="I38" s="694"/>
      <c r="M38"/>
      <c r="N38"/>
    </row>
    <row r="39" spans="2:14" ht="14.4">
      <c r="D39" s="78" t="s">
        <v>66</v>
      </c>
      <c r="E39" s="34">
        <f>+GETPIVOTDATA("VALOR",$I$10,"NOMBRES Y APELLIDOS","MARSHALL VEGA YULIANA LISSETT")</f>
        <v>27.17</v>
      </c>
      <c r="I39" s="694"/>
      <c r="M39"/>
      <c r="N39"/>
    </row>
    <row r="40" spans="2:14" ht="14.4">
      <c r="D40" s="78" t="s">
        <v>309</v>
      </c>
      <c r="E40" s="34">
        <f>+GETPIVOTDATA("VALOR",$I$10,"NOMBRES Y APELLIDOS","MOREIRA ESPINOZA LINDA ELIZABETH")</f>
        <v>35.22</v>
      </c>
      <c r="I40" s="694"/>
      <c r="M40"/>
      <c r="N40"/>
    </row>
    <row r="41" spans="2:14" ht="14.4">
      <c r="D41" s="78" t="s">
        <v>244</v>
      </c>
      <c r="E41" s="34">
        <f>+GETPIVOTDATA("VALOR",$I$10,"NOMBRES Y APELLIDOS","MUÑOZ MOLINA VERONICA PATRICIA")</f>
        <v>161.05000000000001</v>
      </c>
      <c r="I41" s="694"/>
      <c r="M41"/>
      <c r="N41"/>
    </row>
    <row r="42" spans="2:14" ht="14.4">
      <c r="D42" s="78" t="s">
        <v>26</v>
      </c>
      <c r="E42" s="34">
        <v>80.94</v>
      </c>
      <c r="I42" s="694"/>
      <c r="M42"/>
      <c r="N42"/>
    </row>
    <row r="43" spans="2:14" ht="14.4">
      <c r="D43" s="78" t="s">
        <v>55</v>
      </c>
      <c r="E43" s="34">
        <f>+GETPIVOTDATA("VALOR",$I$10,"NOMBRES Y APELLIDOS","RECALDE NARANJO ANGEL ALEXIS")</f>
        <v>71.05</v>
      </c>
      <c r="I43" s="694"/>
      <c r="M43"/>
      <c r="N43"/>
    </row>
    <row r="44" spans="2:14" ht="14.4">
      <c r="D44" s="78" t="s">
        <v>39</v>
      </c>
      <c r="E44" s="34">
        <f>+GETPIVOTDATA("VALOR",$I$10,"NOMBRES Y APELLIDOS","SANISACA MITE ISRAEL BENJAMIN")</f>
        <v>55.57</v>
      </c>
      <c r="I44" s="694"/>
      <c r="M44"/>
      <c r="N44"/>
    </row>
    <row r="45" spans="2:14" ht="14.4">
      <c r="D45" s="78" t="s">
        <v>257</v>
      </c>
      <c r="E45" s="34">
        <f>+GETPIVOTDATA("VALOR",$I$10,"NOMBRES Y APELLIDOS","TADAY GUAMAN NESTOR ALONSO")</f>
        <v>84.3</v>
      </c>
      <c r="I45" s="694"/>
      <c r="M45"/>
      <c r="N45"/>
    </row>
    <row r="46" spans="2:14" ht="14.4">
      <c r="D46" s="78"/>
      <c r="E46" s="34"/>
      <c r="M46"/>
      <c r="N46"/>
    </row>
    <row r="47" spans="2:14" ht="14.4">
      <c r="D47" s="78" t="s">
        <v>242</v>
      </c>
      <c r="E47" s="34">
        <f>SUM(E35:E46)</f>
        <v>921.68</v>
      </c>
      <c r="M47"/>
      <c r="N47"/>
    </row>
    <row r="48" spans="2:14" ht="14.4">
      <c r="E48" s="77"/>
      <c r="M48"/>
      <c r="N48"/>
    </row>
    <row r="49" spans="5:14" ht="14.4">
      <c r="E49" s="77"/>
      <c r="M49"/>
      <c r="N49"/>
    </row>
    <row r="50" spans="5:14">
      <c r="E50" s="77"/>
    </row>
    <row r="51" spans="5:14">
      <c r="E51" s="77"/>
    </row>
    <row r="52" spans="5:14">
      <c r="E52" s="77"/>
    </row>
    <row r="53" spans="5:14">
      <c r="E53" s="77"/>
    </row>
    <row r="54" spans="5:14">
      <c r="E54" s="77"/>
    </row>
    <row r="55" spans="5:14">
      <c r="E55" s="77"/>
    </row>
    <row r="56" spans="5:14">
      <c r="E56" s="77"/>
    </row>
  </sheetData>
  <autoFilter ref="B7:F29" xr:uid="{AA33968D-602F-41C4-B032-57DE8869C699}"/>
  <mergeCells count="2">
    <mergeCell ref="C3:F3"/>
    <mergeCell ref="C4:F5"/>
  </mergeCells>
  <pageMargins left="0.27" right="0.12" top="0.3" bottom="0.37" header="0.33" footer="0.12"/>
  <pageSetup orientation="portrait" horizontalDpi="300" verticalDpi="300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7E5D-233C-450F-A888-8B69D25DCCA2}">
  <sheetPr codeName="Hoja11">
    <tabColor theme="2" tint="-0.749992370372631"/>
    <pageSetUpPr fitToPage="1"/>
  </sheetPr>
  <dimension ref="B2:U61"/>
  <sheetViews>
    <sheetView showGridLines="0" topLeftCell="B1" zoomScale="70" zoomScaleNormal="70" workbookViewId="0">
      <pane xSplit="7" ySplit="5" topLeftCell="I27" activePane="bottomRight" state="frozen"/>
      <selection activeCell="B1" sqref="B1"/>
      <selection pane="topRight" activeCell="J1" sqref="J1"/>
      <selection pane="bottomLeft" activeCell="B8" sqref="B8"/>
      <selection pane="bottomRight" activeCell="Y13" sqref="Y13"/>
    </sheetView>
  </sheetViews>
  <sheetFormatPr baseColWidth="10" defaultRowHeight="14.4"/>
  <cols>
    <col min="1" max="1" width="1" customWidth="1"/>
    <col min="2" max="2" width="5.6640625" customWidth="1"/>
    <col min="3" max="3" width="11.33203125" bestFit="1" customWidth="1"/>
    <col min="4" max="4" width="40.33203125" customWidth="1"/>
    <col min="5" max="5" width="6.5546875" style="189" customWidth="1"/>
    <col min="6" max="6" width="11.44140625" customWidth="1"/>
    <col min="7" max="7" width="14" bestFit="1" customWidth="1"/>
    <col min="8" max="8" width="11.44140625" customWidth="1"/>
    <col min="9" max="9" width="11.44140625" style="388" customWidth="1"/>
    <col min="10" max="10" width="8" style="607" customWidth="1"/>
    <col min="11" max="11" width="12.33203125" customWidth="1"/>
    <col min="12" max="12" width="9.88671875" customWidth="1"/>
    <col min="13" max="13" width="13.33203125" customWidth="1"/>
    <col min="14" max="14" width="11.44140625"/>
    <col min="15" max="16" width="0" hidden="1" customWidth="1"/>
    <col min="17" max="17" width="0" style="34" hidden="1" customWidth="1"/>
    <col min="18" max="18" width="0" style="394" hidden="1" customWidth="1"/>
    <col min="19" max="19" width="0" hidden="1" customWidth="1"/>
    <col min="20" max="20" width="0" style="34" hidden="1" customWidth="1"/>
  </cols>
  <sheetData>
    <row r="2" spans="2:20" ht="23.4">
      <c r="B2" s="77"/>
      <c r="C2" s="325"/>
      <c r="D2" s="927" t="s">
        <v>134</v>
      </c>
      <c r="E2" s="927"/>
      <c r="F2" s="927"/>
      <c r="G2" s="927"/>
      <c r="H2" s="927"/>
      <c r="I2" s="927"/>
      <c r="J2" s="927"/>
      <c r="K2" s="927"/>
      <c r="L2" s="927"/>
      <c r="M2" s="927"/>
    </row>
    <row r="3" spans="2:20">
      <c r="B3" s="77"/>
      <c r="C3" s="325"/>
      <c r="D3" s="868" t="s">
        <v>465</v>
      </c>
      <c r="E3" s="868"/>
      <c r="F3" s="868"/>
      <c r="G3" s="868"/>
      <c r="H3" s="868"/>
      <c r="I3" s="868"/>
      <c r="J3" s="868"/>
      <c r="K3" s="868"/>
      <c r="L3" s="868"/>
      <c r="M3" s="868"/>
    </row>
    <row r="4" spans="2:20" ht="15" thickBot="1">
      <c r="B4" s="326"/>
      <c r="C4" s="326"/>
      <c r="D4" s="326"/>
      <c r="E4" s="562"/>
      <c r="F4" s="326"/>
      <c r="G4" s="326"/>
      <c r="H4" s="326"/>
      <c r="I4" s="559"/>
      <c r="J4" s="389"/>
      <c r="K4" s="326"/>
      <c r="L4" s="326"/>
      <c r="M4" s="326"/>
    </row>
    <row r="5" spans="2:20" ht="33" customHeight="1" thickBot="1">
      <c r="B5" s="327" t="s">
        <v>135</v>
      </c>
      <c r="C5" s="328" t="s">
        <v>136</v>
      </c>
      <c r="D5" s="328" t="s">
        <v>130</v>
      </c>
      <c r="E5" s="329" t="s">
        <v>131</v>
      </c>
      <c r="F5" s="330" t="s">
        <v>222</v>
      </c>
      <c r="G5" s="331" t="s">
        <v>137</v>
      </c>
      <c r="H5" s="332" t="s">
        <v>220</v>
      </c>
      <c r="I5" s="560" t="s">
        <v>102</v>
      </c>
      <c r="J5" s="605" t="s">
        <v>138</v>
      </c>
      <c r="K5" s="333" t="s">
        <v>139</v>
      </c>
      <c r="L5" s="328" t="s">
        <v>140</v>
      </c>
      <c r="M5" s="334" t="s">
        <v>32</v>
      </c>
      <c r="Q5" s="632" t="s">
        <v>395</v>
      </c>
      <c r="R5" s="633" t="s">
        <v>394</v>
      </c>
    </row>
    <row r="6" spans="2:20">
      <c r="B6" s="389">
        <v>1</v>
      </c>
      <c r="C6" s="182">
        <v>925813685</v>
      </c>
      <c r="D6" s="182" t="e">
        <f>+VLOOKUP(C6,'OCTUBRE 2025'!$C$8:$D$10,2,0)</f>
        <v>#N/A</v>
      </c>
      <c r="E6" s="189">
        <v>1</v>
      </c>
      <c r="F6" s="335" t="s">
        <v>124</v>
      </c>
      <c r="G6" s="335"/>
      <c r="H6" s="335" t="s">
        <v>132</v>
      </c>
      <c r="I6" s="561" t="e">
        <f>+VLOOKUP(C6,'OCTUBRE 2025'!$C$8:$J$10,3,0)</f>
        <v>#N/A</v>
      </c>
      <c r="J6" s="606" t="e">
        <f>+VLOOKUP(C6,'OCTUBRE 2025'!$C$8:$J$10,7,0)</f>
        <v>#N/A</v>
      </c>
      <c r="K6" s="336" t="e">
        <f>+'OCTUBRE 2025'!#REF!</f>
        <v>#REF!</v>
      </c>
      <c r="L6" s="337"/>
      <c r="M6" s="338" t="e">
        <f>+((K6)*8.33%)</f>
        <v>#REF!</v>
      </c>
    </row>
    <row r="7" spans="2:20">
      <c r="B7" s="389">
        <f>+B6+1</f>
        <v>2</v>
      </c>
      <c r="C7" s="748">
        <v>944405737</v>
      </c>
      <c r="D7" s="748" t="e">
        <f>+VLOOKUP(C7,'OCTUBRE 2025'!$C$8:$D$10,2,0)</f>
        <v>#N/A</v>
      </c>
      <c r="E7" s="749">
        <v>1</v>
      </c>
      <c r="F7" s="750" t="s">
        <v>132</v>
      </c>
      <c r="G7" s="751">
        <v>44998</v>
      </c>
      <c r="H7" s="750" t="s">
        <v>132</v>
      </c>
      <c r="I7" s="752" t="e">
        <f>+VLOOKUP(C7,'OCTUBRE 2025'!$C$8:$J$10,3,0)</f>
        <v>#N/A</v>
      </c>
      <c r="J7" s="753" t="e">
        <f>+VLOOKUP(C7,'OCTUBRE 2025'!$C$8:$J$10,7,0)</f>
        <v>#N/A</v>
      </c>
      <c r="K7" s="754" t="e">
        <f>+'OCTUBRE 2025'!#REF!</f>
        <v>#REF!</v>
      </c>
      <c r="L7" s="337"/>
      <c r="M7" s="338" t="s">
        <v>140</v>
      </c>
      <c r="R7" s="34"/>
    </row>
    <row r="8" spans="2:20">
      <c r="B8" s="389">
        <f t="shared" ref="B8:B38" si="0">+B7+1</f>
        <v>3</v>
      </c>
      <c r="C8" s="182">
        <v>604394502</v>
      </c>
      <c r="D8" s="182" t="e">
        <f>+VLOOKUP(C8,'OCTUBRE 2025'!$C$8:$D$10,2,0)</f>
        <v>#N/A</v>
      </c>
      <c r="E8" s="563">
        <v>1</v>
      </c>
      <c r="F8" s="335" t="s">
        <v>124</v>
      </c>
      <c r="G8" s="335"/>
      <c r="H8" s="335" t="s">
        <v>132</v>
      </c>
      <c r="I8" s="561" t="e">
        <f>+VLOOKUP(C8,'OCTUBRE 2025'!$C$8:$J$10,3,0)</f>
        <v>#N/A</v>
      </c>
      <c r="J8" s="606" t="e">
        <f>+VLOOKUP(C8,'OCTUBRE 2025'!$C$8:$J$10,7,0)</f>
        <v>#N/A</v>
      </c>
      <c r="K8" s="336" t="e">
        <f>+'OCTUBRE 2025'!#REF!</f>
        <v>#REF!</v>
      </c>
      <c r="L8" s="337"/>
      <c r="M8" s="338" t="e">
        <f>(+(K8)*8.33%)</f>
        <v>#REF!</v>
      </c>
    </row>
    <row r="9" spans="2:20">
      <c r="B9" s="389">
        <f t="shared" si="0"/>
        <v>4</v>
      </c>
      <c r="C9" s="182">
        <v>955741970</v>
      </c>
      <c r="D9" s="182" t="e">
        <f>+VLOOKUP(C9,'OCTUBRE 2025'!$C$8:$D$10,2,0)</f>
        <v>#N/A</v>
      </c>
      <c r="E9" s="564">
        <v>1</v>
      </c>
      <c r="F9" s="71" t="s">
        <v>124</v>
      </c>
      <c r="G9" s="71"/>
      <c r="H9" s="71" t="s">
        <v>132</v>
      </c>
      <c r="I9" s="561" t="e">
        <f>+VLOOKUP(C9,'OCTUBRE 2025'!$C$8:$J$10,3,0)</f>
        <v>#N/A</v>
      </c>
      <c r="J9" s="606" t="e">
        <f>+VLOOKUP(C9,'OCTUBRE 2025'!$C$8:$J$10,7,0)</f>
        <v>#N/A</v>
      </c>
      <c r="K9" s="336" t="e">
        <f>+'OCTUBRE 2025'!#REF!</f>
        <v>#REF!</v>
      </c>
      <c r="L9" s="339"/>
      <c r="M9" s="338" t="e">
        <f>(+(K9)*8.33%)</f>
        <v>#REF!</v>
      </c>
    </row>
    <row r="10" spans="2:20" s="155" customFormat="1">
      <c r="B10" s="735">
        <f t="shared" si="0"/>
        <v>5</v>
      </c>
      <c r="C10" s="685" t="s">
        <v>467</v>
      </c>
      <c r="D10" s="685" t="e">
        <f>+VLOOKUP(C10,'OCTUBRE 2025'!$C$8:$D$10,2,0)</f>
        <v>#N/A</v>
      </c>
      <c r="E10" s="565">
        <v>2</v>
      </c>
      <c r="F10" s="343" t="s">
        <v>124</v>
      </c>
      <c r="G10" s="343"/>
      <c r="H10" s="343" t="s">
        <v>124</v>
      </c>
      <c r="I10" s="686" t="e">
        <f>+VLOOKUP(C10,'OCTUBRE 2025'!$C$8:$J$10,3,0)</f>
        <v>#N/A</v>
      </c>
      <c r="J10" s="687" t="e">
        <f>+VLOOKUP(C10,'OCTUBRE 2025'!$C$8:$J$10,7,0)</f>
        <v>#N/A</v>
      </c>
      <c r="K10" s="688" t="e">
        <f>+'OCTUBRE 2025'!#REF!</f>
        <v>#REF!</v>
      </c>
      <c r="L10" s="736"/>
      <c r="M10" s="737"/>
      <c r="Q10" s="738"/>
      <c r="R10" s="739"/>
      <c r="T10" s="738"/>
    </row>
    <row r="11" spans="2:20" s="155" customFormat="1">
      <c r="B11" s="735">
        <f t="shared" si="0"/>
        <v>6</v>
      </c>
      <c r="C11" s="742">
        <v>944143148</v>
      </c>
      <c r="D11" s="742" t="e">
        <f>+VLOOKUP(C11,'OCTUBRE 2025'!$C$8:$D$10,2,0)</f>
        <v>#N/A</v>
      </c>
      <c r="E11" s="743">
        <v>2</v>
      </c>
      <c r="F11" s="744" t="s">
        <v>124</v>
      </c>
      <c r="G11" s="744"/>
      <c r="H11" s="744" t="s">
        <v>124</v>
      </c>
      <c r="I11" s="745" t="e">
        <f>+VLOOKUP(C11,'OCTUBRE 2025'!$C$8:$J$10,3,0)</f>
        <v>#N/A</v>
      </c>
      <c r="J11" s="746" t="e">
        <f>+VLOOKUP(C11,'OCTUBRE 2025'!$C$8:$J$10,7,0)</f>
        <v>#N/A</v>
      </c>
      <c r="K11" s="747" t="e">
        <f>+'OCTUBRE 2025'!#REF!</f>
        <v>#REF!</v>
      </c>
      <c r="L11" s="736"/>
      <c r="M11" s="737">
        <v>0</v>
      </c>
      <c r="Q11" s="738"/>
      <c r="R11" s="739"/>
      <c r="T11" s="738"/>
    </row>
    <row r="12" spans="2:20" s="155" customFormat="1">
      <c r="B12" s="735">
        <f t="shared" si="0"/>
        <v>7</v>
      </c>
      <c r="C12" s="740">
        <v>955325238</v>
      </c>
      <c r="D12" s="685" t="e">
        <f>+VLOOKUP(C12,'OCTUBRE 2025'!$C$8:$D$10,2,0)</f>
        <v>#N/A</v>
      </c>
      <c r="E12" s="565">
        <v>2</v>
      </c>
      <c r="F12" s="343" t="s">
        <v>124</v>
      </c>
      <c r="G12" s="343"/>
      <c r="H12" s="344" t="s">
        <v>124</v>
      </c>
      <c r="I12" s="686" t="e">
        <f>+VLOOKUP(C12,'OCTUBRE 2025'!$C$8:$J$10,3,0)</f>
        <v>#N/A</v>
      </c>
      <c r="J12" s="687" t="e">
        <f>+VLOOKUP(C12,'OCTUBRE 2025'!$C$8:$J$10,7,0)</f>
        <v>#N/A</v>
      </c>
      <c r="K12" s="688" t="e">
        <f>+'OCTUBRE 2025'!#REF!</f>
        <v>#REF!</v>
      </c>
      <c r="L12" s="741"/>
      <c r="M12" s="737"/>
      <c r="Q12" s="738"/>
      <c r="R12" s="739"/>
      <c r="T12" s="738"/>
    </row>
    <row r="13" spans="2:20">
      <c r="B13" s="389">
        <f t="shared" si="0"/>
        <v>8</v>
      </c>
      <c r="C13" s="182">
        <v>914163654</v>
      </c>
      <c r="D13" s="182" t="e">
        <f>+VLOOKUP(C13,'OCTUBRE 2025'!$C$8:$D$10,2,0)</f>
        <v>#N/A</v>
      </c>
      <c r="E13" s="564">
        <v>1</v>
      </c>
      <c r="F13" s="71" t="s">
        <v>124</v>
      </c>
      <c r="G13" s="71"/>
      <c r="H13" s="17" t="s">
        <v>132</v>
      </c>
      <c r="I13" s="561" t="e">
        <f>+VLOOKUP(C13,'OCTUBRE 2025'!$C$8:$J$10,3,0)</f>
        <v>#N/A</v>
      </c>
      <c r="J13" s="606" t="e">
        <f>+VLOOKUP(C13,'OCTUBRE 2025'!$C$8:$J$10,7,0)</f>
        <v>#N/A</v>
      </c>
      <c r="K13" s="336" t="e">
        <f>+'OCTUBRE 2025'!#REF!</f>
        <v>#REF!</v>
      </c>
      <c r="L13" s="340"/>
      <c r="M13" s="338" t="e">
        <f>(+(K13)*8.33%)</f>
        <v>#REF!</v>
      </c>
    </row>
    <row r="14" spans="2:20" s="155" customFormat="1">
      <c r="B14" s="735">
        <f t="shared" si="0"/>
        <v>9</v>
      </c>
      <c r="C14" s="740">
        <v>956668305</v>
      </c>
      <c r="D14" s="685" t="e">
        <f>+VLOOKUP(C14,'OCTUBRE 2025'!$C$8:$D$10,2,0)</f>
        <v>#N/A</v>
      </c>
      <c r="E14" s="565">
        <v>2</v>
      </c>
      <c r="F14" s="343" t="s">
        <v>124</v>
      </c>
      <c r="G14" s="343"/>
      <c r="H14" s="344" t="s">
        <v>124</v>
      </c>
      <c r="I14" s="686" t="e">
        <f>+VLOOKUP(C14,'OCTUBRE 2025'!$C$8:$J$10,3,0)</f>
        <v>#N/A</v>
      </c>
      <c r="J14" s="687" t="e">
        <f>+VLOOKUP(C14,'OCTUBRE 2025'!$C$8:$J$10,7,0)</f>
        <v>#N/A</v>
      </c>
      <c r="K14" s="688" t="e">
        <f>+'OCTUBRE 2025'!#REF!</f>
        <v>#REF!</v>
      </c>
      <c r="L14" s="741"/>
      <c r="M14" s="737"/>
      <c r="Q14" s="738"/>
      <c r="R14" s="739"/>
      <c r="T14" s="738"/>
    </row>
    <row r="15" spans="2:20" s="155" customFormat="1">
      <c r="B15" s="735">
        <f t="shared" si="0"/>
        <v>10</v>
      </c>
      <c r="C15" s="740" t="s">
        <v>470</v>
      </c>
      <c r="D15" s="685" t="e">
        <f>+VLOOKUP(C15,'OCTUBRE 2025'!$C$8:$D$10,2,0)</f>
        <v>#N/A</v>
      </c>
      <c r="E15" s="565">
        <v>3</v>
      </c>
      <c r="F15" s="343" t="s">
        <v>124</v>
      </c>
      <c r="G15" s="343"/>
      <c r="H15" s="344" t="s">
        <v>124</v>
      </c>
      <c r="I15" s="686" t="e">
        <f>+VLOOKUP(C15,'OCTUBRE 2025'!$C$8:$J$10,3,0)</f>
        <v>#N/A</v>
      </c>
      <c r="J15" s="687" t="e">
        <f>+VLOOKUP(C15,'OCTUBRE 2025'!$C$8:$J$10,7,0)</f>
        <v>#N/A</v>
      </c>
      <c r="K15" s="688" t="e">
        <f>+'OCTUBRE 2025'!#REF!</f>
        <v>#REF!</v>
      </c>
      <c r="L15" s="741"/>
      <c r="M15" s="737"/>
      <c r="Q15" s="738"/>
      <c r="R15" s="739"/>
      <c r="T15" s="738"/>
    </row>
    <row r="16" spans="2:20" s="155" customFormat="1">
      <c r="B16" s="735">
        <f t="shared" si="0"/>
        <v>11</v>
      </c>
      <c r="C16" s="740">
        <v>931097620</v>
      </c>
      <c r="D16" s="685" t="e">
        <f>+VLOOKUP(C16,'OCTUBRE 2025'!$C$8:$D$10,2,0)</f>
        <v>#N/A</v>
      </c>
      <c r="E16" s="565">
        <v>4</v>
      </c>
      <c r="F16" s="343" t="s">
        <v>124</v>
      </c>
      <c r="G16" s="343"/>
      <c r="H16" s="344" t="s">
        <v>124</v>
      </c>
      <c r="I16" s="686" t="e">
        <f>+VLOOKUP(C16,'OCTUBRE 2025'!$C$8:$J$10,3,0)</f>
        <v>#N/A</v>
      </c>
      <c r="J16" s="687" t="e">
        <f>+VLOOKUP(C16,'OCTUBRE 2025'!$C$8:$J$10,7,0)</f>
        <v>#N/A</v>
      </c>
      <c r="K16" s="688" t="e">
        <f>+'OCTUBRE 2025'!#REF!</f>
        <v>#REF!</v>
      </c>
      <c r="L16" s="741"/>
      <c r="M16" s="737"/>
      <c r="Q16" s="738"/>
      <c r="R16" s="739"/>
      <c r="T16" s="738"/>
    </row>
    <row r="17" spans="2:21">
      <c r="B17" s="389">
        <f t="shared" si="0"/>
        <v>12</v>
      </c>
      <c r="C17" s="182">
        <v>1105483422</v>
      </c>
      <c r="D17" s="182" t="e">
        <f>+VLOOKUP(C17,'OCTUBRE 2025'!$C$8:$D$10,2,0)</f>
        <v>#N/A</v>
      </c>
      <c r="E17" s="564">
        <v>3</v>
      </c>
      <c r="F17" s="71" t="s">
        <v>124</v>
      </c>
      <c r="G17" s="71"/>
      <c r="H17" s="17" t="s">
        <v>132</v>
      </c>
      <c r="I17" s="561" t="e">
        <f>+VLOOKUP(C17,'OCTUBRE 2025'!$C$8:$J$10,3,0)</f>
        <v>#N/A</v>
      </c>
      <c r="J17" s="606" t="e">
        <f>+VLOOKUP(C17,'OCTUBRE 2025'!$C$8:$J$10,7,0)</f>
        <v>#N/A</v>
      </c>
      <c r="K17" s="336" t="e">
        <f>+'OCTUBRE 2025'!#REF!</f>
        <v>#REF!</v>
      </c>
      <c r="L17" s="340"/>
      <c r="M17" s="338" t="e">
        <f t="shared" ref="M17" si="1">(+(K17)*8.33%)</f>
        <v>#REF!</v>
      </c>
    </row>
    <row r="18" spans="2:21">
      <c r="B18" s="389">
        <f t="shared" si="0"/>
        <v>13</v>
      </c>
      <c r="C18" s="182">
        <v>942614645</v>
      </c>
      <c r="D18" s="182" t="e">
        <f>+VLOOKUP(C18,'OCTUBRE 2025'!$C$8:$D$10,2,0)</f>
        <v>#N/A</v>
      </c>
      <c r="E18" s="705" t="s">
        <v>273</v>
      </c>
      <c r="F18" s="706" t="s">
        <v>124</v>
      </c>
      <c r="G18" s="342"/>
      <c r="H18" s="17" t="s">
        <v>132</v>
      </c>
      <c r="I18" s="561" t="e">
        <f>+VLOOKUP(C18,'OCTUBRE 2025'!$C$8:$J$10,3,0)</f>
        <v>#N/A</v>
      </c>
      <c r="J18" s="606" t="e">
        <f>+VLOOKUP(C18,'OCTUBRE 2025'!$C$8:$J$10,7,0)</f>
        <v>#N/A</v>
      </c>
      <c r="K18" s="707" t="e">
        <f>+'OCTUBRE 2025'!#REF!</f>
        <v>#REF!</v>
      </c>
      <c r="L18" s="337"/>
      <c r="M18" s="338" t="e">
        <f>(+(K18)*8.33%)</f>
        <v>#REF!</v>
      </c>
      <c r="R18" s="34"/>
    </row>
    <row r="19" spans="2:21" ht="13.95" customHeight="1">
      <c r="B19" s="389">
        <f t="shared" si="0"/>
        <v>14</v>
      </c>
      <c r="C19" s="182">
        <v>951200062</v>
      </c>
      <c r="D19" s="182" t="e">
        <f>+VLOOKUP(C19,'OCTUBRE 2025'!$C$8:$D$10,2,0)</f>
        <v>#N/A</v>
      </c>
      <c r="E19" s="564">
        <v>1</v>
      </c>
      <c r="F19" s="71" t="s">
        <v>124</v>
      </c>
      <c r="G19" s="71"/>
      <c r="H19" s="17" t="s">
        <v>132</v>
      </c>
      <c r="I19" s="561" t="e">
        <f>+VLOOKUP(C19,'OCTUBRE 2025'!$C$8:$J$10,3,0)</f>
        <v>#N/A</v>
      </c>
      <c r="J19" s="606" t="e">
        <f>+VLOOKUP(C19,'OCTUBRE 2025'!$C$8:$J$10,7,0)</f>
        <v>#N/A</v>
      </c>
      <c r="K19" s="336" t="e">
        <f>+'OCTUBRE 2025'!#REF!</f>
        <v>#REF!</v>
      </c>
      <c r="L19" s="337"/>
      <c r="M19" s="338" t="e">
        <f>(+(K19)*8.33%)</f>
        <v>#REF!</v>
      </c>
      <c r="U19" s="635"/>
    </row>
    <row r="20" spans="2:21">
      <c r="B20" s="389">
        <f t="shared" si="0"/>
        <v>15</v>
      </c>
      <c r="C20" s="182">
        <v>950929232</v>
      </c>
      <c r="D20" s="182" t="e">
        <f>+VLOOKUP(C20,'OCTUBRE 2025'!$C$8:$D$10,2,0)</f>
        <v>#N/A</v>
      </c>
      <c r="E20" s="564">
        <v>1</v>
      </c>
      <c r="F20" s="71" t="s">
        <v>132</v>
      </c>
      <c r="G20" s="388">
        <v>45279</v>
      </c>
      <c r="H20" s="17" t="s">
        <v>132</v>
      </c>
      <c r="I20" s="561" t="e">
        <f>+VLOOKUP(C20,'OCTUBRE 2025'!$C$8:$J$10,3,0)</f>
        <v>#N/A</v>
      </c>
      <c r="J20" s="606" t="e">
        <f>+VLOOKUP(C20,'OCTUBRE 2025'!$C$8:$J$10,7,0)</f>
        <v>#N/A</v>
      </c>
      <c r="K20" s="336" t="e">
        <f>+'OCTUBRE 2025'!#REF!</f>
        <v>#REF!</v>
      </c>
      <c r="L20" s="337"/>
      <c r="M20" s="338" t="s">
        <v>140</v>
      </c>
      <c r="R20" s="34"/>
      <c r="U20" s="635"/>
    </row>
    <row r="21" spans="2:21">
      <c r="B21" s="389">
        <f t="shared" si="0"/>
        <v>16</v>
      </c>
      <c r="C21" s="182">
        <v>953819646</v>
      </c>
      <c r="D21" s="182" t="e">
        <f>+VLOOKUP(C21,'OCTUBRE 2025'!$C$8:$D$10,2,0)</f>
        <v>#N/A</v>
      </c>
      <c r="E21" s="564">
        <v>1</v>
      </c>
      <c r="F21" s="71" t="s">
        <v>124</v>
      </c>
      <c r="G21" s="71"/>
      <c r="H21" s="17" t="s">
        <v>132</v>
      </c>
      <c r="I21" s="561" t="e">
        <f>+VLOOKUP(C21,'OCTUBRE 2025'!$C$8:$J$10,3,0)</f>
        <v>#N/A</v>
      </c>
      <c r="J21" s="606" t="e">
        <f>+VLOOKUP(C21,'OCTUBRE 2025'!$C$8:$J$10,7,0)</f>
        <v>#N/A</v>
      </c>
      <c r="K21" s="336" t="e">
        <f>+'OCTUBRE 2025'!#REF!</f>
        <v>#REF!</v>
      </c>
      <c r="L21" s="337"/>
      <c r="M21" s="338" t="e">
        <f>(+(K21)*8.33%)</f>
        <v>#REF!</v>
      </c>
    </row>
    <row r="22" spans="2:21">
      <c r="B22" s="389">
        <f t="shared" si="0"/>
        <v>17</v>
      </c>
      <c r="C22" s="182">
        <v>956953392</v>
      </c>
      <c r="D22" s="685" t="e">
        <f>+VLOOKUP(C22,'OCTUBRE 2025'!$C$8:$D$10,2,0)</f>
        <v>#N/A</v>
      </c>
      <c r="E22" s="564">
        <v>1</v>
      </c>
      <c r="F22" s="71" t="s">
        <v>124</v>
      </c>
      <c r="G22" s="71"/>
      <c r="H22" s="17" t="s">
        <v>132</v>
      </c>
      <c r="I22" s="561" t="e">
        <f>+VLOOKUP(C22,'OCTUBRE 2025'!$C$8:$J$10,3,0)</f>
        <v>#N/A</v>
      </c>
      <c r="J22" s="606" t="e">
        <f>+VLOOKUP(C22,'OCTUBRE 2025'!$C$8:$J$10,7,0)</f>
        <v>#N/A</v>
      </c>
      <c r="K22" s="336" t="e">
        <f>+'OCTUBRE 2025'!#REF!</f>
        <v>#REF!</v>
      </c>
      <c r="L22" s="337"/>
      <c r="M22" s="338" t="e">
        <f>(+(K22)*8.33%)</f>
        <v>#REF!</v>
      </c>
    </row>
    <row r="23" spans="2:21">
      <c r="B23" s="389">
        <f t="shared" si="0"/>
        <v>18</v>
      </c>
      <c r="C23" s="182">
        <v>956796767</v>
      </c>
      <c r="D23" s="182" t="e">
        <f>+VLOOKUP(C23,'OCTUBRE 2025'!$C$8:$D$10,2,0)</f>
        <v>#N/A</v>
      </c>
      <c r="E23" s="564">
        <v>1</v>
      </c>
      <c r="F23" s="71" t="s">
        <v>124</v>
      </c>
      <c r="G23" s="71"/>
      <c r="H23" s="17" t="s">
        <v>132</v>
      </c>
      <c r="I23" s="561" t="e">
        <f>+VLOOKUP(C23,'OCTUBRE 2025'!$C$8:$J$10,3,0)</f>
        <v>#N/A</v>
      </c>
      <c r="J23" s="606" t="e">
        <f>+VLOOKUP(C23,'OCTUBRE 2025'!$C$8:$J$10,7,0)</f>
        <v>#N/A</v>
      </c>
      <c r="K23" s="336" t="e">
        <f>+'OCTUBRE 2025'!#REF!</f>
        <v>#REF!</v>
      </c>
      <c r="L23" s="337"/>
      <c r="M23" s="338" t="e">
        <f>(+(K23)*8.33%)+Q23+R23</f>
        <v>#REF!</v>
      </c>
      <c r="S23" s="34"/>
    </row>
    <row r="24" spans="2:21">
      <c r="B24" s="389">
        <f t="shared" si="0"/>
        <v>19</v>
      </c>
      <c r="C24" s="695" t="s">
        <v>417</v>
      </c>
      <c r="D24" s="695" t="e">
        <f>+VLOOKUP(C24,'OCTUBRE 2025'!$C$8:$D$10,2,0)</f>
        <v>#N/A</v>
      </c>
      <c r="E24" s="696">
        <v>2</v>
      </c>
      <c r="F24" s="697" t="s">
        <v>124</v>
      </c>
      <c r="G24" s="697"/>
      <c r="H24" s="698" t="s">
        <v>124</v>
      </c>
      <c r="I24" s="699" t="e">
        <f>+VLOOKUP(C24,'OCTUBRE 2025'!$C$8:$J$10,3,0)</f>
        <v>#N/A</v>
      </c>
      <c r="J24" s="700" t="e">
        <f>+VLOOKUP(C24,'OCTUBRE 2025'!$C$8:$J$10,7,0)</f>
        <v>#N/A</v>
      </c>
      <c r="K24" s="701" t="e">
        <f>+'OCTUBRE 2025'!#REF!</f>
        <v>#REF!</v>
      </c>
      <c r="L24" s="702"/>
      <c r="M24" s="703">
        <v>0</v>
      </c>
      <c r="S24" s="34"/>
    </row>
    <row r="25" spans="2:21">
      <c r="B25" s="389">
        <f t="shared" si="0"/>
        <v>20</v>
      </c>
      <c r="C25" s="182">
        <v>1724102940</v>
      </c>
      <c r="D25" s="182" t="e">
        <f>+VLOOKUP(C25,'OCTUBRE 2025'!$C$8:$D$10,2,0)</f>
        <v>#N/A</v>
      </c>
      <c r="E25" s="564">
        <v>1</v>
      </c>
      <c r="F25" s="71" t="s">
        <v>124</v>
      </c>
      <c r="G25" s="71"/>
      <c r="H25" s="17" t="s">
        <v>132</v>
      </c>
      <c r="I25" s="561" t="e">
        <f>+VLOOKUP(C25,'OCTUBRE 2025'!$C$8:$J$10,3,0)</f>
        <v>#N/A</v>
      </c>
      <c r="J25" s="606" t="e">
        <f>+VLOOKUP(C25,'OCTUBRE 2025'!$C$8:$J$10,7,0)</f>
        <v>#N/A</v>
      </c>
      <c r="K25" s="336" t="e">
        <f>+'OCTUBRE 2025'!#REF!</f>
        <v>#REF!</v>
      </c>
      <c r="L25" s="337"/>
      <c r="M25" s="338" t="e">
        <f>(+(K25)*8.33%)</f>
        <v>#REF!</v>
      </c>
    </row>
    <row r="26" spans="2:21">
      <c r="B26" s="389">
        <f t="shared" si="0"/>
        <v>21</v>
      </c>
      <c r="C26" s="182">
        <v>943322974</v>
      </c>
      <c r="D26" s="182" t="e">
        <f>+VLOOKUP(C26,'OCTUBRE 2025'!$C$8:$D$10,2,0)</f>
        <v>#N/A</v>
      </c>
      <c r="E26" s="564">
        <v>1</v>
      </c>
      <c r="F26" s="71" t="s">
        <v>124</v>
      </c>
      <c r="G26" s="71"/>
      <c r="H26" s="17" t="s">
        <v>132</v>
      </c>
      <c r="I26" s="561" t="e">
        <f>+VLOOKUP(C26,'OCTUBRE 2025'!$C$8:$J$10,3,0)</f>
        <v>#N/A</v>
      </c>
      <c r="J26" s="606" t="e">
        <f>+VLOOKUP(C26,'OCTUBRE 2025'!$C$8:$J$10,7,0)</f>
        <v>#N/A</v>
      </c>
      <c r="K26" s="336" t="e">
        <f>+'OCTUBRE 2025'!#REF!</f>
        <v>#REF!</v>
      </c>
      <c r="L26" s="337"/>
      <c r="M26" s="338" t="e">
        <f>(+(K26)*8.33%)+Q26+R26</f>
        <v>#REF!</v>
      </c>
      <c r="S26" s="80"/>
    </row>
    <row r="27" spans="2:21">
      <c r="B27" s="389">
        <f t="shared" si="0"/>
        <v>22</v>
      </c>
      <c r="C27" s="182">
        <v>941096851</v>
      </c>
      <c r="D27" s="182" t="e">
        <f>+VLOOKUP(C27,'OCTUBRE 2025'!$C$8:$D$10,2,0)</f>
        <v>#N/A</v>
      </c>
      <c r="E27" s="564">
        <v>1</v>
      </c>
      <c r="F27" s="71" t="s">
        <v>124</v>
      </c>
      <c r="G27" s="71"/>
      <c r="H27" s="17" t="s">
        <v>132</v>
      </c>
      <c r="I27" s="561" t="e">
        <f>+VLOOKUP(C27,'OCTUBRE 2025'!$C$8:$J$10,3,0)</f>
        <v>#N/A</v>
      </c>
      <c r="J27" s="606" t="e">
        <f>+VLOOKUP(C27,'OCTUBRE 2025'!$C$8:$J$10,7,0)</f>
        <v>#N/A</v>
      </c>
      <c r="K27" s="336" t="e">
        <f>+'OCTUBRE 2025'!#REF!</f>
        <v>#REF!</v>
      </c>
      <c r="L27" s="337"/>
      <c r="M27" s="338" t="e">
        <f>(+(K27)*8.33%)+Q27+R27</f>
        <v>#REF!</v>
      </c>
    </row>
    <row r="28" spans="2:21">
      <c r="B28" s="389">
        <f t="shared" si="0"/>
        <v>23</v>
      </c>
      <c r="C28" s="597">
        <v>957093800</v>
      </c>
      <c r="D28" s="597" t="e">
        <f>+VLOOKUP(C28,'OCTUBRE 2025'!$C$8:$D$10,2,0)</f>
        <v>#N/A</v>
      </c>
      <c r="E28" s="603"/>
      <c r="F28" s="604" t="s">
        <v>124</v>
      </c>
      <c r="G28" s="604"/>
      <c r="H28" s="598" t="s">
        <v>124</v>
      </c>
      <c r="I28" s="599" t="e">
        <f>+VLOOKUP(C28,'OCTUBRE 2025'!$C$8:$J$10,3,0)</f>
        <v>#N/A</v>
      </c>
      <c r="J28" s="608" t="e">
        <f>+VLOOKUP(C28,'OCTUBRE 2025'!$C$8:$J$10,7,0)</f>
        <v>#N/A</v>
      </c>
      <c r="K28" s="600" t="e">
        <f>+'OCTUBRE 2025'!#REF!</f>
        <v>#REF!</v>
      </c>
      <c r="L28" s="601"/>
      <c r="M28" s="602">
        <v>0</v>
      </c>
    </row>
    <row r="29" spans="2:21">
      <c r="B29" s="389">
        <f t="shared" si="0"/>
        <v>24</v>
      </c>
      <c r="C29" s="597">
        <v>957924350</v>
      </c>
      <c r="D29" s="597" t="e">
        <f>+VLOOKUP(C29,'OCTUBRE 2025'!$C$8:$D$10,2,0)</f>
        <v>#N/A</v>
      </c>
      <c r="E29" s="603"/>
      <c r="F29" s="604" t="s">
        <v>124</v>
      </c>
      <c r="G29" s="604"/>
      <c r="H29" s="598" t="s">
        <v>124</v>
      </c>
      <c r="I29" s="599" t="e">
        <f>+VLOOKUP(C29,'OCTUBRE 2025'!$C$8:$J$10,3,0)</f>
        <v>#N/A</v>
      </c>
      <c r="J29" s="608" t="e">
        <f>+VLOOKUP(C29,'OCTUBRE 2025'!$C$8:$J$10,7,0)</f>
        <v>#N/A</v>
      </c>
      <c r="K29" s="600" t="e">
        <f>+'OCTUBRE 2025'!#REF!</f>
        <v>#REF!</v>
      </c>
      <c r="L29" s="601"/>
      <c r="M29" s="602">
        <v>0</v>
      </c>
      <c r="Q29" s="657"/>
      <c r="R29" s="658"/>
      <c r="T29" s="657"/>
    </row>
    <row r="30" spans="2:21">
      <c r="B30" s="389">
        <f t="shared" si="0"/>
        <v>25</v>
      </c>
      <c r="C30" s="182">
        <v>603838657</v>
      </c>
      <c r="D30" s="182" t="e">
        <f>+VLOOKUP(C30,'OCTUBRE 2025'!$C$8:$D$10,2,0)</f>
        <v>#N/A</v>
      </c>
      <c r="E30" s="564">
        <v>1</v>
      </c>
      <c r="F30" s="71" t="s">
        <v>124</v>
      </c>
      <c r="G30" s="71"/>
      <c r="H30" s="17" t="s">
        <v>132</v>
      </c>
      <c r="I30" s="561" t="e">
        <f>+VLOOKUP(C30,'OCTUBRE 2025'!$C$8:$J$10,3,0)</f>
        <v>#N/A</v>
      </c>
      <c r="J30" s="606" t="e">
        <f>+VLOOKUP(C30,'OCTUBRE 2025'!$C$8:$J$10,7,0)</f>
        <v>#N/A</v>
      </c>
      <c r="K30" s="336" t="e">
        <f>+'OCTUBRE 2025'!#REF!</f>
        <v>#REF!</v>
      </c>
      <c r="L30" s="337"/>
      <c r="M30" s="338" t="e">
        <f t="shared" ref="M30" si="2">(+(K30)*8.33%)+Q30+R30</f>
        <v>#REF!</v>
      </c>
    </row>
    <row r="31" spans="2:21">
      <c r="B31" s="389">
        <f t="shared" si="0"/>
        <v>26</v>
      </c>
      <c r="C31" s="182">
        <v>925240525</v>
      </c>
      <c r="D31" s="182" t="e">
        <f>+VLOOKUP(C31,'OCTUBRE 2025'!$C$8:$D$10,2,0)</f>
        <v>#N/A</v>
      </c>
      <c r="E31" s="564">
        <v>1</v>
      </c>
      <c r="F31" s="71" t="s">
        <v>124</v>
      </c>
      <c r="G31" s="71"/>
      <c r="H31" s="17" t="s">
        <v>132</v>
      </c>
      <c r="I31" s="561" t="e">
        <f>+VLOOKUP(C31,'OCTUBRE 2025'!$C$8:$J$10,3,0)</f>
        <v>#N/A</v>
      </c>
      <c r="J31" s="606" t="e">
        <f>+VLOOKUP(C31,'OCTUBRE 2025'!$C$8:$J$10,7,0)</f>
        <v>#N/A</v>
      </c>
      <c r="K31" s="336" t="e">
        <f>+'OCTUBRE 2025'!#REF!</f>
        <v>#REF!</v>
      </c>
      <c r="L31" s="337"/>
      <c r="M31" s="338" t="e">
        <f>(+(K31)*8.33%)+Q31+R31</f>
        <v>#REF!</v>
      </c>
    </row>
    <row r="32" spans="2:21">
      <c r="B32" s="389">
        <f t="shared" si="0"/>
        <v>27</v>
      </c>
      <c r="C32" s="182">
        <v>954520599</v>
      </c>
      <c r="D32" s="182" t="e">
        <f>+VLOOKUP(C32,'OCTUBRE 2025'!$C$8:$D$10,2,0)</f>
        <v>#N/A</v>
      </c>
      <c r="E32" s="564">
        <v>2</v>
      </c>
      <c r="F32" s="71" t="s">
        <v>124</v>
      </c>
      <c r="G32" s="71"/>
      <c r="H32" s="17" t="s">
        <v>132</v>
      </c>
      <c r="I32" s="561" t="e">
        <f>+VLOOKUP(C32,'OCTUBRE 2025'!$C$8:$J$10,3,0)</f>
        <v>#N/A</v>
      </c>
      <c r="J32" s="606" t="e">
        <f>+VLOOKUP(C32,'OCTUBRE 2025'!$C$8:$J$10,7,0)</f>
        <v>#N/A</v>
      </c>
      <c r="K32" s="336" t="e">
        <f>+'OCTUBRE 2025'!#REF!</f>
        <v>#REF!</v>
      </c>
      <c r="L32" s="337"/>
      <c r="M32" s="338" t="e">
        <f>(+(K32)*8.33%)+Q32+R32</f>
        <v>#REF!</v>
      </c>
    </row>
    <row r="33" spans="2:19">
      <c r="B33" s="389">
        <f t="shared" si="0"/>
        <v>28</v>
      </c>
      <c r="C33" s="680" t="s">
        <v>275</v>
      </c>
      <c r="D33" s="680" t="e">
        <f>+VLOOKUP(C33,'OCTUBRE 2025'!$C$8:$D$10,2,0)</f>
        <v>#N/A</v>
      </c>
      <c r="E33" s="719">
        <v>1</v>
      </c>
      <c r="F33" s="681" t="s">
        <v>124</v>
      </c>
      <c r="G33" s="681"/>
      <c r="H33" s="279" t="s">
        <v>132</v>
      </c>
      <c r="I33" s="682" t="e">
        <f>+VLOOKUP(C33,'OCTUBRE 2025'!$C$8:$J$10,3,0)</f>
        <v>#N/A</v>
      </c>
      <c r="J33" s="683" t="e">
        <f>+VLOOKUP(C33,'OCTUBRE 2025'!$C$8:$J$10,7,0)</f>
        <v>#N/A</v>
      </c>
      <c r="K33" s="684" t="e">
        <f>+'OCTUBRE 2025'!#REF!</f>
        <v>#REF!</v>
      </c>
      <c r="L33" s="337"/>
      <c r="M33" s="338" t="e">
        <f>(+(K33)*8.33%)+Q33+R33</f>
        <v>#REF!</v>
      </c>
      <c r="R33" s="34"/>
    </row>
    <row r="34" spans="2:19">
      <c r="B34" s="389">
        <f t="shared" si="0"/>
        <v>29</v>
      </c>
      <c r="C34" s="680" t="s">
        <v>239</v>
      </c>
      <c r="D34" s="680" t="e">
        <f>+VLOOKUP(C34,'OCTUBRE 2025'!$C$8:$D$10,2,0)</f>
        <v>#N/A</v>
      </c>
      <c r="E34" s="659">
        <v>1</v>
      </c>
      <c r="F34" s="681" t="s">
        <v>124</v>
      </c>
      <c r="G34" s="660"/>
      <c r="H34" s="279" t="s">
        <v>132</v>
      </c>
      <c r="I34" s="682" t="e">
        <f>+VLOOKUP(C34,'OCTUBRE 2025'!$C$8:$J$10,3,0)</f>
        <v>#N/A</v>
      </c>
      <c r="J34" s="683" t="e">
        <f>+VLOOKUP(C34,'OCTUBRE 2025'!$C$8:$J$10,7,0)</f>
        <v>#N/A</v>
      </c>
      <c r="K34" s="684" t="e">
        <f>+'OCTUBRE 2025'!#REF!</f>
        <v>#REF!</v>
      </c>
      <c r="L34" s="661"/>
      <c r="M34" s="338" t="e">
        <f>(+(K34)*8.33%)</f>
        <v>#REF!</v>
      </c>
      <c r="P34" s="635"/>
      <c r="R34" s="34"/>
    </row>
    <row r="35" spans="2:19">
      <c r="B35" s="389">
        <f t="shared" si="0"/>
        <v>30</v>
      </c>
      <c r="C35" s="711" t="s">
        <v>326</v>
      </c>
      <c r="D35" s="711" t="e">
        <f>+VLOOKUP(C35,'OCTUBRE 2025'!$C$8:$D$10,2,0)</f>
        <v>#N/A</v>
      </c>
      <c r="E35" s="712">
        <v>1</v>
      </c>
      <c r="F35" s="713" t="s">
        <v>124</v>
      </c>
      <c r="G35" s="713"/>
      <c r="H35" s="714" t="s">
        <v>132</v>
      </c>
      <c r="I35" s="715" t="e">
        <f>+VLOOKUP(C35,'OCTUBRE 2025'!$C$8:$J$10,3,0)</f>
        <v>#N/A</v>
      </c>
      <c r="J35" s="716" t="e">
        <f>+VLOOKUP(C35,'OCTUBRE 2025'!$C$8:$J$10,7,0)</f>
        <v>#N/A</v>
      </c>
      <c r="K35" s="717" t="e">
        <f>+'OCTUBRE 2025'!#REF!</f>
        <v>#REF!</v>
      </c>
      <c r="L35" s="718"/>
      <c r="M35" s="709" t="e">
        <f>+((K35*8.33%)/30)*14</f>
        <v>#REF!</v>
      </c>
      <c r="P35" s="34"/>
      <c r="R35" s="34"/>
    </row>
    <row r="36" spans="2:19">
      <c r="B36" s="389">
        <f t="shared" si="0"/>
        <v>31</v>
      </c>
      <c r="C36" s="182">
        <v>955395686</v>
      </c>
      <c r="D36" s="182" t="e">
        <f>+VLOOKUP(C36,'OCTUBRE 2025'!$C$8:$D$10,2,0)</f>
        <v>#N/A</v>
      </c>
      <c r="E36" s="564">
        <v>1</v>
      </c>
      <c r="F36" s="71" t="s">
        <v>124</v>
      </c>
      <c r="G36" s="71"/>
      <c r="H36" s="17" t="s">
        <v>132</v>
      </c>
      <c r="I36" s="561" t="e">
        <f>+VLOOKUP(C36,'OCTUBRE 2025'!$C$8:$J$10,3,0)</f>
        <v>#N/A</v>
      </c>
      <c r="J36" s="606" t="e">
        <f>+VLOOKUP(C36,'OCTUBRE 2025'!$C$8:$J$10,7,0)</f>
        <v>#N/A</v>
      </c>
      <c r="K36" s="336" t="e">
        <f>+'OCTUBRE 2025'!#REF!</f>
        <v>#REF!</v>
      </c>
      <c r="L36" s="337"/>
      <c r="M36" s="338" t="e">
        <f>(+(K36)*8.33%)</f>
        <v>#REF!</v>
      </c>
    </row>
    <row r="37" spans="2:19">
      <c r="B37" s="389">
        <f t="shared" si="0"/>
        <v>32</v>
      </c>
      <c r="C37" s="182">
        <v>940991987</v>
      </c>
      <c r="D37" s="182" t="e">
        <f>+VLOOKUP(C37,'OCTUBRE 2025'!$C$8:$D$10,2,0)</f>
        <v>#N/A</v>
      </c>
      <c r="E37" s="564">
        <v>1</v>
      </c>
      <c r="F37" s="71" t="s">
        <v>124</v>
      </c>
      <c r="G37" s="71"/>
      <c r="H37" s="17" t="s">
        <v>132</v>
      </c>
      <c r="I37" s="561" t="e">
        <f>+VLOOKUP(C37,'OCTUBRE 2025'!$C$8:$J$10,3,0)</f>
        <v>#N/A</v>
      </c>
      <c r="J37" s="606" t="e">
        <f>+VLOOKUP(C37,'OCTUBRE 2025'!$C$8:$J$10,7,0)</f>
        <v>#N/A</v>
      </c>
      <c r="K37" s="336" t="e">
        <f>+'OCTUBRE 2025'!#REF!</f>
        <v>#REF!</v>
      </c>
      <c r="L37" s="337"/>
      <c r="M37" s="338" t="e">
        <f>(+(K37)*8.33%)</f>
        <v>#REF!</v>
      </c>
    </row>
    <row r="38" spans="2:19">
      <c r="B38" s="389">
        <f t="shared" si="0"/>
        <v>33</v>
      </c>
      <c r="C38" s="597">
        <v>956929277</v>
      </c>
      <c r="D38" s="597" t="e">
        <f>+VLOOKUP(C38,'OCTUBRE 2025'!$C$8:$D$10,2,0)</f>
        <v>#N/A</v>
      </c>
      <c r="E38" s="603"/>
      <c r="F38" s="604" t="s">
        <v>124</v>
      </c>
      <c r="G38" s="662"/>
      <c r="H38" s="598" t="s">
        <v>124</v>
      </c>
      <c r="I38" s="599" t="e">
        <f>+VLOOKUP(C38,'OCTUBRE 2025'!$C$8:$J$10,3,0)</f>
        <v>#N/A</v>
      </c>
      <c r="J38" s="608" t="e">
        <f>+VLOOKUP(C38,'OCTUBRE 2025'!$C$8:$J$10,7,0)</f>
        <v>#N/A</v>
      </c>
      <c r="K38" s="600" t="e">
        <f>+'OCTUBRE 2025'!#REF!</f>
        <v>#REF!</v>
      </c>
      <c r="L38" s="601"/>
      <c r="M38" s="602">
        <v>0</v>
      </c>
      <c r="O38" s="635"/>
      <c r="R38" s="34"/>
    </row>
    <row r="39" spans="2:19">
      <c r="B39" s="389">
        <f t="shared" ref="B39:B55" si="3">+B38+1</f>
        <v>34</v>
      </c>
      <c r="C39" s="182">
        <v>951763994</v>
      </c>
      <c r="D39" s="182" t="e">
        <f>+VLOOKUP(C39,'OCTUBRE 2025'!$C$8:$D$10,2,0)</f>
        <v>#N/A</v>
      </c>
      <c r="E39" s="564">
        <v>1</v>
      </c>
      <c r="F39" s="71" t="s">
        <v>132</v>
      </c>
      <c r="G39" s="341">
        <v>44991</v>
      </c>
      <c r="H39" s="17" t="s">
        <v>132</v>
      </c>
      <c r="I39" s="561" t="e">
        <f>+VLOOKUP(C39,'OCTUBRE 2025'!$C$8:$J$10,3,0)</f>
        <v>#N/A</v>
      </c>
      <c r="J39" s="606" t="e">
        <f>+VLOOKUP(C39,'OCTUBRE 2025'!$C$8:$J$10,7,0)</f>
        <v>#N/A</v>
      </c>
      <c r="K39" s="336" t="e">
        <f>+'OCTUBRE 2025'!#REF!</f>
        <v>#REF!</v>
      </c>
      <c r="L39" s="337"/>
      <c r="M39" s="338" t="s">
        <v>140</v>
      </c>
      <c r="O39" s="635"/>
      <c r="R39" s="34"/>
    </row>
    <row r="40" spans="2:19">
      <c r="B40" s="389">
        <f t="shared" si="3"/>
        <v>35</v>
      </c>
      <c r="C40" s="182">
        <v>950703199</v>
      </c>
      <c r="D40" s="182" t="e">
        <f>+VLOOKUP(C40,'OCTUBRE 2025'!$C$8:$D$10,2,0)</f>
        <v>#N/A</v>
      </c>
      <c r="E40" s="565">
        <v>1</v>
      </c>
      <c r="F40" s="343" t="s">
        <v>124</v>
      </c>
      <c r="G40" s="343"/>
      <c r="H40" s="344" t="s">
        <v>132</v>
      </c>
      <c r="I40" s="561" t="e">
        <f>+VLOOKUP(C40,'OCTUBRE 2025'!$C$8:$J$10,3,0)</f>
        <v>#N/A</v>
      </c>
      <c r="J40" s="606" t="e">
        <f>+VLOOKUP(C40,'OCTUBRE 2025'!$C$8:$J$10,7,0)</f>
        <v>#N/A</v>
      </c>
      <c r="K40" s="336" t="e">
        <f>+'OCTUBRE 2025'!#REF!</f>
        <v>#REF!</v>
      </c>
      <c r="L40" s="337"/>
      <c r="M40" s="338" t="e">
        <f>(+(K40)*8.33%)+Q40+R40</f>
        <v>#REF!</v>
      </c>
    </row>
    <row r="41" spans="2:19">
      <c r="B41" s="389">
        <f t="shared" si="3"/>
        <v>36</v>
      </c>
      <c r="C41" s="182" t="s">
        <v>423</v>
      </c>
      <c r="D41" s="685" t="e">
        <f>+VLOOKUP(C41,'OCTUBRE 2025'!$C$8:$D$10,2,0)</f>
        <v>#N/A</v>
      </c>
      <c r="E41" s="565">
        <v>2</v>
      </c>
      <c r="F41" s="343" t="s">
        <v>124</v>
      </c>
      <c r="G41" s="343"/>
      <c r="H41" s="344" t="s">
        <v>124</v>
      </c>
      <c r="I41" s="686" t="e">
        <f>+VLOOKUP(C41,'OCTUBRE 2025'!$C$8:$J$10,3,0)</f>
        <v>#N/A</v>
      </c>
      <c r="J41" s="687" t="e">
        <f>+VLOOKUP(C41,'OCTUBRE 2025'!$C$8:$J$10,7,0)</f>
        <v>#N/A</v>
      </c>
      <c r="K41" s="688" t="e">
        <f>+'OCTUBRE 2025'!#REF!</f>
        <v>#REF!</v>
      </c>
      <c r="L41" s="689"/>
      <c r="M41" s="737">
        <v>0</v>
      </c>
    </row>
    <row r="42" spans="2:19">
      <c r="B42" s="389">
        <f t="shared" si="3"/>
        <v>37</v>
      </c>
      <c r="C42" s="182">
        <v>925830689</v>
      </c>
      <c r="D42" s="182" t="e">
        <f>+VLOOKUP(C42,'OCTUBRE 2025'!$C$8:$D$10,2,0)</f>
        <v>#N/A</v>
      </c>
      <c r="E42" s="564">
        <v>1</v>
      </c>
      <c r="F42" s="71" t="s">
        <v>124</v>
      </c>
      <c r="G42" s="71"/>
      <c r="H42" s="17" t="s">
        <v>132</v>
      </c>
      <c r="I42" s="561" t="e">
        <f>+VLOOKUP(C42,'OCTUBRE 2025'!$C$8:$J$10,3,0)</f>
        <v>#N/A</v>
      </c>
      <c r="J42" s="606" t="e">
        <f>+VLOOKUP(C42,'OCTUBRE 2025'!$C$8:$J$10,7,0)</f>
        <v>#N/A</v>
      </c>
      <c r="K42" s="336" t="e">
        <f>+'OCTUBRE 2025'!#REF!</f>
        <v>#REF!</v>
      </c>
      <c r="L42" s="337"/>
      <c r="M42" s="338" t="e">
        <f>(+(K42)*8.33%)+Q42+R42</f>
        <v>#REF!</v>
      </c>
    </row>
    <row r="43" spans="2:19">
      <c r="B43" s="389">
        <f t="shared" si="3"/>
        <v>38</v>
      </c>
      <c r="C43" s="182">
        <v>944034842</v>
      </c>
      <c r="D43" s="182" t="e">
        <f>+VLOOKUP(C43,'OCTUBRE 2025'!$C$8:$D$10,2,0)</f>
        <v>#N/A</v>
      </c>
      <c r="E43" s="564">
        <v>2</v>
      </c>
      <c r="F43" s="71" t="s">
        <v>124</v>
      </c>
      <c r="G43" s="71"/>
      <c r="H43" s="17" t="s">
        <v>124</v>
      </c>
      <c r="I43" s="561" t="e">
        <f>+VLOOKUP(C43,'OCTUBRE 2025'!$C$8:$J$10,3,0)</f>
        <v>#N/A</v>
      </c>
      <c r="J43" s="606" t="e">
        <f>+VLOOKUP(C43,'OCTUBRE 2025'!$C$8:$J$10,7,0)</f>
        <v>#N/A</v>
      </c>
      <c r="K43" s="336" t="e">
        <f>+'OCTUBRE 2025'!#REF!</f>
        <v>#REF!</v>
      </c>
      <c r="L43" s="337"/>
      <c r="M43" s="338"/>
    </row>
    <row r="44" spans="2:19">
      <c r="B44" s="389">
        <f t="shared" si="3"/>
        <v>39</v>
      </c>
      <c r="C44" s="182">
        <v>951340702</v>
      </c>
      <c r="D44" s="182" t="e">
        <f>+VLOOKUP(C44,'OCTUBRE 2025'!$C$8:$D$10,2,0)</f>
        <v>#N/A</v>
      </c>
      <c r="E44" s="564">
        <v>1</v>
      </c>
      <c r="F44" s="71" t="s">
        <v>124</v>
      </c>
      <c r="G44" s="71"/>
      <c r="H44" s="17" t="s">
        <v>132</v>
      </c>
      <c r="I44" s="561" t="e">
        <f>+VLOOKUP(C44,'OCTUBRE 2025'!$C$8:$J$10,3,0)</f>
        <v>#N/A</v>
      </c>
      <c r="J44" s="606" t="e">
        <f>+VLOOKUP(C44,'OCTUBRE 2025'!$C$8:$J$10,7,0)</f>
        <v>#N/A</v>
      </c>
      <c r="K44" s="336" t="e">
        <f>+'OCTUBRE 2025'!#REF!</f>
        <v>#REF!</v>
      </c>
      <c r="L44" s="337"/>
      <c r="M44" s="338" t="e">
        <f>(+(K44)*8.33%)</f>
        <v>#REF!</v>
      </c>
      <c r="S44" s="120"/>
    </row>
    <row r="45" spans="2:19">
      <c r="B45" s="389">
        <f t="shared" si="3"/>
        <v>40</v>
      </c>
      <c r="C45" s="182">
        <v>650112949</v>
      </c>
      <c r="D45" s="182" t="e">
        <f>+VLOOKUP(C45,'OCTUBRE 2025'!$C$8:$D$10,2,0)</f>
        <v>#N/A</v>
      </c>
      <c r="E45" s="564">
        <v>1</v>
      </c>
      <c r="F45" s="71" t="s">
        <v>124</v>
      </c>
      <c r="G45" s="71"/>
      <c r="H45" s="17" t="s">
        <v>132</v>
      </c>
      <c r="I45" s="561" t="e">
        <f>+VLOOKUP(C45,'OCTUBRE 2025'!$C$8:$J$10,3,0)</f>
        <v>#N/A</v>
      </c>
      <c r="J45" s="606" t="e">
        <f>+VLOOKUP(C45,'OCTUBRE 2025'!$C$8:$J$10,7,0)</f>
        <v>#N/A</v>
      </c>
      <c r="K45" s="336" t="e">
        <f>+'OCTUBRE 2025'!#REF!</f>
        <v>#REF!</v>
      </c>
      <c r="L45" s="337"/>
      <c r="M45" s="338" t="e">
        <f>(+(K45)*8.33%)</f>
        <v>#REF!</v>
      </c>
    </row>
    <row r="46" spans="2:19">
      <c r="B46" s="389">
        <f t="shared" si="3"/>
        <v>41</v>
      </c>
      <c r="C46" s="182">
        <v>924232804</v>
      </c>
      <c r="D46" s="182" t="e">
        <f>+VLOOKUP(C46,'OCTUBRE 2025'!$C$8:$D$10,2,0)</f>
        <v>#N/A</v>
      </c>
      <c r="E46" s="564">
        <v>1</v>
      </c>
      <c r="F46" s="71" t="s">
        <v>124</v>
      </c>
      <c r="G46" s="71"/>
      <c r="H46" s="17" t="s">
        <v>132</v>
      </c>
      <c r="I46" s="561" t="e">
        <f>+VLOOKUP(C46,'OCTUBRE 2025'!$C$8:$J$10,3,0)</f>
        <v>#N/A</v>
      </c>
      <c r="J46" s="606" t="e">
        <f>+VLOOKUP(C46,'OCTUBRE 2025'!$C$8:$J$10,7,0)</f>
        <v>#N/A</v>
      </c>
      <c r="K46" s="336" t="e">
        <f>+'OCTUBRE 2025'!#REF!</f>
        <v>#REF!</v>
      </c>
      <c r="L46" s="337"/>
      <c r="M46" s="338" t="e">
        <f t="shared" ref="M46:M55" si="4">(+(K46)*8.33%)</f>
        <v>#REF!</v>
      </c>
    </row>
    <row r="47" spans="2:19">
      <c r="B47" s="389">
        <f t="shared" si="3"/>
        <v>42</v>
      </c>
      <c r="C47" s="182">
        <v>605031145</v>
      </c>
      <c r="D47" s="182" t="e">
        <f>+VLOOKUP(C47,'OCTUBRE 2025'!$C$8:$D$10,2,0)</f>
        <v>#N/A</v>
      </c>
      <c r="E47" s="564">
        <v>1</v>
      </c>
      <c r="F47" s="71" t="s">
        <v>124</v>
      </c>
      <c r="G47" s="341"/>
      <c r="H47" s="17" t="s">
        <v>132</v>
      </c>
      <c r="I47" s="561" t="e">
        <f>+VLOOKUP(C47,'OCTUBRE 2025'!$C$8:$J$10,3,0)</f>
        <v>#N/A</v>
      </c>
      <c r="J47" s="606" t="e">
        <f>+VLOOKUP(C47,'OCTUBRE 2025'!$C$8:$J$10,7,0)</f>
        <v>#N/A</v>
      </c>
      <c r="K47" s="336" t="e">
        <f>+'OCTUBRE 2025'!#REF!</f>
        <v>#REF!</v>
      </c>
      <c r="L47" s="337"/>
      <c r="M47" s="338" t="e">
        <f t="shared" si="4"/>
        <v>#REF!</v>
      </c>
    </row>
    <row r="48" spans="2:19">
      <c r="B48" s="389">
        <f t="shared" si="3"/>
        <v>43</v>
      </c>
      <c r="C48" s="182">
        <v>927257576</v>
      </c>
      <c r="D48" s="182" t="e">
        <f>+VLOOKUP(C48,'OCTUBRE 2025'!$C$8:$D$10,2,0)</f>
        <v>#N/A</v>
      </c>
      <c r="E48" s="564">
        <v>1</v>
      </c>
      <c r="F48" s="71" t="s">
        <v>124</v>
      </c>
      <c r="G48" s="71"/>
      <c r="H48" s="17" t="s">
        <v>132</v>
      </c>
      <c r="I48" s="561" t="e">
        <f>+VLOOKUP(C48,'OCTUBRE 2025'!$C$8:$J$10,3,0)</f>
        <v>#N/A</v>
      </c>
      <c r="J48" s="606" t="e">
        <f>+VLOOKUP(C48,'OCTUBRE 2025'!$C$8:$J$10,7,0)</f>
        <v>#N/A</v>
      </c>
      <c r="K48" s="336" t="e">
        <f>+'OCTUBRE 2025'!#REF!</f>
        <v>#REF!</v>
      </c>
      <c r="L48" s="337"/>
      <c r="M48" s="338" t="e">
        <f t="shared" si="4"/>
        <v>#REF!</v>
      </c>
    </row>
    <row r="49" spans="2:19">
      <c r="B49" s="389">
        <f t="shared" si="3"/>
        <v>44</v>
      </c>
      <c r="C49" s="182">
        <v>928901800</v>
      </c>
      <c r="D49" s="182" t="e">
        <f>+VLOOKUP(C49,'OCTUBRE 2025'!$C$8:$D$10,2,0)</f>
        <v>#N/A</v>
      </c>
      <c r="E49" s="564">
        <v>1</v>
      </c>
      <c r="F49" s="71" t="s">
        <v>124</v>
      </c>
      <c r="G49" s="71"/>
      <c r="H49" s="17" t="s">
        <v>132</v>
      </c>
      <c r="I49" s="561" t="e">
        <f>+VLOOKUP(C49,'OCTUBRE 2025'!$C$8:$J$10,3,0)</f>
        <v>#N/A</v>
      </c>
      <c r="J49" s="606" t="e">
        <f>+VLOOKUP(C49,'OCTUBRE 2025'!$C$8:$J$10,7,0)</f>
        <v>#N/A</v>
      </c>
      <c r="K49" s="336" t="e">
        <f>+'OCTUBRE 2025'!#REF!</f>
        <v>#REF!</v>
      </c>
      <c r="L49" s="337"/>
      <c r="M49" s="338" t="e">
        <f t="shared" si="4"/>
        <v>#REF!</v>
      </c>
    </row>
    <row r="50" spans="2:19">
      <c r="B50" s="389">
        <f t="shared" si="3"/>
        <v>45</v>
      </c>
      <c r="C50" s="182">
        <v>951315746</v>
      </c>
      <c r="D50" s="182" t="e">
        <f>+VLOOKUP(C50,'OCTUBRE 2025'!$C$8:$D$10,2,0)</f>
        <v>#N/A</v>
      </c>
      <c r="E50" s="564">
        <v>1</v>
      </c>
      <c r="F50" s="71" t="s">
        <v>124</v>
      </c>
      <c r="G50" s="71"/>
      <c r="H50" s="17" t="s">
        <v>132</v>
      </c>
      <c r="I50" s="561" t="e">
        <f>+VLOOKUP(C50,'OCTUBRE 2025'!$C$8:$J$10,3,0)</f>
        <v>#N/A</v>
      </c>
      <c r="J50" s="606" t="e">
        <f>+VLOOKUP(C50,'OCTUBRE 2025'!$C$8:$J$10,7,0)</f>
        <v>#N/A</v>
      </c>
      <c r="K50" s="336" t="e">
        <f>+'OCTUBRE 2025'!#REF!</f>
        <v>#REF!</v>
      </c>
      <c r="L50" s="337"/>
      <c r="M50" s="338" t="e">
        <f t="shared" si="4"/>
        <v>#REF!</v>
      </c>
    </row>
    <row r="51" spans="2:19">
      <c r="B51" s="389">
        <f t="shared" si="3"/>
        <v>46</v>
      </c>
      <c r="C51" s="182">
        <v>954184321</v>
      </c>
      <c r="D51" s="182" t="e">
        <f>+VLOOKUP(C51,'OCTUBRE 2025'!$C$8:$D$10,2,0)</f>
        <v>#N/A</v>
      </c>
      <c r="E51" s="564">
        <v>1</v>
      </c>
      <c r="F51" s="71" t="s">
        <v>124</v>
      </c>
      <c r="G51" s="71"/>
      <c r="H51" s="17" t="s">
        <v>132</v>
      </c>
      <c r="I51" s="561" t="e">
        <f>+VLOOKUP(C51,'OCTUBRE 2025'!$C$8:$J$10,3,0)</f>
        <v>#N/A</v>
      </c>
      <c r="J51" s="606" t="e">
        <f>+VLOOKUP(C51,'OCTUBRE 2025'!$C$8:$J$10,7,0)</f>
        <v>#N/A</v>
      </c>
      <c r="K51" s="336" t="e">
        <f>+'OCTUBRE 2025'!#REF!</f>
        <v>#REF!</v>
      </c>
      <c r="L51" s="337"/>
      <c r="M51" s="338" t="e">
        <f t="shared" si="4"/>
        <v>#REF!</v>
      </c>
    </row>
    <row r="52" spans="2:19">
      <c r="B52" s="389">
        <f t="shared" si="3"/>
        <v>47</v>
      </c>
      <c r="C52" s="182">
        <v>922034772</v>
      </c>
      <c r="D52" s="182" t="e">
        <f>+VLOOKUP(C52,'OCTUBRE 2025'!$C$8:$D$10,2,0)</f>
        <v>#N/A</v>
      </c>
      <c r="E52" s="564">
        <v>1</v>
      </c>
      <c r="F52" s="71" t="s">
        <v>124</v>
      </c>
      <c r="G52" s="71"/>
      <c r="H52" s="17" t="s">
        <v>132</v>
      </c>
      <c r="I52" s="561" t="e">
        <f>+VLOOKUP(C52,'OCTUBRE 2025'!$C$8:$J$10,3,0)</f>
        <v>#N/A</v>
      </c>
      <c r="J52" s="606" t="e">
        <f>+VLOOKUP(C52,'OCTUBRE 2025'!$C$8:$J$10,7,0)</f>
        <v>#N/A</v>
      </c>
      <c r="K52" s="336" t="e">
        <f>+'OCTUBRE 2025'!#REF!</f>
        <v>#REF!</v>
      </c>
      <c r="L52" s="337"/>
      <c r="M52" s="338" t="e">
        <f t="shared" si="4"/>
        <v>#REF!</v>
      </c>
    </row>
    <row r="53" spans="2:19">
      <c r="B53" s="389">
        <f t="shared" si="3"/>
        <v>48</v>
      </c>
      <c r="C53" s="182">
        <v>923837991</v>
      </c>
      <c r="D53" s="182" t="str">
        <f>+VLOOKUP(C53,'OCTUBRE 2025'!$C$8:$D$10,2,0)</f>
        <v>YUNDA CUJILEMA MARIA TERESA</v>
      </c>
      <c r="E53" s="564">
        <v>1</v>
      </c>
      <c r="F53" s="71" t="s">
        <v>124</v>
      </c>
      <c r="G53" s="71"/>
      <c r="H53" s="17" t="s">
        <v>132</v>
      </c>
      <c r="I53" s="561">
        <f>+VLOOKUP(C53,'OCTUBRE 2025'!$C$8:$J$10,3,0)</f>
        <v>41426</v>
      </c>
      <c r="J53" s="606">
        <f>+VLOOKUP(C53,'OCTUBRE 2025'!$C$8:$J$10,7,0)</f>
        <v>30</v>
      </c>
      <c r="K53" s="336">
        <f>+'OCTUBRE 2025'!T8</f>
        <v>1122.2</v>
      </c>
      <c r="L53" s="337"/>
      <c r="M53" s="338">
        <f t="shared" si="4"/>
        <v>93.479259999999996</v>
      </c>
    </row>
    <row r="54" spans="2:19">
      <c r="B54" s="389">
        <f t="shared" si="3"/>
        <v>49</v>
      </c>
      <c r="C54" s="182">
        <v>941508905</v>
      </c>
      <c r="D54" s="182" t="str">
        <f>+VLOOKUP(C54,'OCTUBRE 2025'!$C$8:$D$10,2,0)</f>
        <v>YUQUILEMA CACUANGO ANGEL JOSE</v>
      </c>
      <c r="E54" s="564">
        <v>1</v>
      </c>
      <c r="F54" s="71" t="s">
        <v>124</v>
      </c>
      <c r="G54" s="71"/>
      <c r="H54" s="17" t="s">
        <v>132</v>
      </c>
      <c r="I54" s="561">
        <f>+VLOOKUP(C54,'OCTUBRE 2025'!$C$8:$J$10,3,0)</f>
        <v>43567</v>
      </c>
      <c r="J54" s="606">
        <f>+VLOOKUP(C54,'OCTUBRE 2025'!$C$8:$J$10,7,0)</f>
        <v>30</v>
      </c>
      <c r="K54" s="336">
        <f>+'OCTUBRE 2025'!T9</f>
        <v>622.21</v>
      </c>
      <c r="L54" s="337"/>
      <c r="M54" s="338">
        <f>(+(K54)*8.33%)</f>
        <v>51.830093000000005</v>
      </c>
    </row>
    <row r="55" spans="2:19">
      <c r="B55" s="389">
        <f t="shared" si="3"/>
        <v>50</v>
      </c>
      <c r="C55" s="182">
        <v>604154575</v>
      </c>
      <c r="D55" s="182" t="str">
        <f>+VLOOKUP(C55,'OCTUBRE 2025'!$C$8:$D$10,2,0)</f>
        <v>YUQUILEMA DELGADO PEDRO ANTONIO</v>
      </c>
      <c r="E55" s="566">
        <v>1</v>
      </c>
      <c r="F55" s="345" t="s">
        <v>124</v>
      </c>
      <c r="G55" s="345"/>
      <c r="H55" s="346" t="s">
        <v>132</v>
      </c>
      <c r="I55" s="561">
        <f>+VLOOKUP(C55,'OCTUBRE 2025'!$C$8:$J$10,3,0)</f>
        <v>43379</v>
      </c>
      <c r="J55" s="606">
        <f>+VLOOKUP(C55,'OCTUBRE 2025'!$C$8:$J$10,7,0)</f>
        <v>30</v>
      </c>
      <c r="K55" s="336">
        <f>+'OCTUBRE 2025'!T10</f>
        <v>1022.2</v>
      </c>
      <c r="L55" s="337"/>
      <c r="M55" s="338">
        <f t="shared" si="4"/>
        <v>85.149259999999998</v>
      </c>
    </row>
    <row r="56" spans="2:19">
      <c r="E56" s="567"/>
      <c r="K56" s="347" t="e">
        <f>SUM(K6:K55)</f>
        <v>#REF!</v>
      </c>
      <c r="L56" s="347">
        <f>SUM(L6:L55)</f>
        <v>0</v>
      </c>
      <c r="M56" s="347" t="e">
        <f>SUM(M6:M55)</f>
        <v>#REF!</v>
      </c>
      <c r="Q56" s="34">
        <f>SUM(Q6:Q55)</f>
        <v>0</v>
      </c>
      <c r="R56" s="34"/>
    </row>
    <row r="57" spans="2:19">
      <c r="S57" s="80"/>
    </row>
    <row r="58" spans="2:19">
      <c r="M58" s="80"/>
    </row>
    <row r="59" spans="2:19">
      <c r="S59" s="80"/>
    </row>
    <row r="61" spans="2:19">
      <c r="S61" s="80"/>
    </row>
  </sheetData>
  <autoFilter ref="B5:M56" xr:uid="{6F73CCD7-2450-4C47-8B45-0A83CD8E7617}"/>
  <mergeCells count="2">
    <mergeCell ref="D2:M2"/>
    <mergeCell ref="D3:M3"/>
  </mergeCells>
  <phoneticPr fontId="13" type="noConversion"/>
  <conditionalFormatting sqref="M6:M55">
    <cfRule type="containsText" dxfId="0" priority="1" operator="containsText" text="ACUMULA">
      <formula>NOT(ISERROR(SEARCH("ACUMULA",M6)))</formula>
    </cfRule>
  </conditionalFormatting>
  <dataValidations count="1">
    <dataValidation allowBlank="1" showInputMessage="1" showErrorMessage="1" promptTitle="ingreso gravable" prompt="sueldo + horas extras+ comisiones+ bonos" sqref="K5" xr:uid="{98060FE6-A902-4077-8234-673F2F6D7E1E}"/>
  </dataValidations>
  <pageMargins left="0.19" right="0.12" top="0.75" bottom="0.75" header="0.3" footer="0.3"/>
  <pageSetup paperSize="9" scale="66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7D5D-3B24-4577-AC86-452C0A17EE8B}">
  <sheetPr codeName="Hoja12"/>
  <dimension ref="B2:L42"/>
  <sheetViews>
    <sheetView showGridLines="0" workbookViewId="0">
      <selection activeCell="C20" sqref="C20"/>
    </sheetView>
  </sheetViews>
  <sheetFormatPr baseColWidth="10" defaultRowHeight="14.4"/>
  <cols>
    <col min="2" max="2" width="24.33203125" bestFit="1" customWidth="1"/>
    <col min="3" max="4" width="17" customWidth="1"/>
    <col min="5" max="5" width="11.33203125" customWidth="1"/>
    <col min="6" max="6" width="9.5546875" bestFit="1" customWidth="1"/>
    <col min="7" max="7" width="12.88671875" customWidth="1"/>
    <col min="8" max="8" width="9.6640625" bestFit="1" customWidth="1"/>
    <col min="10" max="10" width="9.5546875" bestFit="1" customWidth="1"/>
    <col min="11" max="11" width="10" bestFit="1" customWidth="1"/>
    <col min="12" max="12" width="27.10937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114" t="s">
        <v>163</v>
      </c>
      <c r="C8" s="932" t="s">
        <v>396</v>
      </c>
      <c r="D8" s="932"/>
      <c r="F8" s="116" t="s">
        <v>164</v>
      </c>
      <c r="G8" s="117">
        <v>45195</v>
      </c>
    </row>
    <row r="9" spans="2:9">
      <c r="B9" s="67" t="s">
        <v>165</v>
      </c>
      <c r="C9" s="933">
        <v>45397</v>
      </c>
      <c r="D9" s="933"/>
      <c r="F9" s="67" t="s">
        <v>166</v>
      </c>
      <c r="G9" s="118">
        <v>45278</v>
      </c>
    </row>
    <row r="10" spans="2:9">
      <c r="B10" s="67" t="s">
        <v>167</v>
      </c>
      <c r="C10" s="857">
        <v>550</v>
      </c>
      <c r="D10" s="857"/>
      <c r="F10" s="11" t="s">
        <v>168</v>
      </c>
      <c r="G10" s="119">
        <f>+G9-G8</f>
        <v>83</v>
      </c>
      <c r="I10" s="120"/>
    </row>
    <row r="11" spans="2:9">
      <c r="B11" s="67" t="s">
        <v>169</v>
      </c>
      <c r="C11" s="798" t="s">
        <v>170</v>
      </c>
      <c r="D11" s="798"/>
    </row>
    <row r="12" spans="2:9" ht="5.25" customHeight="1"/>
    <row r="13" spans="2:9">
      <c r="B13" s="51" t="s">
        <v>171</v>
      </c>
    </row>
    <row r="14" spans="2:9">
      <c r="B14" s="854" t="s">
        <v>172</v>
      </c>
      <c r="C14" s="854"/>
      <c r="D14" s="34">
        <f>+C10/30</f>
        <v>18.333333333333332</v>
      </c>
      <c r="E14" s="17" t="s">
        <v>173</v>
      </c>
      <c r="F14" s="120">
        <f>+C10/30</f>
        <v>18.333333333333332</v>
      </c>
    </row>
    <row r="15" spans="2:9">
      <c r="B15" s="854" t="s">
        <v>174</v>
      </c>
      <c r="C15" s="854"/>
      <c r="D15" s="34">
        <f>+D14*25%</f>
        <v>4.583333333333333</v>
      </c>
      <c r="E15" s="17" t="s">
        <v>175</v>
      </c>
      <c r="F15" s="120">
        <f>+F14*25%</f>
        <v>4.583333333333333</v>
      </c>
    </row>
    <row r="16" spans="2:9" ht="8.25" customHeight="1"/>
    <row r="17" spans="2:12">
      <c r="B17" s="928" t="s">
        <v>176</v>
      </c>
      <c r="C17" s="928" t="s">
        <v>177</v>
      </c>
      <c r="D17" s="928"/>
      <c r="E17" s="928" t="s">
        <v>178</v>
      </c>
      <c r="F17" s="928" t="s">
        <v>179</v>
      </c>
      <c r="G17" s="928" t="s">
        <v>180</v>
      </c>
    </row>
    <row r="18" spans="2:12">
      <c r="B18" s="928"/>
      <c r="C18" s="121" t="s">
        <v>181</v>
      </c>
      <c r="D18" s="121" t="s">
        <v>182</v>
      </c>
      <c r="E18" s="928"/>
      <c r="F18" s="928"/>
      <c r="G18" s="928"/>
    </row>
    <row r="19" spans="2:12">
      <c r="B19" s="115">
        <v>1</v>
      </c>
      <c r="C19" s="255">
        <v>45658</v>
      </c>
      <c r="D19" s="255"/>
      <c r="E19" s="256"/>
      <c r="F19" s="257"/>
      <c r="G19" s="123"/>
    </row>
    <row r="20" spans="2:12">
      <c r="B20" s="115">
        <v>2</v>
      </c>
      <c r="C20" s="255"/>
      <c r="D20" s="255"/>
      <c r="E20" s="256"/>
      <c r="F20" s="257"/>
      <c r="G20" s="258"/>
      <c r="L20" s="80"/>
    </row>
    <row r="21" spans="2:12">
      <c r="B21" s="115">
        <v>3</v>
      </c>
      <c r="C21" s="255"/>
      <c r="D21" s="255"/>
      <c r="E21" s="256"/>
      <c r="F21" s="257"/>
      <c r="G21" s="258"/>
      <c r="L21" s="80"/>
    </row>
    <row r="22" spans="2:12">
      <c r="B22" s="115">
        <v>4</v>
      </c>
      <c r="C22" s="255"/>
      <c r="D22" s="255"/>
      <c r="E22" s="256"/>
      <c r="F22" s="257"/>
      <c r="G22" s="258"/>
    </row>
    <row r="23" spans="2:12">
      <c r="B23" s="115">
        <v>5</v>
      </c>
      <c r="C23" s="134"/>
      <c r="D23" s="134"/>
      <c r="E23" s="115"/>
      <c r="F23" s="122"/>
      <c r="G23" s="123"/>
      <c r="L23" s="80"/>
    </row>
    <row r="24" spans="2:12">
      <c r="B24" s="115">
        <v>6</v>
      </c>
      <c r="C24" s="134"/>
      <c r="D24" s="134"/>
      <c r="E24" s="115"/>
      <c r="F24" s="122"/>
      <c r="G24" s="123"/>
      <c r="L24" s="80"/>
    </row>
    <row r="25" spans="2:12">
      <c r="B25" s="929" t="s">
        <v>21</v>
      </c>
      <c r="C25" s="930"/>
      <c r="D25" s="930"/>
      <c r="E25" s="931"/>
      <c r="F25" s="124">
        <f>SUM(F19:F24)</f>
        <v>0</v>
      </c>
      <c r="G25" s="125">
        <f>SUM(G19:G24)</f>
        <v>0</v>
      </c>
      <c r="L25" s="80"/>
    </row>
    <row r="26" spans="2:12">
      <c r="B26" s="110"/>
      <c r="C26" s="110"/>
      <c r="D26" s="110"/>
      <c r="E26" s="110"/>
      <c r="F26" s="126"/>
      <c r="G26" s="127"/>
      <c r="L26" s="80"/>
    </row>
    <row r="27" spans="2:12" ht="15.6">
      <c r="B27" s="860" t="s">
        <v>183</v>
      </c>
      <c r="C27" s="860"/>
      <c r="D27" s="860"/>
      <c r="E27" s="860"/>
      <c r="F27" s="10"/>
    </row>
    <row r="28" spans="2:12" ht="7.5" customHeight="1">
      <c r="B28" s="10"/>
      <c r="C28" s="10"/>
      <c r="D28" s="10"/>
      <c r="E28" s="10"/>
      <c r="F28" s="10"/>
    </row>
    <row r="29" spans="2:12">
      <c r="B29" s="128" t="s">
        <v>86</v>
      </c>
      <c r="C29" s="128" t="s">
        <v>87</v>
      </c>
      <c r="D29" s="128" t="s">
        <v>113</v>
      </c>
      <c r="E29" s="128" t="s">
        <v>87</v>
      </c>
      <c r="F29" s="10"/>
    </row>
    <row r="30" spans="2:12">
      <c r="B30" s="11" t="s">
        <v>88</v>
      </c>
      <c r="C30" s="12">
        <v>600</v>
      </c>
      <c r="D30" s="166" t="s">
        <v>184</v>
      </c>
      <c r="E30" s="12">
        <v>56.7</v>
      </c>
      <c r="F30" s="10"/>
    </row>
    <row r="31" spans="2:12">
      <c r="B31" s="11" t="s">
        <v>89</v>
      </c>
      <c r="C31" s="12">
        <v>0</v>
      </c>
      <c r="D31" s="10" t="s">
        <v>90</v>
      </c>
      <c r="E31" s="12">
        <v>0</v>
      </c>
      <c r="F31" s="10"/>
    </row>
    <row r="32" spans="2:12">
      <c r="B32" s="11" t="s">
        <v>57</v>
      </c>
      <c r="C32" s="12">
        <v>0</v>
      </c>
      <c r="D32" s="11"/>
      <c r="E32" s="12"/>
      <c r="F32" s="10"/>
    </row>
    <row r="33" spans="2:7">
      <c r="B33" s="11" t="s">
        <v>91</v>
      </c>
      <c r="C33" s="12">
        <v>0</v>
      </c>
      <c r="D33" s="11"/>
      <c r="E33" s="12"/>
      <c r="F33" s="10"/>
    </row>
    <row r="34" spans="2:7">
      <c r="B34" s="11" t="s">
        <v>5</v>
      </c>
      <c r="C34" s="12">
        <v>0</v>
      </c>
      <c r="D34" s="11"/>
      <c r="E34" s="12"/>
      <c r="F34" s="10"/>
    </row>
    <row r="35" spans="2:7">
      <c r="B35" s="11" t="s">
        <v>185</v>
      </c>
      <c r="C35" s="12">
        <v>0</v>
      </c>
      <c r="D35" s="11"/>
      <c r="E35" s="12"/>
      <c r="F35" s="10"/>
    </row>
    <row r="36" spans="2:7">
      <c r="B36" s="11" t="s">
        <v>92</v>
      </c>
      <c r="C36" s="12">
        <v>0</v>
      </c>
      <c r="D36" s="11"/>
      <c r="E36" s="12"/>
      <c r="F36" s="10"/>
    </row>
    <row r="37" spans="2:7">
      <c r="B37" s="11" t="s">
        <v>93</v>
      </c>
      <c r="C37" s="12">
        <v>0</v>
      </c>
      <c r="D37" s="11"/>
      <c r="E37" s="12"/>
      <c r="F37" s="10"/>
    </row>
    <row r="38" spans="2:7">
      <c r="B38" s="11" t="s">
        <v>14</v>
      </c>
      <c r="C38" s="12">
        <v>49.98</v>
      </c>
      <c r="D38" s="11"/>
      <c r="E38" s="12"/>
      <c r="F38" s="10"/>
    </row>
    <row r="39" spans="2:7">
      <c r="B39" s="11" t="s">
        <v>44</v>
      </c>
      <c r="C39" s="12">
        <v>0</v>
      </c>
      <c r="D39" s="11"/>
      <c r="E39" s="12"/>
      <c r="F39" s="10"/>
    </row>
    <row r="40" spans="2:7">
      <c r="B40" s="11" t="s">
        <v>94</v>
      </c>
      <c r="C40" s="12">
        <v>0</v>
      </c>
      <c r="D40" s="11"/>
      <c r="E40" s="12"/>
      <c r="F40" s="10"/>
    </row>
    <row r="41" spans="2:7">
      <c r="B41" s="129" t="s">
        <v>186</v>
      </c>
      <c r="C41" s="130">
        <f>SUM(C30:C40)</f>
        <v>649.98</v>
      </c>
      <c r="D41" s="131" t="s">
        <v>95</v>
      </c>
      <c r="E41" s="130">
        <f>SUM(E30:E37)</f>
        <v>56.7</v>
      </c>
      <c r="F41" s="10">
        <v>593.28</v>
      </c>
    </row>
    <row r="42" spans="2:7">
      <c r="B42" s="113"/>
      <c r="C42" s="113"/>
      <c r="D42" s="129" t="s">
        <v>96</v>
      </c>
      <c r="E42" s="130">
        <f>+C41-E41</f>
        <v>593.28</v>
      </c>
      <c r="F42" s="132">
        <f>F41-E42</f>
        <v>0</v>
      </c>
      <c r="G42" s="80"/>
    </row>
  </sheetData>
  <mergeCells count="13">
    <mergeCell ref="C8:D8"/>
    <mergeCell ref="C9:D9"/>
    <mergeCell ref="C10:D10"/>
    <mergeCell ref="C11:D11"/>
    <mergeCell ref="B14:C14"/>
    <mergeCell ref="F17:F18"/>
    <mergeCell ref="G17:G18"/>
    <mergeCell ref="B27:E27"/>
    <mergeCell ref="B25:E25"/>
    <mergeCell ref="B15:C15"/>
    <mergeCell ref="B17:B18"/>
    <mergeCell ref="C17:D17"/>
    <mergeCell ref="E17:E18"/>
  </mergeCells>
  <dataValidations count="1">
    <dataValidation allowBlank="1" showInputMessage="1" showErrorMessage="1" promptTitle="PERMISO MATERNAL" prompt="SE LE DIÓ 15 DIAS ADICIONALES_x000a_DEL 11 AL 25 SEPT 2023" sqref="G8" xr:uid="{88845F62-7146-4678-92CC-34DFBC80A7C9}"/>
  </dataValidations>
  <pageMargins left="0.25" right="0.25" top="1.1100000000000001" bottom="0.75" header="0.31" footer="0.3"/>
  <pageSetup paperSize="9" scale="85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8580-AFF4-4EEE-814A-DE4DA341CBDB}">
  <sheetPr codeName="Hoja13"/>
  <dimension ref="B1:R58"/>
  <sheetViews>
    <sheetView showGridLines="0" topLeftCell="A19" zoomScale="85" zoomScaleNormal="85" workbookViewId="0">
      <selection activeCell="R24" sqref="R24"/>
    </sheetView>
  </sheetViews>
  <sheetFormatPr baseColWidth="10" defaultRowHeight="13.8"/>
  <cols>
    <col min="1" max="1" width="6.6640625" style="81" customWidth="1"/>
    <col min="2" max="5" width="11.5546875" style="81"/>
    <col min="6" max="6" width="8.21875" style="81" customWidth="1"/>
    <col min="7" max="7" width="11.5546875" style="81"/>
    <col min="8" max="8" width="16" style="81" customWidth="1"/>
    <col min="9" max="246" width="11.5546875" style="81"/>
    <col min="247" max="247" width="2.109375" style="81" customWidth="1"/>
    <col min="248" max="248" width="10" style="81" bestFit="1" customWidth="1"/>
    <col min="249" max="249" width="13" style="81" customWidth="1"/>
    <col min="250" max="251" width="11.5546875" style="81"/>
    <col min="252" max="252" width="11" style="81" bestFit="1" customWidth="1"/>
    <col min="253" max="253" width="11.5546875" style="81"/>
    <col min="254" max="254" width="12.88671875" style="81" customWidth="1"/>
    <col min="255" max="255" width="11.5546875" style="81"/>
    <col min="256" max="256" width="12.33203125" style="81" bestFit="1" customWidth="1"/>
    <col min="257" max="257" width="18.88671875" style="81" customWidth="1"/>
    <col min="258" max="502" width="11.5546875" style="81"/>
    <col min="503" max="503" width="2.109375" style="81" customWidth="1"/>
    <col min="504" max="504" width="10" style="81" bestFit="1" customWidth="1"/>
    <col min="505" max="505" width="13" style="81" customWidth="1"/>
    <col min="506" max="507" width="11.5546875" style="81"/>
    <col min="508" max="508" width="11" style="81" bestFit="1" customWidth="1"/>
    <col min="509" max="509" width="11.5546875" style="81"/>
    <col min="510" max="510" width="12.88671875" style="81" customWidth="1"/>
    <col min="511" max="511" width="11.5546875" style="81"/>
    <col min="512" max="512" width="12.33203125" style="81" bestFit="1" customWidth="1"/>
    <col min="513" max="513" width="18.88671875" style="81" customWidth="1"/>
    <col min="514" max="758" width="11.5546875" style="81"/>
    <col min="759" max="759" width="2.109375" style="81" customWidth="1"/>
    <col min="760" max="760" width="10" style="81" bestFit="1" customWidth="1"/>
    <col min="761" max="761" width="13" style="81" customWidth="1"/>
    <col min="762" max="763" width="11.5546875" style="81"/>
    <col min="764" max="764" width="11" style="81" bestFit="1" customWidth="1"/>
    <col min="765" max="765" width="11.5546875" style="81"/>
    <col min="766" max="766" width="12.88671875" style="81" customWidth="1"/>
    <col min="767" max="767" width="11.5546875" style="81"/>
    <col min="768" max="768" width="12.33203125" style="81" bestFit="1" customWidth="1"/>
    <col min="769" max="769" width="18.88671875" style="81" customWidth="1"/>
    <col min="770" max="1014" width="11.5546875" style="81"/>
    <col min="1015" max="1015" width="2.109375" style="81" customWidth="1"/>
    <col min="1016" max="1016" width="10" style="81" bestFit="1" customWidth="1"/>
    <col min="1017" max="1017" width="13" style="81" customWidth="1"/>
    <col min="1018" max="1019" width="11.5546875" style="81"/>
    <col min="1020" max="1020" width="11" style="81" bestFit="1" customWidth="1"/>
    <col min="1021" max="1021" width="11.5546875" style="81"/>
    <col min="1022" max="1022" width="12.88671875" style="81" customWidth="1"/>
    <col min="1023" max="1023" width="11.5546875" style="81"/>
    <col min="1024" max="1024" width="12.33203125" style="81" bestFit="1" customWidth="1"/>
    <col min="1025" max="1025" width="18.88671875" style="81" customWidth="1"/>
    <col min="1026" max="1270" width="11.5546875" style="81"/>
    <col min="1271" max="1271" width="2.109375" style="81" customWidth="1"/>
    <col min="1272" max="1272" width="10" style="81" bestFit="1" customWidth="1"/>
    <col min="1273" max="1273" width="13" style="81" customWidth="1"/>
    <col min="1274" max="1275" width="11.5546875" style="81"/>
    <col min="1276" max="1276" width="11" style="81" bestFit="1" customWidth="1"/>
    <col min="1277" max="1277" width="11.5546875" style="81"/>
    <col min="1278" max="1278" width="12.88671875" style="81" customWidth="1"/>
    <col min="1279" max="1279" width="11.5546875" style="81"/>
    <col min="1280" max="1280" width="12.33203125" style="81" bestFit="1" customWidth="1"/>
    <col min="1281" max="1281" width="18.88671875" style="81" customWidth="1"/>
    <col min="1282" max="1526" width="11.5546875" style="81"/>
    <col min="1527" max="1527" width="2.109375" style="81" customWidth="1"/>
    <col min="1528" max="1528" width="10" style="81" bestFit="1" customWidth="1"/>
    <col min="1529" max="1529" width="13" style="81" customWidth="1"/>
    <col min="1530" max="1531" width="11.5546875" style="81"/>
    <col min="1532" max="1532" width="11" style="81" bestFit="1" customWidth="1"/>
    <col min="1533" max="1533" width="11.5546875" style="81"/>
    <col min="1534" max="1534" width="12.88671875" style="81" customWidth="1"/>
    <col min="1535" max="1535" width="11.5546875" style="81"/>
    <col min="1536" max="1536" width="12.33203125" style="81" bestFit="1" customWidth="1"/>
    <col min="1537" max="1537" width="18.88671875" style="81" customWidth="1"/>
    <col min="1538" max="1782" width="11.5546875" style="81"/>
    <col min="1783" max="1783" width="2.109375" style="81" customWidth="1"/>
    <col min="1784" max="1784" width="10" style="81" bestFit="1" customWidth="1"/>
    <col min="1785" max="1785" width="13" style="81" customWidth="1"/>
    <col min="1786" max="1787" width="11.5546875" style="81"/>
    <col min="1788" max="1788" width="11" style="81" bestFit="1" customWidth="1"/>
    <col min="1789" max="1789" width="11.5546875" style="81"/>
    <col min="1790" max="1790" width="12.88671875" style="81" customWidth="1"/>
    <col min="1791" max="1791" width="11.5546875" style="81"/>
    <col min="1792" max="1792" width="12.33203125" style="81" bestFit="1" customWidth="1"/>
    <col min="1793" max="1793" width="18.88671875" style="81" customWidth="1"/>
    <col min="1794" max="2038" width="11.5546875" style="81"/>
    <col min="2039" max="2039" width="2.109375" style="81" customWidth="1"/>
    <col min="2040" max="2040" width="10" style="81" bestFit="1" customWidth="1"/>
    <col min="2041" max="2041" width="13" style="81" customWidth="1"/>
    <col min="2042" max="2043" width="11.5546875" style="81"/>
    <col min="2044" max="2044" width="11" style="81" bestFit="1" customWidth="1"/>
    <col min="2045" max="2045" width="11.5546875" style="81"/>
    <col min="2046" max="2046" width="12.88671875" style="81" customWidth="1"/>
    <col min="2047" max="2047" width="11.5546875" style="81"/>
    <col min="2048" max="2048" width="12.33203125" style="81" bestFit="1" customWidth="1"/>
    <col min="2049" max="2049" width="18.88671875" style="81" customWidth="1"/>
    <col min="2050" max="2294" width="11.5546875" style="81"/>
    <col min="2295" max="2295" width="2.109375" style="81" customWidth="1"/>
    <col min="2296" max="2296" width="10" style="81" bestFit="1" customWidth="1"/>
    <col min="2297" max="2297" width="13" style="81" customWidth="1"/>
    <col min="2298" max="2299" width="11.5546875" style="81"/>
    <col min="2300" max="2300" width="11" style="81" bestFit="1" customWidth="1"/>
    <col min="2301" max="2301" width="11.5546875" style="81"/>
    <col min="2302" max="2302" width="12.88671875" style="81" customWidth="1"/>
    <col min="2303" max="2303" width="11.5546875" style="81"/>
    <col min="2304" max="2304" width="12.33203125" style="81" bestFit="1" customWidth="1"/>
    <col min="2305" max="2305" width="18.88671875" style="81" customWidth="1"/>
    <col min="2306" max="2550" width="11.5546875" style="81"/>
    <col min="2551" max="2551" width="2.109375" style="81" customWidth="1"/>
    <col min="2552" max="2552" width="10" style="81" bestFit="1" customWidth="1"/>
    <col min="2553" max="2553" width="13" style="81" customWidth="1"/>
    <col min="2554" max="2555" width="11.5546875" style="81"/>
    <col min="2556" max="2556" width="11" style="81" bestFit="1" customWidth="1"/>
    <col min="2557" max="2557" width="11.5546875" style="81"/>
    <col min="2558" max="2558" width="12.88671875" style="81" customWidth="1"/>
    <col min="2559" max="2559" width="11.5546875" style="81"/>
    <col min="2560" max="2560" width="12.33203125" style="81" bestFit="1" customWidth="1"/>
    <col min="2561" max="2561" width="18.88671875" style="81" customWidth="1"/>
    <col min="2562" max="2806" width="11.5546875" style="81"/>
    <col min="2807" max="2807" width="2.109375" style="81" customWidth="1"/>
    <col min="2808" max="2808" width="10" style="81" bestFit="1" customWidth="1"/>
    <col min="2809" max="2809" width="13" style="81" customWidth="1"/>
    <col min="2810" max="2811" width="11.5546875" style="81"/>
    <col min="2812" max="2812" width="11" style="81" bestFit="1" customWidth="1"/>
    <col min="2813" max="2813" width="11.5546875" style="81"/>
    <col min="2814" max="2814" width="12.88671875" style="81" customWidth="1"/>
    <col min="2815" max="2815" width="11.5546875" style="81"/>
    <col min="2816" max="2816" width="12.33203125" style="81" bestFit="1" customWidth="1"/>
    <col min="2817" max="2817" width="18.88671875" style="81" customWidth="1"/>
    <col min="2818" max="3062" width="11.5546875" style="81"/>
    <col min="3063" max="3063" width="2.109375" style="81" customWidth="1"/>
    <col min="3064" max="3064" width="10" style="81" bestFit="1" customWidth="1"/>
    <col min="3065" max="3065" width="13" style="81" customWidth="1"/>
    <col min="3066" max="3067" width="11.5546875" style="81"/>
    <col min="3068" max="3068" width="11" style="81" bestFit="1" customWidth="1"/>
    <col min="3069" max="3069" width="11.5546875" style="81"/>
    <col min="3070" max="3070" width="12.88671875" style="81" customWidth="1"/>
    <col min="3071" max="3071" width="11.5546875" style="81"/>
    <col min="3072" max="3072" width="12.33203125" style="81" bestFit="1" customWidth="1"/>
    <col min="3073" max="3073" width="18.88671875" style="81" customWidth="1"/>
    <col min="3074" max="3318" width="11.5546875" style="81"/>
    <col min="3319" max="3319" width="2.109375" style="81" customWidth="1"/>
    <col min="3320" max="3320" width="10" style="81" bestFit="1" customWidth="1"/>
    <col min="3321" max="3321" width="13" style="81" customWidth="1"/>
    <col min="3322" max="3323" width="11.5546875" style="81"/>
    <col min="3324" max="3324" width="11" style="81" bestFit="1" customWidth="1"/>
    <col min="3325" max="3325" width="11.5546875" style="81"/>
    <col min="3326" max="3326" width="12.88671875" style="81" customWidth="1"/>
    <col min="3327" max="3327" width="11.5546875" style="81"/>
    <col min="3328" max="3328" width="12.33203125" style="81" bestFit="1" customWidth="1"/>
    <col min="3329" max="3329" width="18.88671875" style="81" customWidth="1"/>
    <col min="3330" max="3574" width="11.5546875" style="81"/>
    <col min="3575" max="3575" width="2.109375" style="81" customWidth="1"/>
    <col min="3576" max="3576" width="10" style="81" bestFit="1" customWidth="1"/>
    <col min="3577" max="3577" width="13" style="81" customWidth="1"/>
    <col min="3578" max="3579" width="11.5546875" style="81"/>
    <col min="3580" max="3580" width="11" style="81" bestFit="1" customWidth="1"/>
    <col min="3581" max="3581" width="11.5546875" style="81"/>
    <col min="3582" max="3582" width="12.88671875" style="81" customWidth="1"/>
    <col min="3583" max="3583" width="11.5546875" style="81"/>
    <col min="3584" max="3584" width="12.33203125" style="81" bestFit="1" customWidth="1"/>
    <col min="3585" max="3585" width="18.88671875" style="81" customWidth="1"/>
    <col min="3586" max="3830" width="11.5546875" style="81"/>
    <col min="3831" max="3831" width="2.109375" style="81" customWidth="1"/>
    <col min="3832" max="3832" width="10" style="81" bestFit="1" customWidth="1"/>
    <col min="3833" max="3833" width="13" style="81" customWidth="1"/>
    <col min="3834" max="3835" width="11.5546875" style="81"/>
    <col min="3836" max="3836" width="11" style="81" bestFit="1" customWidth="1"/>
    <col min="3837" max="3837" width="11.5546875" style="81"/>
    <col min="3838" max="3838" width="12.88671875" style="81" customWidth="1"/>
    <col min="3839" max="3839" width="11.5546875" style="81"/>
    <col min="3840" max="3840" width="12.33203125" style="81" bestFit="1" customWidth="1"/>
    <col min="3841" max="3841" width="18.88671875" style="81" customWidth="1"/>
    <col min="3842" max="4086" width="11.5546875" style="81"/>
    <col min="4087" max="4087" width="2.109375" style="81" customWidth="1"/>
    <col min="4088" max="4088" width="10" style="81" bestFit="1" customWidth="1"/>
    <col min="4089" max="4089" width="13" style="81" customWidth="1"/>
    <col min="4090" max="4091" width="11.5546875" style="81"/>
    <col min="4092" max="4092" width="11" style="81" bestFit="1" customWidth="1"/>
    <col min="4093" max="4093" width="11.5546875" style="81"/>
    <col min="4094" max="4094" width="12.88671875" style="81" customWidth="1"/>
    <col min="4095" max="4095" width="11.5546875" style="81"/>
    <col min="4096" max="4096" width="12.33203125" style="81" bestFit="1" customWidth="1"/>
    <col min="4097" max="4097" width="18.88671875" style="81" customWidth="1"/>
    <col min="4098" max="4342" width="11.5546875" style="81"/>
    <col min="4343" max="4343" width="2.109375" style="81" customWidth="1"/>
    <col min="4344" max="4344" width="10" style="81" bestFit="1" customWidth="1"/>
    <col min="4345" max="4345" width="13" style="81" customWidth="1"/>
    <col min="4346" max="4347" width="11.5546875" style="81"/>
    <col min="4348" max="4348" width="11" style="81" bestFit="1" customWidth="1"/>
    <col min="4349" max="4349" width="11.5546875" style="81"/>
    <col min="4350" max="4350" width="12.88671875" style="81" customWidth="1"/>
    <col min="4351" max="4351" width="11.5546875" style="81"/>
    <col min="4352" max="4352" width="12.33203125" style="81" bestFit="1" customWidth="1"/>
    <col min="4353" max="4353" width="18.88671875" style="81" customWidth="1"/>
    <col min="4354" max="4598" width="11.5546875" style="81"/>
    <col min="4599" max="4599" width="2.109375" style="81" customWidth="1"/>
    <col min="4600" max="4600" width="10" style="81" bestFit="1" customWidth="1"/>
    <col min="4601" max="4601" width="13" style="81" customWidth="1"/>
    <col min="4602" max="4603" width="11.5546875" style="81"/>
    <col min="4604" max="4604" width="11" style="81" bestFit="1" customWidth="1"/>
    <col min="4605" max="4605" width="11.5546875" style="81"/>
    <col min="4606" max="4606" width="12.88671875" style="81" customWidth="1"/>
    <col min="4607" max="4607" width="11.5546875" style="81"/>
    <col min="4608" max="4608" width="12.33203125" style="81" bestFit="1" customWidth="1"/>
    <col min="4609" max="4609" width="18.88671875" style="81" customWidth="1"/>
    <col min="4610" max="4854" width="11.5546875" style="81"/>
    <col min="4855" max="4855" width="2.109375" style="81" customWidth="1"/>
    <col min="4856" max="4856" width="10" style="81" bestFit="1" customWidth="1"/>
    <col min="4857" max="4857" width="13" style="81" customWidth="1"/>
    <col min="4858" max="4859" width="11.5546875" style="81"/>
    <col min="4860" max="4860" width="11" style="81" bestFit="1" customWidth="1"/>
    <col min="4861" max="4861" width="11.5546875" style="81"/>
    <col min="4862" max="4862" width="12.88671875" style="81" customWidth="1"/>
    <col min="4863" max="4863" width="11.5546875" style="81"/>
    <col min="4864" max="4864" width="12.33203125" style="81" bestFit="1" customWidth="1"/>
    <col min="4865" max="4865" width="18.88671875" style="81" customWidth="1"/>
    <col min="4866" max="5110" width="11.5546875" style="81"/>
    <col min="5111" max="5111" width="2.109375" style="81" customWidth="1"/>
    <col min="5112" max="5112" width="10" style="81" bestFit="1" customWidth="1"/>
    <col min="5113" max="5113" width="13" style="81" customWidth="1"/>
    <col min="5114" max="5115" width="11.5546875" style="81"/>
    <col min="5116" max="5116" width="11" style="81" bestFit="1" customWidth="1"/>
    <col min="5117" max="5117" width="11.5546875" style="81"/>
    <col min="5118" max="5118" width="12.88671875" style="81" customWidth="1"/>
    <col min="5119" max="5119" width="11.5546875" style="81"/>
    <col min="5120" max="5120" width="12.33203125" style="81" bestFit="1" customWidth="1"/>
    <col min="5121" max="5121" width="18.88671875" style="81" customWidth="1"/>
    <col min="5122" max="5366" width="11.5546875" style="81"/>
    <col min="5367" max="5367" width="2.109375" style="81" customWidth="1"/>
    <col min="5368" max="5368" width="10" style="81" bestFit="1" customWidth="1"/>
    <col min="5369" max="5369" width="13" style="81" customWidth="1"/>
    <col min="5370" max="5371" width="11.5546875" style="81"/>
    <col min="5372" max="5372" width="11" style="81" bestFit="1" customWidth="1"/>
    <col min="5373" max="5373" width="11.5546875" style="81"/>
    <col min="5374" max="5374" width="12.88671875" style="81" customWidth="1"/>
    <col min="5375" max="5375" width="11.5546875" style="81"/>
    <col min="5376" max="5376" width="12.33203125" style="81" bestFit="1" customWidth="1"/>
    <col min="5377" max="5377" width="18.88671875" style="81" customWidth="1"/>
    <col min="5378" max="5622" width="11.5546875" style="81"/>
    <col min="5623" max="5623" width="2.109375" style="81" customWidth="1"/>
    <col min="5624" max="5624" width="10" style="81" bestFit="1" customWidth="1"/>
    <col min="5625" max="5625" width="13" style="81" customWidth="1"/>
    <col min="5626" max="5627" width="11.5546875" style="81"/>
    <col min="5628" max="5628" width="11" style="81" bestFit="1" customWidth="1"/>
    <col min="5629" max="5629" width="11.5546875" style="81"/>
    <col min="5630" max="5630" width="12.88671875" style="81" customWidth="1"/>
    <col min="5631" max="5631" width="11.5546875" style="81"/>
    <col min="5632" max="5632" width="12.33203125" style="81" bestFit="1" customWidth="1"/>
    <col min="5633" max="5633" width="18.88671875" style="81" customWidth="1"/>
    <col min="5634" max="5878" width="11.5546875" style="81"/>
    <col min="5879" max="5879" width="2.109375" style="81" customWidth="1"/>
    <col min="5880" max="5880" width="10" style="81" bestFit="1" customWidth="1"/>
    <col min="5881" max="5881" width="13" style="81" customWidth="1"/>
    <col min="5882" max="5883" width="11.5546875" style="81"/>
    <col min="5884" max="5884" width="11" style="81" bestFit="1" customWidth="1"/>
    <col min="5885" max="5885" width="11.5546875" style="81"/>
    <col min="5886" max="5886" width="12.88671875" style="81" customWidth="1"/>
    <col min="5887" max="5887" width="11.5546875" style="81"/>
    <col min="5888" max="5888" width="12.33203125" style="81" bestFit="1" customWidth="1"/>
    <col min="5889" max="5889" width="18.88671875" style="81" customWidth="1"/>
    <col min="5890" max="6134" width="11.5546875" style="81"/>
    <col min="6135" max="6135" width="2.109375" style="81" customWidth="1"/>
    <col min="6136" max="6136" width="10" style="81" bestFit="1" customWidth="1"/>
    <col min="6137" max="6137" width="13" style="81" customWidth="1"/>
    <col min="6138" max="6139" width="11.5546875" style="81"/>
    <col min="6140" max="6140" width="11" style="81" bestFit="1" customWidth="1"/>
    <col min="6141" max="6141" width="11.5546875" style="81"/>
    <col min="6142" max="6142" width="12.88671875" style="81" customWidth="1"/>
    <col min="6143" max="6143" width="11.5546875" style="81"/>
    <col min="6144" max="6144" width="12.33203125" style="81" bestFit="1" customWidth="1"/>
    <col min="6145" max="6145" width="18.88671875" style="81" customWidth="1"/>
    <col min="6146" max="6390" width="11.5546875" style="81"/>
    <col min="6391" max="6391" width="2.109375" style="81" customWidth="1"/>
    <col min="6392" max="6392" width="10" style="81" bestFit="1" customWidth="1"/>
    <col min="6393" max="6393" width="13" style="81" customWidth="1"/>
    <col min="6394" max="6395" width="11.5546875" style="81"/>
    <col min="6396" max="6396" width="11" style="81" bestFit="1" customWidth="1"/>
    <col min="6397" max="6397" width="11.5546875" style="81"/>
    <col min="6398" max="6398" width="12.88671875" style="81" customWidth="1"/>
    <col min="6399" max="6399" width="11.5546875" style="81"/>
    <col min="6400" max="6400" width="12.33203125" style="81" bestFit="1" customWidth="1"/>
    <col min="6401" max="6401" width="18.88671875" style="81" customWidth="1"/>
    <col min="6402" max="6646" width="11.5546875" style="81"/>
    <col min="6647" max="6647" width="2.109375" style="81" customWidth="1"/>
    <col min="6648" max="6648" width="10" style="81" bestFit="1" customWidth="1"/>
    <col min="6649" max="6649" width="13" style="81" customWidth="1"/>
    <col min="6650" max="6651" width="11.5546875" style="81"/>
    <col min="6652" max="6652" width="11" style="81" bestFit="1" customWidth="1"/>
    <col min="6653" max="6653" width="11.5546875" style="81"/>
    <col min="6654" max="6654" width="12.88671875" style="81" customWidth="1"/>
    <col min="6655" max="6655" width="11.5546875" style="81"/>
    <col min="6656" max="6656" width="12.33203125" style="81" bestFit="1" customWidth="1"/>
    <col min="6657" max="6657" width="18.88671875" style="81" customWidth="1"/>
    <col min="6658" max="6902" width="11.5546875" style="81"/>
    <col min="6903" max="6903" width="2.109375" style="81" customWidth="1"/>
    <col min="6904" max="6904" width="10" style="81" bestFit="1" customWidth="1"/>
    <col min="6905" max="6905" width="13" style="81" customWidth="1"/>
    <col min="6906" max="6907" width="11.5546875" style="81"/>
    <col min="6908" max="6908" width="11" style="81" bestFit="1" customWidth="1"/>
    <col min="6909" max="6909" width="11.5546875" style="81"/>
    <col min="6910" max="6910" width="12.88671875" style="81" customWidth="1"/>
    <col min="6911" max="6911" width="11.5546875" style="81"/>
    <col min="6912" max="6912" width="12.33203125" style="81" bestFit="1" customWidth="1"/>
    <col min="6913" max="6913" width="18.88671875" style="81" customWidth="1"/>
    <col min="6914" max="7158" width="11.5546875" style="81"/>
    <col min="7159" max="7159" width="2.109375" style="81" customWidth="1"/>
    <col min="7160" max="7160" width="10" style="81" bestFit="1" customWidth="1"/>
    <col min="7161" max="7161" width="13" style="81" customWidth="1"/>
    <col min="7162" max="7163" width="11.5546875" style="81"/>
    <col min="7164" max="7164" width="11" style="81" bestFit="1" customWidth="1"/>
    <col min="7165" max="7165" width="11.5546875" style="81"/>
    <col min="7166" max="7166" width="12.88671875" style="81" customWidth="1"/>
    <col min="7167" max="7167" width="11.5546875" style="81"/>
    <col min="7168" max="7168" width="12.33203125" style="81" bestFit="1" customWidth="1"/>
    <col min="7169" max="7169" width="18.88671875" style="81" customWidth="1"/>
    <col min="7170" max="7414" width="11.5546875" style="81"/>
    <col min="7415" max="7415" width="2.109375" style="81" customWidth="1"/>
    <col min="7416" max="7416" width="10" style="81" bestFit="1" customWidth="1"/>
    <col min="7417" max="7417" width="13" style="81" customWidth="1"/>
    <col min="7418" max="7419" width="11.5546875" style="81"/>
    <col min="7420" max="7420" width="11" style="81" bestFit="1" customWidth="1"/>
    <col min="7421" max="7421" width="11.5546875" style="81"/>
    <col min="7422" max="7422" width="12.88671875" style="81" customWidth="1"/>
    <col min="7423" max="7423" width="11.5546875" style="81"/>
    <col min="7424" max="7424" width="12.33203125" style="81" bestFit="1" customWidth="1"/>
    <col min="7425" max="7425" width="18.88671875" style="81" customWidth="1"/>
    <col min="7426" max="7670" width="11.5546875" style="81"/>
    <col min="7671" max="7671" width="2.109375" style="81" customWidth="1"/>
    <col min="7672" max="7672" width="10" style="81" bestFit="1" customWidth="1"/>
    <col min="7673" max="7673" width="13" style="81" customWidth="1"/>
    <col min="7674" max="7675" width="11.5546875" style="81"/>
    <col min="7676" max="7676" width="11" style="81" bestFit="1" customWidth="1"/>
    <col min="7677" max="7677" width="11.5546875" style="81"/>
    <col min="7678" max="7678" width="12.88671875" style="81" customWidth="1"/>
    <col min="7679" max="7679" width="11.5546875" style="81"/>
    <col min="7680" max="7680" width="12.33203125" style="81" bestFit="1" customWidth="1"/>
    <col min="7681" max="7681" width="18.88671875" style="81" customWidth="1"/>
    <col min="7682" max="7926" width="11.5546875" style="81"/>
    <col min="7927" max="7927" width="2.109375" style="81" customWidth="1"/>
    <col min="7928" max="7928" width="10" style="81" bestFit="1" customWidth="1"/>
    <col min="7929" max="7929" width="13" style="81" customWidth="1"/>
    <col min="7930" max="7931" width="11.5546875" style="81"/>
    <col min="7932" max="7932" width="11" style="81" bestFit="1" customWidth="1"/>
    <col min="7933" max="7933" width="11.5546875" style="81"/>
    <col min="7934" max="7934" width="12.88671875" style="81" customWidth="1"/>
    <col min="7935" max="7935" width="11.5546875" style="81"/>
    <col min="7936" max="7936" width="12.33203125" style="81" bestFit="1" customWidth="1"/>
    <col min="7937" max="7937" width="18.88671875" style="81" customWidth="1"/>
    <col min="7938" max="8182" width="11.5546875" style="81"/>
    <col min="8183" max="8183" width="2.109375" style="81" customWidth="1"/>
    <col min="8184" max="8184" width="10" style="81" bestFit="1" customWidth="1"/>
    <col min="8185" max="8185" width="13" style="81" customWidth="1"/>
    <col min="8186" max="8187" width="11.5546875" style="81"/>
    <col min="8188" max="8188" width="11" style="81" bestFit="1" customWidth="1"/>
    <col min="8189" max="8189" width="11.5546875" style="81"/>
    <col min="8190" max="8190" width="12.88671875" style="81" customWidth="1"/>
    <col min="8191" max="8191" width="11.5546875" style="81"/>
    <col min="8192" max="8192" width="12.33203125" style="81" bestFit="1" customWidth="1"/>
    <col min="8193" max="8193" width="18.88671875" style="81" customWidth="1"/>
    <col min="8194" max="8438" width="11.5546875" style="81"/>
    <col min="8439" max="8439" width="2.109375" style="81" customWidth="1"/>
    <col min="8440" max="8440" width="10" style="81" bestFit="1" customWidth="1"/>
    <col min="8441" max="8441" width="13" style="81" customWidth="1"/>
    <col min="8442" max="8443" width="11.5546875" style="81"/>
    <col min="8444" max="8444" width="11" style="81" bestFit="1" customWidth="1"/>
    <col min="8445" max="8445" width="11.5546875" style="81"/>
    <col min="8446" max="8446" width="12.88671875" style="81" customWidth="1"/>
    <col min="8447" max="8447" width="11.5546875" style="81"/>
    <col min="8448" max="8448" width="12.33203125" style="81" bestFit="1" customWidth="1"/>
    <col min="8449" max="8449" width="18.88671875" style="81" customWidth="1"/>
    <col min="8450" max="8694" width="11.5546875" style="81"/>
    <col min="8695" max="8695" width="2.109375" style="81" customWidth="1"/>
    <col min="8696" max="8696" width="10" style="81" bestFit="1" customWidth="1"/>
    <col min="8697" max="8697" width="13" style="81" customWidth="1"/>
    <col min="8698" max="8699" width="11.5546875" style="81"/>
    <col min="8700" max="8700" width="11" style="81" bestFit="1" customWidth="1"/>
    <col min="8701" max="8701" width="11.5546875" style="81"/>
    <col min="8702" max="8702" width="12.88671875" style="81" customWidth="1"/>
    <col min="8703" max="8703" width="11.5546875" style="81"/>
    <col min="8704" max="8704" width="12.33203125" style="81" bestFit="1" customWidth="1"/>
    <col min="8705" max="8705" width="18.88671875" style="81" customWidth="1"/>
    <col min="8706" max="8950" width="11.5546875" style="81"/>
    <col min="8951" max="8951" width="2.109375" style="81" customWidth="1"/>
    <col min="8952" max="8952" width="10" style="81" bestFit="1" customWidth="1"/>
    <col min="8953" max="8953" width="13" style="81" customWidth="1"/>
    <col min="8954" max="8955" width="11.5546875" style="81"/>
    <col min="8956" max="8956" width="11" style="81" bestFit="1" customWidth="1"/>
    <col min="8957" max="8957" width="11.5546875" style="81"/>
    <col min="8958" max="8958" width="12.88671875" style="81" customWidth="1"/>
    <col min="8959" max="8959" width="11.5546875" style="81"/>
    <col min="8960" max="8960" width="12.33203125" style="81" bestFit="1" customWidth="1"/>
    <col min="8961" max="8961" width="18.88671875" style="81" customWidth="1"/>
    <col min="8962" max="9206" width="11.5546875" style="81"/>
    <col min="9207" max="9207" width="2.109375" style="81" customWidth="1"/>
    <col min="9208" max="9208" width="10" style="81" bestFit="1" customWidth="1"/>
    <col min="9209" max="9209" width="13" style="81" customWidth="1"/>
    <col min="9210" max="9211" width="11.5546875" style="81"/>
    <col min="9212" max="9212" width="11" style="81" bestFit="1" customWidth="1"/>
    <col min="9213" max="9213" width="11.5546875" style="81"/>
    <col min="9214" max="9214" width="12.88671875" style="81" customWidth="1"/>
    <col min="9215" max="9215" width="11.5546875" style="81"/>
    <col min="9216" max="9216" width="12.33203125" style="81" bestFit="1" customWidth="1"/>
    <col min="9217" max="9217" width="18.88671875" style="81" customWidth="1"/>
    <col min="9218" max="9462" width="11.5546875" style="81"/>
    <col min="9463" max="9463" width="2.109375" style="81" customWidth="1"/>
    <col min="9464" max="9464" width="10" style="81" bestFit="1" customWidth="1"/>
    <col min="9465" max="9465" width="13" style="81" customWidth="1"/>
    <col min="9466" max="9467" width="11.5546875" style="81"/>
    <col min="9468" max="9468" width="11" style="81" bestFit="1" customWidth="1"/>
    <col min="9469" max="9469" width="11.5546875" style="81"/>
    <col min="9470" max="9470" width="12.88671875" style="81" customWidth="1"/>
    <col min="9471" max="9471" width="11.5546875" style="81"/>
    <col min="9472" max="9472" width="12.33203125" style="81" bestFit="1" customWidth="1"/>
    <col min="9473" max="9473" width="18.88671875" style="81" customWidth="1"/>
    <col min="9474" max="9718" width="11.5546875" style="81"/>
    <col min="9719" max="9719" width="2.109375" style="81" customWidth="1"/>
    <col min="9720" max="9720" width="10" style="81" bestFit="1" customWidth="1"/>
    <col min="9721" max="9721" width="13" style="81" customWidth="1"/>
    <col min="9722" max="9723" width="11.5546875" style="81"/>
    <col min="9724" max="9724" width="11" style="81" bestFit="1" customWidth="1"/>
    <col min="9725" max="9725" width="11.5546875" style="81"/>
    <col min="9726" max="9726" width="12.88671875" style="81" customWidth="1"/>
    <col min="9727" max="9727" width="11.5546875" style="81"/>
    <col min="9728" max="9728" width="12.33203125" style="81" bestFit="1" customWidth="1"/>
    <col min="9729" max="9729" width="18.88671875" style="81" customWidth="1"/>
    <col min="9730" max="9974" width="11.5546875" style="81"/>
    <col min="9975" max="9975" width="2.109375" style="81" customWidth="1"/>
    <col min="9976" max="9976" width="10" style="81" bestFit="1" customWidth="1"/>
    <col min="9977" max="9977" width="13" style="81" customWidth="1"/>
    <col min="9978" max="9979" width="11.5546875" style="81"/>
    <col min="9980" max="9980" width="11" style="81" bestFit="1" customWidth="1"/>
    <col min="9981" max="9981" width="11.5546875" style="81"/>
    <col min="9982" max="9982" width="12.88671875" style="81" customWidth="1"/>
    <col min="9983" max="9983" width="11.5546875" style="81"/>
    <col min="9984" max="9984" width="12.33203125" style="81" bestFit="1" customWidth="1"/>
    <col min="9985" max="9985" width="18.88671875" style="81" customWidth="1"/>
    <col min="9986" max="10230" width="11.5546875" style="81"/>
    <col min="10231" max="10231" width="2.109375" style="81" customWidth="1"/>
    <col min="10232" max="10232" width="10" style="81" bestFit="1" customWidth="1"/>
    <col min="10233" max="10233" width="13" style="81" customWidth="1"/>
    <col min="10234" max="10235" width="11.5546875" style="81"/>
    <col min="10236" max="10236" width="11" style="81" bestFit="1" customWidth="1"/>
    <col min="10237" max="10237" width="11.5546875" style="81"/>
    <col min="10238" max="10238" width="12.88671875" style="81" customWidth="1"/>
    <col min="10239" max="10239" width="11.5546875" style="81"/>
    <col min="10240" max="10240" width="12.33203125" style="81" bestFit="1" customWidth="1"/>
    <col min="10241" max="10241" width="18.88671875" style="81" customWidth="1"/>
    <col min="10242" max="10486" width="11.5546875" style="81"/>
    <col min="10487" max="10487" width="2.109375" style="81" customWidth="1"/>
    <col min="10488" max="10488" width="10" style="81" bestFit="1" customWidth="1"/>
    <col min="10489" max="10489" width="13" style="81" customWidth="1"/>
    <col min="10490" max="10491" width="11.5546875" style="81"/>
    <col min="10492" max="10492" width="11" style="81" bestFit="1" customWidth="1"/>
    <col min="10493" max="10493" width="11.5546875" style="81"/>
    <col min="10494" max="10494" width="12.88671875" style="81" customWidth="1"/>
    <col min="10495" max="10495" width="11.5546875" style="81"/>
    <col min="10496" max="10496" width="12.33203125" style="81" bestFit="1" customWidth="1"/>
    <col min="10497" max="10497" width="18.88671875" style="81" customWidth="1"/>
    <col min="10498" max="10742" width="11.5546875" style="81"/>
    <col min="10743" max="10743" width="2.109375" style="81" customWidth="1"/>
    <col min="10744" max="10744" width="10" style="81" bestFit="1" customWidth="1"/>
    <col min="10745" max="10745" width="13" style="81" customWidth="1"/>
    <col min="10746" max="10747" width="11.5546875" style="81"/>
    <col min="10748" max="10748" width="11" style="81" bestFit="1" customWidth="1"/>
    <col min="10749" max="10749" width="11.5546875" style="81"/>
    <col min="10750" max="10750" width="12.88671875" style="81" customWidth="1"/>
    <col min="10751" max="10751" width="11.5546875" style="81"/>
    <col min="10752" max="10752" width="12.33203125" style="81" bestFit="1" customWidth="1"/>
    <col min="10753" max="10753" width="18.88671875" style="81" customWidth="1"/>
    <col min="10754" max="10998" width="11.5546875" style="81"/>
    <col min="10999" max="10999" width="2.109375" style="81" customWidth="1"/>
    <col min="11000" max="11000" width="10" style="81" bestFit="1" customWidth="1"/>
    <col min="11001" max="11001" width="13" style="81" customWidth="1"/>
    <col min="11002" max="11003" width="11.5546875" style="81"/>
    <col min="11004" max="11004" width="11" style="81" bestFit="1" customWidth="1"/>
    <col min="11005" max="11005" width="11.5546875" style="81"/>
    <col min="11006" max="11006" width="12.88671875" style="81" customWidth="1"/>
    <col min="11007" max="11007" width="11.5546875" style="81"/>
    <col min="11008" max="11008" width="12.33203125" style="81" bestFit="1" customWidth="1"/>
    <col min="11009" max="11009" width="18.88671875" style="81" customWidth="1"/>
    <col min="11010" max="11254" width="11.5546875" style="81"/>
    <col min="11255" max="11255" width="2.109375" style="81" customWidth="1"/>
    <col min="11256" max="11256" width="10" style="81" bestFit="1" customWidth="1"/>
    <col min="11257" max="11257" width="13" style="81" customWidth="1"/>
    <col min="11258" max="11259" width="11.5546875" style="81"/>
    <col min="11260" max="11260" width="11" style="81" bestFit="1" customWidth="1"/>
    <col min="11261" max="11261" width="11.5546875" style="81"/>
    <col min="11262" max="11262" width="12.88671875" style="81" customWidth="1"/>
    <col min="11263" max="11263" width="11.5546875" style="81"/>
    <col min="11264" max="11264" width="12.33203125" style="81" bestFit="1" customWidth="1"/>
    <col min="11265" max="11265" width="18.88671875" style="81" customWidth="1"/>
    <col min="11266" max="11510" width="11.5546875" style="81"/>
    <col min="11511" max="11511" width="2.109375" style="81" customWidth="1"/>
    <col min="11512" max="11512" width="10" style="81" bestFit="1" customWidth="1"/>
    <col min="11513" max="11513" width="13" style="81" customWidth="1"/>
    <col min="11514" max="11515" width="11.5546875" style="81"/>
    <col min="11516" max="11516" width="11" style="81" bestFit="1" customWidth="1"/>
    <col min="11517" max="11517" width="11.5546875" style="81"/>
    <col min="11518" max="11518" width="12.88671875" style="81" customWidth="1"/>
    <col min="11519" max="11519" width="11.5546875" style="81"/>
    <col min="11520" max="11520" width="12.33203125" style="81" bestFit="1" customWidth="1"/>
    <col min="11521" max="11521" width="18.88671875" style="81" customWidth="1"/>
    <col min="11522" max="11766" width="11.5546875" style="81"/>
    <col min="11767" max="11767" width="2.109375" style="81" customWidth="1"/>
    <col min="11768" max="11768" width="10" style="81" bestFit="1" customWidth="1"/>
    <col min="11769" max="11769" width="13" style="81" customWidth="1"/>
    <col min="11770" max="11771" width="11.5546875" style="81"/>
    <col min="11772" max="11772" width="11" style="81" bestFit="1" customWidth="1"/>
    <col min="11773" max="11773" width="11.5546875" style="81"/>
    <col min="11774" max="11774" width="12.88671875" style="81" customWidth="1"/>
    <col min="11775" max="11775" width="11.5546875" style="81"/>
    <col min="11776" max="11776" width="12.33203125" style="81" bestFit="1" customWidth="1"/>
    <col min="11777" max="11777" width="18.88671875" style="81" customWidth="1"/>
    <col min="11778" max="12022" width="11.5546875" style="81"/>
    <col min="12023" max="12023" width="2.109375" style="81" customWidth="1"/>
    <col min="12024" max="12024" width="10" style="81" bestFit="1" customWidth="1"/>
    <col min="12025" max="12025" width="13" style="81" customWidth="1"/>
    <col min="12026" max="12027" width="11.5546875" style="81"/>
    <col min="12028" max="12028" width="11" style="81" bestFit="1" customWidth="1"/>
    <col min="12029" max="12029" width="11.5546875" style="81"/>
    <col min="12030" max="12030" width="12.88671875" style="81" customWidth="1"/>
    <col min="12031" max="12031" width="11.5546875" style="81"/>
    <col min="12032" max="12032" width="12.33203125" style="81" bestFit="1" customWidth="1"/>
    <col min="12033" max="12033" width="18.88671875" style="81" customWidth="1"/>
    <col min="12034" max="12278" width="11.5546875" style="81"/>
    <col min="12279" max="12279" width="2.109375" style="81" customWidth="1"/>
    <col min="12280" max="12280" width="10" style="81" bestFit="1" customWidth="1"/>
    <col min="12281" max="12281" width="13" style="81" customWidth="1"/>
    <col min="12282" max="12283" width="11.5546875" style="81"/>
    <col min="12284" max="12284" width="11" style="81" bestFit="1" customWidth="1"/>
    <col min="12285" max="12285" width="11.5546875" style="81"/>
    <col min="12286" max="12286" width="12.88671875" style="81" customWidth="1"/>
    <col min="12287" max="12287" width="11.5546875" style="81"/>
    <col min="12288" max="12288" width="12.33203125" style="81" bestFit="1" customWidth="1"/>
    <col min="12289" max="12289" width="18.88671875" style="81" customWidth="1"/>
    <col min="12290" max="12534" width="11.5546875" style="81"/>
    <col min="12535" max="12535" width="2.109375" style="81" customWidth="1"/>
    <col min="12536" max="12536" width="10" style="81" bestFit="1" customWidth="1"/>
    <col min="12537" max="12537" width="13" style="81" customWidth="1"/>
    <col min="12538" max="12539" width="11.5546875" style="81"/>
    <col min="12540" max="12540" width="11" style="81" bestFit="1" customWidth="1"/>
    <col min="12541" max="12541" width="11.5546875" style="81"/>
    <col min="12542" max="12542" width="12.88671875" style="81" customWidth="1"/>
    <col min="12543" max="12543" width="11.5546875" style="81"/>
    <col min="12544" max="12544" width="12.33203125" style="81" bestFit="1" customWidth="1"/>
    <col min="12545" max="12545" width="18.88671875" style="81" customWidth="1"/>
    <col min="12546" max="12790" width="11.5546875" style="81"/>
    <col min="12791" max="12791" width="2.109375" style="81" customWidth="1"/>
    <col min="12792" max="12792" width="10" style="81" bestFit="1" customWidth="1"/>
    <col min="12793" max="12793" width="13" style="81" customWidth="1"/>
    <col min="12794" max="12795" width="11.5546875" style="81"/>
    <col min="12796" max="12796" width="11" style="81" bestFit="1" customWidth="1"/>
    <col min="12797" max="12797" width="11.5546875" style="81"/>
    <col min="12798" max="12798" width="12.88671875" style="81" customWidth="1"/>
    <col min="12799" max="12799" width="11.5546875" style="81"/>
    <col min="12800" max="12800" width="12.33203125" style="81" bestFit="1" customWidth="1"/>
    <col min="12801" max="12801" width="18.88671875" style="81" customWidth="1"/>
    <col min="12802" max="13046" width="11.5546875" style="81"/>
    <col min="13047" max="13047" width="2.109375" style="81" customWidth="1"/>
    <col min="13048" max="13048" width="10" style="81" bestFit="1" customWidth="1"/>
    <col min="13049" max="13049" width="13" style="81" customWidth="1"/>
    <col min="13050" max="13051" width="11.5546875" style="81"/>
    <col min="13052" max="13052" width="11" style="81" bestFit="1" customWidth="1"/>
    <col min="13053" max="13053" width="11.5546875" style="81"/>
    <col min="13054" max="13054" width="12.88671875" style="81" customWidth="1"/>
    <col min="13055" max="13055" width="11.5546875" style="81"/>
    <col min="13056" max="13056" width="12.33203125" style="81" bestFit="1" customWidth="1"/>
    <col min="13057" max="13057" width="18.88671875" style="81" customWidth="1"/>
    <col min="13058" max="13302" width="11.5546875" style="81"/>
    <col min="13303" max="13303" width="2.109375" style="81" customWidth="1"/>
    <col min="13304" max="13304" width="10" style="81" bestFit="1" customWidth="1"/>
    <col min="13305" max="13305" width="13" style="81" customWidth="1"/>
    <col min="13306" max="13307" width="11.5546875" style="81"/>
    <col min="13308" max="13308" width="11" style="81" bestFit="1" customWidth="1"/>
    <col min="13309" max="13309" width="11.5546875" style="81"/>
    <col min="13310" max="13310" width="12.88671875" style="81" customWidth="1"/>
    <col min="13311" max="13311" width="11.5546875" style="81"/>
    <col min="13312" max="13312" width="12.33203125" style="81" bestFit="1" customWidth="1"/>
    <col min="13313" max="13313" width="18.88671875" style="81" customWidth="1"/>
    <col min="13314" max="13558" width="11.5546875" style="81"/>
    <col min="13559" max="13559" width="2.109375" style="81" customWidth="1"/>
    <col min="13560" max="13560" width="10" style="81" bestFit="1" customWidth="1"/>
    <col min="13561" max="13561" width="13" style="81" customWidth="1"/>
    <col min="13562" max="13563" width="11.5546875" style="81"/>
    <col min="13564" max="13564" width="11" style="81" bestFit="1" customWidth="1"/>
    <col min="13565" max="13565" width="11.5546875" style="81"/>
    <col min="13566" max="13566" width="12.88671875" style="81" customWidth="1"/>
    <col min="13567" max="13567" width="11.5546875" style="81"/>
    <col min="13568" max="13568" width="12.33203125" style="81" bestFit="1" customWidth="1"/>
    <col min="13569" max="13569" width="18.88671875" style="81" customWidth="1"/>
    <col min="13570" max="13814" width="11.5546875" style="81"/>
    <col min="13815" max="13815" width="2.109375" style="81" customWidth="1"/>
    <col min="13816" max="13816" width="10" style="81" bestFit="1" customWidth="1"/>
    <col min="13817" max="13817" width="13" style="81" customWidth="1"/>
    <col min="13818" max="13819" width="11.5546875" style="81"/>
    <col min="13820" max="13820" width="11" style="81" bestFit="1" customWidth="1"/>
    <col min="13821" max="13821" width="11.5546875" style="81"/>
    <col min="13822" max="13822" width="12.88671875" style="81" customWidth="1"/>
    <col min="13823" max="13823" width="11.5546875" style="81"/>
    <col min="13824" max="13824" width="12.33203125" style="81" bestFit="1" customWidth="1"/>
    <col min="13825" max="13825" width="18.88671875" style="81" customWidth="1"/>
    <col min="13826" max="14070" width="11.5546875" style="81"/>
    <col min="14071" max="14071" width="2.109375" style="81" customWidth="1"/>
    <col min="14072" max="14072" width="10" style="81" bestFit="1" customWidth="1"/>
    <col min="14073" max="14073" width="13" style="81" customWidth="1"/>
    <col min="14074" max="14075" width="11.5546875" style="81"/>
    <col min="14076" max="14076" width="11" style="81" bestFit="1" customWidth="1"/>
    <col min="14077" max="14077" width="11.5546875" style="81"/>
    <col min="14078" max="14078" width="12.88671875" style="81" customWidth="1"/>
    <col min="14079" max="14079" width="11.5546875" style="81"/>
    <col min="14080" max="14080" width="12.33203125" style="81" bestFit="1" customWidth="1"/>
    <col min="14081" max="14081" width="18.88671875" style="81" customWidth="1"/>
    <col min="14082" max="14326" width="11.5546875" style="81"/>
    <col min="14327" max="14327" width="2.109375" style="81" customWidth="1"/>
    <col min="14328" max="14328" width="10" style="81" bestFit="1" customWidth="1"/>
    <col min="14329" max="14329" width="13" style="81" customWidth="1"/>
    <col min="14330" max="14331" width="11.5546875" style="81"/>
    <col min="14332" max="14332" width="11" style="81" bestFit="1" customWidth="1"/>
    <col min="14333" max="14333" width="11.5546875" style="81"/>
    <col min="14334" max="14334" width="12.88671875" style="81" customWidth="1"/>
    <col min="14335" max="14335" width="11.5546875" style="81"/>
    <col min="14336" max="14336" width="12.33203125" style="81" bestFit="1" customWidth="1"/>
    <col min="14337" max="14337" width="18.88671875" style="81" customWidth="1"/>
    <col min="14338" max="14582" width="11.5546875" style="81"/>
    <col min="14583" max="14583" width="2.109375" style="81" customWidth="1"/>
    <col min="14584" max="14584" width="10" style="81" bestFit="1" customWidth="1"/>
    <col min="14585" max="14585" width="13" style="81" customWidth="1"/>
    <col min="14586" max="14587" width="11.5546875" style="81"/>
    <col min="14588" max="14588" width="11" style="81" bestFit="1" customWidth="1"/>
    <col min="14589" max="14589" width="11.5546875" style="81"/>
    <col min="14590" max="14590" width="12.88671875" style="81" customWidth="1"/>
    <col min="14591" max="14591" width="11.5546875" style="81"/>
    <col min="14592" max="14592" width="12.33203125" style="81" bestFit="1" customWidth="1"/>
    <col min="14593" max="14593" width="18.88671875" style="81" customWidth="1"/>
    <col min="14594" max="14838" width="11.5546875" style="81"/>
    <col min="14839" max="14839" width="2.109375" style="81" customWidth="1"/>
    <col min="14840" max="14840" width="10" style="81" bestFit="1" customWidth="1"/>
    <col min="14841" max="14841" width="13" style="81" customWidth="1"/>
    <col min="14842" max="14843" width="11.5546875" style="81"/>
    <col min="14844" max="14844" width="11" style="81" bestFit="1" customWidth="1"/>
    <col min="14845" max="14845" width="11.5546875" style="81"/>
    <col min="14846" max="14846" width="12.88671875" style="81" customWidth="1"/>
    <col min="14847" max="14847" width="11.5546875" style="81"/>
    <col min="14848" max="14848" width="12.33203125" style="81" bestFit="1" customWidth="1"/>
    <col min="14849" max="14849" width="18.88671875" style="81" customWidth="1"/>
    <col min="14850" max="15094" width="11.5546875" style="81"/>
    <col min="15095" max="15095" width="2.109375" style="81" customWidth="1"/>
    <col min="15096" max="15096" width="10" style="81" bestFit="1" customWidth="1"/>
    <col min="15097" max="15097" width="13" style="81" customWidth="1"/>
    <col min="15098" max="15099" width="11.5546875" style="81"/>
    <col min="15100" max="15100" width="11" style="81" bestFit="1" customWidth="1"/>
    <col min="15101" max="15101" width="11.5546875" style="81"/>
    <col min="15102" max="15102" width="12.88671875" style="81" customWidth="1"/>
    <col min="15103" max="15103" width="11.5546875" style="81"/>
    <col min="15104" max="15104" width="12.33203125" style="81" bestFit="1" customWidth="1"/>
    <col min="15105" max="15105" width="18.88671875" style="81" customWidth="1"/>
    <col min="15106" max="15350" width="11.5546875" style="81"/>
    <col min="15351" max="15351" width="2.109375" style="81" customWidth="1"/>
    <col min="15352" max="15352" width="10" style="81" bestFit="1" customWidth="1"/>
    <col min="15353" max="15353" width="13" style="81" customWidth="1"/>
    <col min="15354" max="15355" width="11.5546875" style="81"/>
    <col min="15356" max="15356" width="11" style="81" bestFit="1" customWidth="1"/>
    <col min="15357" max="15357" width="11.5546875" style="81"/>
    <col min="15358" max="15358" width="12.88671875" style="81" customWidth="1"/>
    <col min="15359" max="15359" width="11.5546875" style="81"/>
    <col min="15360" max="15360" width="12.33203125" style="81" bestFit="1" customWidth="1"/>
    <col min="15361" max="15361" width="18.88671875" style="81" customWidth="1"/>
    <col min="15362" max="15606" width="11.5546875" style="81"/>
    <col min="15607" max="15607" width="2.109375" style="81" customWidth="1"/>
    <col min="15608" max="15608" width="10" style="81" bestFit="1" customWidth="1"/>
    <col min="15609" max="15609" width="13" style="81" customWidth="1"/>
    <col min="15610" max="15611" width="11.5546875" style="81"/>
    <col min="15612" max="15612" width="11" style="81" bestFit="1" customWidth="1"/>
    <col min="15613" max="15613" width="11.5546875" style="81"/>
    <col min="15614" max="15614" width="12.88671875" style="81" customWidth="1"/>
    <col min="15615" max="15615" width="11.5546875" style="81"/>
    <col min="15616" max="15616" width="12.33203125" style="81" bestFit="1" customWidth="1"/>
    <col min="15617" max="15617" width="18.88671875" style="81" customWidth="1"/>
    <col min="15618" max="15862" width="11.5546875" style="81"/>
    <col min="15863" max="15863" width="2.109375" style="81" customWidth="1"/>
    <col min="15864" max="15864" width="10" style="81" bestFit="1" customWidth="1"/>
    <col min="15865" max="15865" width="13" style="81" customWidth="1"/>
    <col min="15866" max="15867" width="11.5546875" style="81"/>
    <col min="15868" max="15868" width="11" style="81" bestFit="1" customWidth="1"/>
    <col min="15869" max="15869" width="11.5546875" style="81"/>
    <col min="15870" max="15870" width="12.88671875" style="81" customWidth="1"/>
    <col min="15871" max="15871" width="11.5546875" style="81"/>
    <col min="15872" max="15872" width="12.33203125" style="81" bestFit="1" customWidth="1"/>
    <col min="15873" max="15873" width="18.88671875" style="81" customWidth="1"/>
    <col min="15874" max="16118" width="11.5546875" style="81"/>
    <col min="16119" max="16119" width="2.109375" style="81" customWidth="1"/>
    <col min="16120" max="16120" width="10" style="81" bestFit="1" customWidth="1"/>
    <col min="16121" max="16121" width="13" style="81" customWidth="1"/>
    <col min="16122" max="16123" width="11.5546875" style="81"/>
    <col min="16124" max="16124" width="11" style="81" bestFit="1" customWidth="1"/>
    <col min="16125" max="16125" width="11.5546875" style="81"/>
    <col min="16126" max="16126" width="12.88671875" style="81" customWidth="1"/>
    <col min="16127" max="16127" width="11.5546875" style="81"/>
    <col min="16128" max="16128" width="12.33203125" style="81" bestFit="1" customWidth="1"/>
    <col min="16129" max="16129" width="18.88671875" style="81" customWidth="1"/>
    <col min="16130" max="16384" width="11.5546875" style="81"/>
  </cols>
  <sheetData>
    <row r="1" spans="2:18" ht="17.25" customHeight="1"/>
    <row r="2" spans="2:18" ht="98.25" customHeight="1">
      <c r="C2" s="874"/>
      <c r="D2" s="875"/>
      <c r="E2" s="875"/>
      <c r="F2" s="875"/>
      <c r="G2" s="875"/>
      <c r="H2" s="875"/>
      <c r="I2" s="875"/>
      <c r="J2" s="875"/>
      <c r="K2" s="875"/>
      <c r="L2" s="875"/>
    </row>
    <row r="3" spans="2:18" ht="26.25" customHeight="1" thickBot="1"/>
    <row r="4" spans="2:18" customFormat="1" ht="14.4">
      <c r="C4" s="876" t="s">
        <v>162</v>
      </c>
      <c r="D4" s="877"/>
      <c r="E4" s="877"/>
      <c r="F4" s="877"/>
      <c r="G4" s="877"/>
      <c r="H4" s="877"/>
      <c r="I4" s="877"/>
      <c r="J4" s="877"/>
      <c r="K4" s="877"/>
      <c r="L4" s="878"/>
    </row>
    <row r="5" spans="2:18" customFormat="1" ht="15" thickBot="1">
      <c r="C5" s="879"/>
      <c r="D5" s="880"/>
      <c r="E5" s="880"/>
      <c r="F5" s="880"/>
      <c r="G5" s="880"/>
      <c r="H5" s="880"/>
      <c r="I5" s="880"/>
      <c r="J5" s="880"/>
      <c r="K5" s="880"/>
      <c r="L5" s="881"/>
    </row>
    <row r="6" spans="2:18" customFormat="1" ht="29.25" customHeight="1" thickBot="1"/>
    <row r="7" spans="2:18" customFormat="1" ht="15" thickBot="1">
      <c r="C7" s="82" t="s">
        <v>337</v>
      </c>
      <c r="D7" s="83"/>
      <c r="E7" s="936">
        <v>950929232</v>
      </c>
      <c r="F7" s="937"/>
      <c r="G7" s="84" t="s">
        <v>142</v>
      </c>
      <c r="H7" s="884" t="e">
        <f>+VLOOKUP($E$7,'OCTUBRE 2025'!$C$8:$J$10,2,0)</f>
        <v>#N/A</v>
      </c>
      <c r="I7" s="885"/>
      <c r="J7" s="885"/>
      <c r="K7" s="885"/>
      <c r="L7" s="886"/>
    </row>
    <row r="8" spans="2:18" customFormat="1" ht="15" thickBot="1">
      <c r="C8" s="82" t="s">
        <v>143</v>
      </c>
      <c r="D8" s="86"/>
      <c r="E8" s="887" t="e">
        <f>+VLOOKUP($E$7,'OCTUBRE 2025'!$C$8:$J$10,8,0)</f>
        <v>#N/A</v>
      </c>
      <c r="F8" s="888"/>
      <c r="G8" s="87" t="s">
        <v>144</v>
      </c>
      <c r="H8" s="889" t="e">
        <f>+VLOOKUP($E$7,'OCTUBRE 2025'!$C$8:$J$10,4,0)</f>
        <v>#N/A</v>
      </c>
      <c r="I8" s="890"/>
      <c r="J8" s="890"/>
      <c r="K8" s="890"/>
      <c r="L8" s="891"/>
    </row>
    <row r="9" spans="2:18" customFormat="1" ht="15" thickBot="1">
      <c r="C9" s="82" t="s">
        <v>145</v>
      </c>
      <c r="D9" s="88"/>
      <c r="E9" s="934" t="e">
        <f>+VLOOKUP($E$7,'OCTUBRE 2025'!$C$8:$J$10,3,0)</f>
        <v>#N/A</v>
      </c>
      <c r="F9" s="935"/>
      <c r="G9" s="90" t="s">
        <v>225</v>
      </c>
      <c r="H9" s="884" t="e">
        <f>+VLOOKUP($E$7,'OCTUBRE 2025'!$C$8:$J$10,6,0)</f>
        <v>#N/A</v>
      </c>
      <c r="I9" s="885"/>
      <c r="J9" s="885"/>
      <c r="K9" s="885"/>
      <c r="L9" s="886"/>
    </row>
    <row r="10" spans="2:18" customFormat="1" ht="31.5" customHeight="1" thickBot="1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R10" s="396"/>
    </row>
    <row r="11" spans="2:18" customFormat="1" ht="15" thickBot="1">
      <c r="C11" s="900" t="s">
        <v>146</v>
      </c>
      <c r="D11" s="901"/>
      <c r="E11" s="901"/>
      <c r="F11" s="901"/>
      <c r="G11" s="901"/>
      <c r="H11" s="901"/>
      <c r="I11" s="901"/>
      <c r="J11" s="91"/>
      <c r="K11" s="91"/>
      <c r="L11" s="92"/>
    </row>
    <row r="12" spans="2:18" customFormat="1" ht="15" customHeight="1" thickBot="1">
      <c r="C12" s="93"/>
      <c r="J12" s="864" t="s">
        <v>147</v>
      </c>
      <c r="K12" s="865"/>
      <c r="L12" s="902"/>
    </row>
    <row r="13" spans="2:18" customFormat="1" ht="15" customHeight="1" thickBot="1">
      <c r="C13" s="93"/>
      <c r="D13" s="903" t="s">
        <v>148</v>
      </c>
      <c r="E13" s="904"/>
      <c r="F13" s="94"/>
      <c r="G13" s="85"/>
      <c r="H13" s="431"/>
      <c r="J13" s="432" t="s">
        <v>149</v>
      </c>
      <c r="K13" s="434" t="s">
        <v>150</v>
      </c>
      <c r="L13" s="433" t="s">
        <v>87</v>
      </c>
    </row>
    <row r="14" spans="2:18" customFormat="1" ht="15" thickBot="1">
      <c r="C14" s="95"/>
      <c r="D14" s="903" t="s">
        <v>411</v>
      </c>
      <c r="E14" s="904"/>
      <c r="F14" s="94"/>
      <c r="G14" s="96"/>
      <c r="H14" s="435">
        <v>86</v>
      </c>
      <c r="I14" s="51"/>
      <c r="J14" s="436">
        <v>1</v>
      </c>
      <c r="K14" s="440">
        <v>45352</v>
      </c>
      <c r="L14" s="437">
        <f>+H17</f>
        <v>28.666666666666668</v>
      </c>
    </row>
    <row r="15" spans="2:18" customFormat="1" ht="18.75" customHeight="1" thickBot="1">
      <c r="C15" s="93"/>
      <c r="D15" s="905" t="s">
        <v>152</v>
      </c>
      <c r="E15" s="906"/>
      <c r="F15" s="906"/>
      <c r="G15" s="907"/>
      <c r="H15" s="263">
        <v>3</v>
      </c>
      <c r="I15" s="51"/>
      <c r="J15" s="436">
        <v>2</v>
      </c>
      <c r="K15" s="440">
        <v>45383</v>
      </c>
      <c r="L15" s="438">
        <f>+L14</f>
        <v>28.666666666666668</v>
      </c>
    </row>
    <row r="16" spans="2:18" customFormat="1" ht="15" thickBot="1">
      <c r="C16" s="95"/>
      <c r="D16" s="97"/>
      <c r="E16" s="97"/>
      <c r="F16" s="97"/>
      <c r="G16" s="97"/>
      <c r="H16" s="98"/>
      <c r="I16" s="51"/>
      <c r="J16" s="436">
        <v>3</v>
      </c>
      <c r="K16" s="440">
        <v>45413</v>
      </c>
      <c r="L16" s="438">
        <f>+L15</f>
        <v>28.666666666666668</v>
      </c>
    </row>
    <row r="17" spans="3:12" customFormat="1" ht="14.4">
      <c r="C17" s="95"/>
      <c r="D17" s="876" t="s">
        <v>87</v>
      </c>
      <c r="E17" s="877"/>
      <c r="F17" s="877"/>
      <c r="G17" s="878"/>
      <c r="H17" s="911">
        <f>+H14/H15</f>
        <v>28.666666666666668</v>
      </c>
      <c r="I17" s="51"/>
      <c r="J17" s="436">
        <v>4</v>
      </c>
      <c r="K17" s="441"/>
      <c r="L17" s="438"/>
    </row>
    <row r="18" spans="3:12" customFormat="1" ht="14.4">
      <c r="C18" s="95"/>
      <c r="D18" s="908"/>
      <c r="E18" s="909"/>
      <c r="F18" s="909"/>
      <c r="G18" s="910"/>
      <c r="H18" s="912"/>
      <c r="I18" s="51"/>
      <c r="J18" s="436">
        <v>5</v>
      </c>
      <c r="K18" s="441"/>
      <c r="L18" s="439"/>
    </row>
    <row r="19" spans="3:12" customFormat="1" ht="15" thickBot="1">
      <c r="C19" s="95"/>
      <c r="D19" s="879"/>
      <c r="E19" s="880"/>
      <c r="F19" s="880"/>
      <c r="G19" s="881"/>
      <c r="H19" s="913"/>
      <c r="I19" s="51"/>
      <c r="J19" s="436">
        <v>6</v>
      </c>
      <c r="K19" s="441"/>
      <c r="L19" s="439"/>
    </row>
    <row r="20" spans="3:12" customFormat="1" ht="14.4">
      <c r="C20" s="95"/>
      <c r="D20" s="99"/>
      <c r="E20" s="100"/>
      <c r="F20" s="100"/>
      <c r="G20" s="100"/>
      <c r="H20" s="100"/>
      <c r="I20" s="51"/>
      <c r="J20" s="436">
        <v>7</v>
      </c>
      <c r="K20" s="441"/>
      <c r="L20" s="439"/>
    </row>
    <row r="21" spans="3:12" customFormat="1" ht="14.4">
      <c r="C21" s="95"/>
      <c r="D21" s="99"/>
      <c r="E21" s="100"/>
      <c r="F21" s="100"/>
      <c r="G21" s="100"/>
      <c r="H21" s="100"/>
      <c r="I21" s="51"/>
      <c r="J21" s="436">
        <v>8</v>
      </c>
      <c r="K21" s="441"/>
      <c r="L21" s="439"/>
    </row>
    <row r="22" spans="3:12" customFormat="1" ht="14.4">
      <c r="C22" s="95"/>
      <c r="D22" s="99"/>
      <c r="E22" s="100"/>
      <c r="F22" s="100"/>
      <c r="G22" s="100"/>
      <c r="H22" s="100"/>
      <c r="I22" s="51"/>
      <c r="J22" s="436">
        <v>9</v>
      </c>
      <c r="K22" s="441"/>
      <c r="L22" s="439"/>
    </row>
    <row r="23" spans="3:12" customFormat="1" ht="15" thickBot="1">
      <c r="C23" s="95"/>
      <c r="D23" s="99"/>
      <c r="E23" s="100"/>
      <c r="F23" s="100"/>
      <c r="G23" s="100"/>
      <c r="H23" s="100"/>
      <c r="I23" s="51"/>
      <c r="J23" s="442">
        <v>10</v>
      </c>
      <c r="K23" s="443"/>
      <c r="L23" s="444"/>
    </row>
    <row r="24" spans="3:12" customFormat="1" ht="15" customHeight="1" thickBot="1">
      <c r="C24" s="95"/>
      <c r="F24" s="33"/>
      <c r="G24" s="33"/>
      <c r="H24" s="33"/>
      <c r="I24" s="33"/>
      <c r="J24" s="914" t="s">
        <v>21</v>
      </c>
      <c r="K24" s="915"/>
      <c r="L24" s="101">
        <f>SUM(L14:L23)</f>
        <v>86</v>
      </c>
    </row>
    <row r="25" spans="3:12" customFormat="1" ht="15" thickBot="1">
      <c r="C25" s="102"/>
      <c r="D25" s="89"/>
      <c r="E25" s="89"/>
      <c r="F25" s="103"/>
      <c r="G25" s="103"/>
      <c r="H25" s="103"/>
      <c r="I25" s="103"/>
      <c r="J25" s="103"/>
      <c r="K25" s="103"/>
      <c r="L25" s="104"/>
    </row>
    <row r="26" spans="3:12" customFormat="1" ht="15.75" customHeight="1"/>
    <row r="27" spans="3:12" customFormat="1" ht="19.5" customHeight="1" thickBot="1"/>
    <row r="28" spans="3:12" s="33" customFormat="1" ht="27.75" customHeight="1" thickBot="1">
      <c r="C28" s="864" t="s">
        <v>153</v>
      </c>
      <c r="D28" s="865"/>
      <c r="E28" s="865"/>
      <c r="F28" s="865"/>
      <c r="G28" s="865"/>
      <c r="H28" s="865"/>
      <c r="I28" s="865"/>
      <c r="J28" s="865"/>
      <c r="K28" s="865"/>
      <c r="L28" s="902"/>
    </row>
    <row r="29" spans="3:12" customFormat="1" ht="8.25" customHeight="1" thickBot="1"/>
    <row r="30" spans="3:12" customFormat="1" ht="16.5" customHeight="1">
      <c r="C30" s="892" t="s">
        <v>412</v>
      </c>
      <c r="D30" s="893"/>
      <c r="E30" s="893"/>
      <c r="F30" s="893"/>
      <c r="G30" s="893"/>
      <c r="H30" s="893"/>
      <c r="I30" s="893"/>
      <c r="J30" s="893"/>
      <c r="K30" s="893"/>
      <c r="L30" s="894"/>
    </row>
    <row r="31" spans="3:12" customFormat="1" ht="35.25" customHeight="1" thickBot="1">
      <c r="C31" s="895"/>
      <c r="D31" s="896"/>
      <c r="E31" s="896"/>
      <c r="F31" s="896"/>
      <c r="G31" s="896"/>
      <c r="H31" s="896"/>
      <c r="I31" s="896"/>
      <c r="J31" s="896"/>
      <c r="K31" s="896"/>
      <c r="L31" s="897"/>
    </row>
    <row r="32" spans="3:12" customFormat="1" ht="18" customHeight="1" thickBot="1"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s="33" customFormat="1" ht="39.75" customHeight="1" thickBot="1">
      <c r="C33" s="864" t="s">
        <v>261</v>
      </c>
      <c r="D33" s="865"/>
      <c r="E33" s="865"/>
      <c r="F33" s="865"/>
      <c r="G33" s="865"/>
      <c r="H33" s="865"/>
      <c r="I33" s="865"/>
      <c r="J33" s="865"/>
      <c r="K33" s="865"/>
      <c r="L33" s="902"/>
    </row>
    <row r="34" spans="3:12" customFormat="1" ht="14.4">
      <c r="C34" s="105"/>
      <c r="D34" s="91"/>
      <c r="E34" s="91"/>
      <c r="F34" s="91"/>
      <c r="G34" s="91"/>
      <c r="H34" s="91"/>
      <c r="I34" s="91"/>
      <c r="J34" s="91"/>
      <c r="K34" s="91"/>
      <c r="L34" s="92"/>
    </row>
    <row r="35" spans="3:12" customFormat="1" ht="14.4">
      <c r="C35" s="918" t="s">
        <v>262</v>
      </c>
      <c r="D35" s="919"/>
      <c r="E35" s="919"/>
      <c r="F35" s="919"/>
      <c r="G35" s="919"/>
      <c r="H35" s="919"/>
      <c r="I35" s="919"/>
      <c r="J35" s="919"/>
      <c r="K35" s="919"/>
      <c r="L35" s="920"/>
    </row>
    <row r="36" spans="3:12" customFormat="1" ht="14.4">
      <c r="C36" s="918"/>
      <c r="D36" s="919"/>
      <c r="E36" s="919"/>
      <c r="F36" s="919"/>
      <c r="G36" s="919"/>
      <c r="H36" s="919"/>
      <c r="I36" s="919"/>
      <c r="J36" s="919"/>
      <c r="K36" s="919"/>
      <c r="L36" s="920"/>
    </row>
    <row r="37" spans="3:12" customFormat="1" ht="14.4">
      <c r="C37" s="918"/>
      <c r="D37" s="919"/>
      <c r="E37" s="919"/>
      <c r="F37" s="919"/>
      <c r="G37" s="919"/>
      <c r="H37" s="919"/>
      <c r="I37" s="919"/>
      <c r="J37" s="919"/>
      <c r="K37" s="919"/>
      <c r="L37" s="920"/>
    </row>
    <row r="38" spans="3:12" customFormat="1" ht="14.4">
      <c r="C38" s="95"/>
      <c r="L38" s="106"/>
    </row>
    <row r="39" spans="3:12" customFormat="1" ht="14.4">
      <c r="C39" s="95"/>
      <c r="L39" s="106"/>
    </row>
    <row r="40" spans="3:12" customFormat="1" ht="14.4">
      <c r="C40" s="95"/>
      <c r="L40" s="106"/>
    </row>
    <row r="41" spans="3:12" customFormat="1" ht="14.4">
      <c r="C41" s="95"/>
      <c r="L41" s="106"/>
    </row>
    <row r="42" spans="3:12" customFormat="1" ht="14.4">
      <c r="C42" s="95"/>
      <c r="D42" s="921"/>
      <c r="E42" s="921"/>
      <c r="F42" s="921"/>
      <c r="G42" s="921"/>
      <c r="L42" s="106"/>
    </row>
    <row r="43" spans="3:12" customFormat="1" ht="14.4">
      <c r="C43" s="95"/>
      <c r="D43" s="917" t="s">
        <v>154</v>
      </c>
      <c r="E43" s="917"/>
      <c r="F43" s="917"/>
      <c r="I43" s="916" t="s">
        <v>155</v>
      </c>
      <c r="J43" s="916"/>
      <c r="K43" s="916"/>
      <c r="L43" s="106"/>
    </row>
    <row r="44" spans="3:12" customFormat="1" ht="14.4">
      <c r="C44" s="95"/>
      <c r="D44" s="107" t="s">
        <v>156</v>
      </c>
      <c r="E44" s="693">
        <f>+E7</f>
        <v>950929232</v>
      </c>
      <c r="F44" s="109"/>
      <c r="I44" s="917" t="s">
        <v>157</v>
      </c>
      <c r="J44" s="917"/>
      <c r="K44" s="917"/>
      <c r="L44" s="106"/>
    </row>
    <row r="45" spans="3:12" customFormat="1" ht="14.4">
      <c r="C45" s="95"/>
      <c r="L45" s="106"/>
    </row>
    <row r="46" spans="3:12" customFormat="1" ht="14.4">
      <c r="C46" s="95"/>
      <c r="L46" s="106"/>
    </row>
    <row r="47" spans="3:12" customFormat="1" ht="14.4">
      <c r="C47" s="95"/>
      <c r="L47" s="106"/>
    </row>
    <row r="48" spans="3:12" customFormat="1" ht="14.4">
      <c r="C48" s="95"/>
      <c r="L48" s="106"/>
    </row>
    <row r="49" spans="3:12" customFormat="1" ht="14.4">
      <c r="C49" s="95"/>
      <c r="L49" s="106"/>
    </row>
    <row r="50" spans="3:12" customFormat="1" ht="14.4">
      <c r="C50" s="95"/>
      <c r="D50" s="51"/>
      <c r="E50" s="51"/>
      <c r="F50" s="51"/>
      <c r="G50" s="110"/>
      <c r="H50" s="110"/>
      <c r="I50" s="110"/>
      <c r="L50" s="106"/>
    </row>
    <row r="51" spans="3:12" customFormat="1" ht="14.4">
      <c r="C51" s="95"/>
      <c r="D51" s="51"/>
      <c r="E51" s="51"/>
      <c r="F51" s="51"/>
      <c r="G51" s="110"/>
      <c r="H51" s="110"/>
      <c r="I51" s="110"/>
      <c r="L51" s="106"/>
    </row>
    <row r="52" spans="3:12" customFormat="1" ht="14.4">
      <c r="C52" s="95"/>
      <c r="D52" s="110"/>
      <c r="E52" s="110"/>
      <c r="F52" s="110"/>
      <c r="I52" s="110"/>
      <c r="J52" s="110"/>
      <c r="K52" s="110"/>
      <c r="L52" s="106"/>
    </row>
    <row r="53" spans="3:12" customFormat="1" ht="14.4">
      <c r="C53" s="95"/>
      <c r="D53" s="110"/>
      <c r="E53" s="110"/>
      <c r="F53" s="110"/>
      <c r="I53" s="110"/>
      <c r="J53" s="110"/>
      <c r="K53" s="110"/>
      <c r="L53" s="106"/>
    </row>
    <row r="54" spans="3:12" customFormat="1" ht="14.4">
      <c r="C54" s="95"/>
      <c r="D54" s="110"/>
      <c r="E54" s="110"/>
      <c r="F54" s="110"/>
      <c r="I54" s="110"/>
      <c r="J54" s="110"/>
      <c r="K54" s="110"/>
      <c r="L54" s="106"/>
    </row>
    <row r="55" spans="3:12" customFormat="1" ht="14.4">
      <c r="C55" s="95"/>
      <c r="D55" s="110"/>
      <c r="E55" s="110"/>
      <c r="F55" s="110"/>
      <c r="I55" s="110"/>
      <c r="J55" s="110"/>
      <c r="K55" s="110"/>
      <c r="L55" s="106"/>
    </row>
    <row r="56" spans="3:12" customFormat="1" ht="14.4">
      <c r="C56" s="95"/>
      <c r="D56" s="110"/>
      <c r="E56" s="110"/>
      <c r="F56" s="110"/>
      <c r="G56" s="916" t="s">
        <v>158</v>
      </c>
      <c r="H56" s="916"/>
      <c r="I56" s="916"/>
      <c r="J56" s="110"/>
      <c r="K56" s="110"/>
      <c r="L56" s="106"/>
    </row>
    <row r="57" spans="3:12" customFormat="1" ht="14.4">
      <c r="C57" s="95"/>
      <c r="D57" s="110"/>
      <c r="E57" s="110"/>
      <c r="F57" s="110"/>
      <c r="G57" s="917" t="s">
        <v>159</v>
      </c>
      <c r="H57" s="917"/>
      <c r="I57" s="917"/>
      <c r="J57" s="110"/>
      <c r="K57" s="110"/>
      <c r="L57" s="106"/>
    </row>
    <row r="58" spans="3:12" customFormat="1" ht="15" thickBot="1">
      <c r="C58" s="102"/>
      <c r="D58" s="89"/>
      <c r="E58" s="89"/>
      <c r="F58" s="89"/>
      <c r="G58" s="89"/>
      <c r="H58" s="89"/>
      <c r="I58" s="89"/>
      <c r="J58" s="89"/>
      <c r="K58" s="89"/>
      <c r="L58" s="111"/>
    </row>
  </sheetData>
  <mergeCells count="26">
    <mergeCell ref="C2:L2"/>
    <mergeCell ref="C4:L5"/>
    <mergeCell ref="E7:F7"/>
    <mergeCell ref="H7:L7"/>
    <mergeCell ref="E8:F8"/>
    <mergeCell ref="H8:L8"/>
    <mergeCell ref="C30:L31"/>
    <mergeCell ref="E9:F9"/>
    <mergeCell ref="H9:L9"/>
    <mergeCell ref="C11:I11"/>
    <mergeCell ref="J12:L12"/>
    <mergeCell ref="D13:E13"/>
    <mergeCell ref="D14:E14"/>
    <mergeCell ref="D15:G15"/>
    <mergeCell ref="D17:G19"/>
    <mergeCell ref="H17:H19"/>
    <mergeCell ref="J24:K24"/>
    <mergeCell ref="C28:L28"/>
    <mergeCell ref="G56:I56"/>
    <mergeCell ref="G57:I57"/>
    <mergeCell ref="C33:L33"/>
    <mergeCell ref="C35:L37"/>
    <mergeCell ref="D42:G42"/>
    <mergeCell ref="D43:F43"/>
    <mergeCell ref="I43:K43"/>
    <mergeCell ref="I44:K44"/>
  </mergeCells>
  <pageMargins left="0.70866141732283472" right="0.70866141732283472" top="0.74803149606299213" bottom="0.74803149606299213" header="0.31496062992125984" footer="0.31496062992125984"/>
  <pageSetup scale="6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0E4F-56ED-4F4F-918B-A65C58D4BFCA}">
  <sheetPr codeName="Hoja24"/>
  <dimension ref="B1:R58"/>
  <sheetViews>
    <sheetView showGridLines="0" topLeftCell="A14" zoomScale="55" zoomScaleNormal="55" workbookViewId="0">
      <selection activeCell="E45" sqref="E45"/>
    </sheetView>
  </sheetViews>
  <sheetFormatPr baseColWidth="10" defaultRowHeight="13.8"/>
  <cols>
    <col min="1" max="1" width="6.6640625" style="81" customWidth="1"/>
    <col min="2" max="5" width="11.5546875" style="81"/>
    <col min="6" max="6" width="8.21875" style="81" customWidth="1"/>
    <col min="7" max="7" width="11.5546875" style="81"/>
    <col min="8" max="8" width="16" style="81" customWidth="1"/>
    <col min="9" max="246" width="11.5546875" style="81"/>
    <col min="247" max="247" width="2.109375" style="81" customWidth="1"/>
    <col min="248" max="248" width="10" style="81" bestFit="1" customWidth="1"/>
    <col min="249" max="249" width="13" style="81" customWidth="1"/>
    <col min="250" max="251" width="11.5546875" style="81"/>
    <col min="252" max="252" width="11" style="81" bestFit="1" customWidth="1"/>
    <col min="253" max="253" width="11.5546875" style="81"/>
    <col min="254" max="254" width="12.88671875" style="81" customWidth="1"/>
    <col min="255" max="255" width="11.5546875" style="81"/>
    <col min="256" max="256" width="12.33203125" style="81" bestFit="1" customWidth="1"/>
    <col min="257" max="257" width="18.88671875" style="81" customWidth="1"/>
    <col min="258" max="502" width="11.5546875" style="81"/>
    <col min="503" max="503" width="2.109375" style="81" customWidth="1"/>
    <col min="504" max="504" width="10" style="81" bestFit="1" customWidth="1"/>
    <col min="505" max="505" width="13" style="81" customWidth="1"/>
    <col min="506" max="507" width="11.5546875" style="81"/>
    <col min="508" max="508" width="11" style="81" bestFit="1" customWidth="1"/>
    <col min="509" max="509" width="11.5546875" style="81"/>
    <col min="510" max="510" width="12.88671875" style="81" customWidth="1"/>
    <col min="511" max="511" width="11.5546875" style="81"/>
    <col min="512" max="512" width="12.33203125" style="81" bestFit="1" customWidth="1"/>
    <col min="513" max="513" width="18.88671875" style="81" customWidth="1"/>
    <col min="514" max="758" width="11.5546875" style="81"/>
    <col min="759" max="759" width="2.109375" style="81" customWidth="1"/>
    <col min="760" max="760" width="10" style="81" bestFit="1" customWidth="1"/>
    <col min="761" max="761" width="13" style="81" customWidth="1"/>
    <col min="762" max="763" width="11.5546875" style="81"/>
    <col min="764" max="764" width="11" style="81" bestFit="1" customWidth="1"/>
    <col min="765" max="765" width="11.5546875" style="81"/>
    <col min="766" max="766" width="12.88671875" style="81" customWidth="1"/>
    <col min="767" max="767" width="11.5546875" style="81"/>
    <col min="768" max="768" width="12.33203125" style="81" bestFit="1" customWidth="1"/>
    <col min="769" max="769" width="18.88671875" style="81" customWidth="1"/>
    <col min="770" max="1014" width="11.5546875" style="81"/>
    <col min="1015" max="1015" width="2.109375" style="81" customWidth="1"/>
    <col min="1016" max="1016" width="10" style="81" bestFit="1" customWidth="1"/>
    <col min="1017" max="1017" width="13" style="81" customWidth="1"/>
    <col min="1018" max="1019" width="11.5546875" style="81"/>
    <col min="1020" max="1020" width="11" style="81" bestFit="1" customWidth="1"/>
    <col min="1021" max="1021" width="11.5546875" style="81"/>
    <col min="1022" max="1022" width="12.88671875" style="81" customWidth="1"/>
    <col min="1023" max="1023" width="11.5546875" style="81"/>
    <col min="1024" max="1024" width="12.33203125" style="81" bestFit="1" customWidth="1"/>
    <col min="1025" max="1025" width="18.88671875" style="81" customWidth="1"/>
    <col min="1026" max="1270" width="11.5546875" style="81"/>
    <col min="1271" max="1271" width="2.109375" style="81" customWidth="1"/>
    <col min="1272" max="1272" width="10" style="81" bestFit="1" customWidth="1"/>
    <col min="1273" max="1273" width="13" style="81" customWidth="1"/>
    <col min="1274" max="1275" width="11.5546875" style="81"/>
    <col min="1276" max="1276" width="11" style="81" bestFit="1" customWidth="1"/>
    <col min="1277" max="1277" width="11.5546875" style="81"/>
    <col min="1278" max="1278" width="12.88671875" style="81" customWidth="1"/>
    <col min="1279" max="1279" width="11.5546875" style="81"/>
    <col min="1280" max="1280" width="12.33203125" style="81" bestFit="1" customWidth="1"/>
    <col min="1281" max="1281" width="18.88671875" style="81" customWidth="1"/>
    <col min="1282" max="1526" width="11.5546875" style="81"/>
    <col min="1527" max="1527" width="2.109375" style="81" customWidth="1"/>
    <col min="1528" max="1528" width="10" style="81" bestFit="1" customWidth="1"/>
    <col min="1529" max="1529" width="13" style="81" customWidth="1"/>
    <col min="1530" max="1531" width="11.5546875" style="81"/>
    <col min="1532" max="1532" width="11" style="81" bestFit="1" customWidth="1"/>
    <col min="1533" max="1533" width="11.5546875" style="81"/>
    <col min="1534" max="1534" width="12.88671875" style="81" customWidth="1"/>
    <col min="1535" max="1535" width="11.5546875" style="81"/>
    <col min="1536" max="1536" width="12.33203125" style="81" bestFit="1" customWidth="1"/>
    <col min="1537" max="1537" width="18.88671875" style="81" customWidth="1"/>
    <col min="1538" max="1782" width="11.5546875" style="81"/>
    <col min="1783" max="1783" width="2.109375" style="81" customWidth="1"/>
    <col min="1784" max="1784" width="10" style="81" bestFit="1" customWidth="1"/>
    <col min="1785" max="1785" width="13" style="81" customWidth="1"/>
    <col min="1786" max="1787" width="11.5546875" style="81"/>
    <col min="1788" max="1788" width="11" style="81" bestFit="1" customWidth="1"/>
    <col min="1789" max="1789" width="11.5546875" style="81"/>
    <col min="1790" max="1790" width="12.88671875" style="81" customWidth="1"/>
    <col min="1791" max="1791" width="11.5546875" style="81"/>
    <col min="1792" max="1792" width="12.33203125" style="81" bestFit="1" customWidth="1"/>
    <col min="1793" max="1793" width="18.88671875" style="81" customWidth="1"/>
    <col min="1794" max="2038" width="11.5546875" style="81"/>
    <col min="2039" max="2039" width="2.109375" style="81" customWidth="1"/>
    <col min="2040" max="2040" width="10" style="81" bestFit="1" customWidth="1"/>
    <col min="2041" max="2041" width="13" style="81" customWidth="1"/>
    <col min="2042" max="2043" width="11.5546875" style="81"/>
    <col min="2044" max="2044" width="11" style="81" bestFit="1" customWidth="1"/>
    <col min="2045" max="2045" width="11.5546875" style="81"/>
    <col min="2046" max="2046" width="12.88671875" style="81" customWidth="1"/>
    <col min="2047" max="2047" width="11.5546875" style="81"/>
    <col min="2048" max="2048" width="12.33203125" style="81" bestFit="1" customWidth="1"/>
    <col min="2049" max="2049" width="18.88671875" style="81" customWidth="1"/>
    <col min="2050" max="2294" width="11.5546875" style="81"/>
    <col min="2295" max="2295" width="2.109375" style="81" customWidth="1"/>
    <col min="2296" max="2296" width="10" style="81" bestFit="1" customWidth="1"/>
    <col min="2297" max="2297" width="13" style="81" customWidth="1"/>
    <col min="2298" max="2299" width="11.5546875" style="81"/>
    <col min="2300" max="2300" width="11" style="81" bestFit="1" customWidth="1"/>
    <col min="2301" max="2301" width="11.5546875" style="81"/>
    <col min="2302" max="2302" width="12.88671875" style="81" customWidth="1"/>
    <col min="2303" max="2303" width="11.5546875" style="81"/>
    <col min="2304" max="2304" width="12.33203125" style="81" bestFit="1" customWidth="1"/>
    <col min="2305" max="2305" width="18.88671875" style="81" customWidth="1"/>
    <col min="2306" max="2550" width="11.5546875" style="81"/>
    <col min="2551" max="2551" width="2.109375" style="81" customWidth="1"/>
    <col min="2552" max="2552" width="10" style="81" bestFit="1" customWidth="1"/>
    <col min="2553" max="2553" width="13" style="81" customWidth="1"/>
    <col min="2554" max="2555" width="11.5546875" style="81"/>
    <col min="2556" max="2556" width="11" style="81" bestFit="1" customWidth="1"/>
    <col min="2557" max="2557" width="11.5546875" style="81"/>
    <col min="2558" max="2558" width="12.88671875" style="81" customWidth="1"/>
    <col min="2559" max="2559" width="11.5546875" style="81"/>
    <col min="2560" max="2560" width="12.33203125" style="81" bestFit="1" customWidth="1"/>
    <col min="2561" max="2561" width="18.88671875" style="81" customWidth="1"/>
    <col min="2562" max="2806" width="11.5546875" style="81"/>
    <col min="2807" max="2807" width="2.109375" style="81" customWidth="1"/>
    <col min="2808" max="2808" width="10" style="81" bestFit="1" customWidth="1"/>
    <col min="2809" max="2809" width="13" style="81" customWidth="1"/>
    <col min="2810" max="2811" width="11.5546875" style="81"/>
    <col min="2812" max="2812" width="11" style="81" bestFit="1" customWidth="1"/>
    <col min="2813" max="2813" width="11.5546875" style="81"/>
    <col min="2814" max="2814" width="12.88671875" style="81" customWidth="1"/>
    <col min="2815" max="2815" width="11.5546875" style="81"/>
    <col min="2816" max="2816" width="12.33203125" style="81" bestFit="1" customWidth="1"/>
    <col min="2817" max="2817" width="18.88671875" style="81" customWidth="1"/>
    <col min="2818" max="3062" width="11.5546875" style="81"/>
    <col min="3063" max="3063" width="2.109375" style="81" customWidth="1"/>
    <col min="3064" max="3064" width="10" style="81" bestFit="1" customWidth="1"/>
    <col min="3065" max="3065" width="13" style="81" customWidth="1"/>
    <col min="3066" max="3067" width="11.5546875" style="81"/>
    <col min="3068" max="3068" width="11" style="81" bestFit="1" customWidth="1"/>
    <col min="3069" max="3069" width="11.5546875" style="81"/>
    <col min="3070" max="3070" width="12.88671875" style="81" customWidth="1"/>
    <col min="3071" max="3071" width="11.5546875" style="81"/>
    <col min="3072" max="3072" width="12.33203125" style="81" bestFit="1" customWidth="1"/>
    <col min="3073" max="3073" width="18.88671875" style="81" customWidth="1"/>
    <col min="3074" max="3318" width="11.5546875" style="81"/>
    <col min="3319" max="3319" width="2.109375" style="81" customWidth="1"/>
    <col min="3320" max="3320" width="10" style="81" bestFit="1" customWidth="1"/>
    <col min="3321" max="3321" width="13" style="81" customWidth="1"/>
    <col min="3322" max="3323" width="11.5546875" style="81"/>
    <col min="3324" max="3324" width="11" style="81" bestFit="1" customWidth="1"/>
    <col min="3325" max="3325" width="11.5546875" style="81"/>
    <col min="3326" max="3326" width="12.88671875" style="81" customWidth="1"/>
    <col min="3327" max="3327" width="11.5546875" style="81"/>
    <col min="3328" max="3328" width="12.33203125" style="81" bestFit="1" customWidth="1"/>
    <col min="3329" max="3329" width="18.88671875" style="81" customWidth="1"/>
    <col min="3330" max="3574" width="11.5546875" style="81"/>
    <col min="3575" max="3575" width="2.109375" style="81" customWidth="1"/>
    <col min="3576" max="3576" width="10" style="81" bestFit="1" customWidth="1"/>
    <col min="3577" max="3577" width="13" style="81" customWidth="1"/>
    <col min="3578" max="3579" width="11.5546875" style="81"/>
    <col min="3580" max="3580" width="11" style="81" bestFit="1" customWidth="1"/>
    <col min="3581" max="3581" width="11.5546875" style="81"/>
    <col min="3582" max="3582" width="12.88671875" style="81" customWidth="1"/>
    <col min="3583" max="3583" width="11.5546875" style="81"/>
    <col min="3584" max="3584" width="12.33203125" style="81" bestFit="1" customWidth="1"/>
    <col min="3585" max="3585" width="18.88671875" style="81" customWidth="1"/>
    <col min="3586" max="3830" width="11.5546875" style="81"/>
    <col min="3831" max="3831" width="2.109375" style="81" customWidth="1"/>
    <col min="3832" max="3832" width="10" style="81" bestFit="1" customWidth="1"/>
    <col min="3833" max="3833" width="13" style="81" customWidth="1"/>
    <col min="3834" max="3835" width="11.5546875" style="81"/>
    <col min="3836" max="3836" width="11" style="81" bestFit="1" customWidth="1"/>
    <col min="3837" max="3837" width="11.5546875" style="81"/>
    <col min="3838" max="3838" width="12.88671875" style="81" customWidth="1"/>
    <col min="3839" max="3839" width="11.5546875" style="81"/>
    <col min="3840" max="3840" width="12.33203125" style="81" bestFit="1" customWidth="1"/>
    <col min="3841" max="3841" width="18.88671875" style="81" customWidth="1"/>
    <col min="3842" max="4086" width="11.5546875" style="81"/>
    <col min="4087" max="4087" width="2.109375" style="81" customWidth="1"/>
    <col min="4088" max="4088" width="10" style="81" bestFit="1" customWidth="1"/>
    <col min="4089" max="4089" width="13" style="81" customWidth="1"/>
    <col min="4090" max="4091" width="11.5546875" style="81"/>
    <col min="4092" max="4092" width="11" style="81" bestFit="1" customWidth="1"/>
    <col min="4093" max="4093" width="11.5546875" style="81"/>
    <col min="4094" max="4094" width="12.88671875" style="81" customWidth="1"/>
    <col min="4095" max="4095" width="11.5546875" style="81"/>
    <col min="4096" max="4096" width="12.33203125" style="81" bestFit="1" customWidth="1"/>
    <col min="4097" max="4097" width="18.88671875" style="81" customWidth="1"/>
    <col min="4098" max="4342" width="11.5546875" style="81"/>
    <col min="4343" max="4343" width="2.109375" style="81" customWidth="1"/>
    <col min="4344" max="4344" width="10" style="81" bestFit="1" customWidth="1"/>
    <col min="4345" max="4345" width="13" style="81" customWidth="1"/>
    <col min="4346" max="4347" width="11.5546875" style="81"/>
    <col min="4348" max="4348" width="11" style="81" bestFit="1" customWidth="1"/>
    <col min="4349" max="4349" width="11.5546875" style="81"/>
    <col min="4350" max="4350" width="12.88671875" style="81" customWidth="1"/>
    <col min="4351" max="4351" width="11.5546875" style="81"/>
    <col min="4352" max="4352" width="12.33203125" style="81" bestFit="1" customWidth="1"/>
    <col min="4353" max="4353" width="18.88671875" style="81" customWidth="1"/>
    <col min="4354" max="4598" width="11.5546875" style="81"/>
    <col min="4599" max="4599" width="2.109375" style="81" customWidth="1"/>
    <col min="4600" max="4600" width="10" style="81" bestFit="1" customWidth="1"/>
    <col min="4601" max="4601" width="13" style="81" customWidth="1"/>
    <col min="4602" max="4603" width="11.5546875" style="81"/>
    <col min="4604" max="4604" width="11" style="81" bestFit="1" customWidth="1"/>
    <col min="4605" max="4605" width="11.5546875" style="81"/>
    <col min="4606" max="4606" width="12.88671875" style="81" customWidth="1"/>
    <col min="4607" max="4607" width="11.5546875" style="81"/>
    <col min="4608" max="4608" width="12.33203125" style="81" bestFit="1" customWidth="1"/>
    <col min="4609" max="4609" width="18.88671875" style="81" customWidth="1"/>
    <col min="4610" max="4854" width="11.5546875" style="81"/>
    <col min="4855" max="4855" width="2.109375" style="81" customWidth="1"/>
    <col min="4856" max="4856" width="10" style="81" bestFit="1" customWidth="1"/>
    <col min="4857" max="4857" width="13" style="81" customWidth="1"/>
    <col min="4858" max="4859" width="11.5546875" style="81"/>
    <col min="4860" max="4860" width="11" style="81" bestFit="1" customWidth="1"/>
    <col min="4861" max="4861" width="11.5546875" style="81"/>
    <col min="4862" max="4862" width="12.88671875" style="81" customWidth="1"/>
    <col min="4863" max="4863" width="11.5546875" style="81"/>
    <col min="4864" max="4864" width="12.33203125" style="81" bestFit="1" customWidth="1"/>
    <col min="4865" max="4865" width="18.88671875" style="81" customWidth="1"/>
    <col min="4866" max="5110" width="11.5546875" style="81"/>
    <col min="5111" max="5111" width="2.109375" style="81" customWidth="1"/>
    <col min="5112" max="5112" width="10" style="81" bestFit="1" customWidth="1"/>
    <col min="5113" max="5113" width="13" style="81" customWidth="1"/>
    <col min="5114" max="5115" width="11.5546875" style="81"/>
    <col min="5116" max="5116" width="11" style="81" bestFit="1" customWidth="1"/>
    <col min="5117" max="5117" width="11.5546875" style="81"/>
    <col min="5118" max="5118" width="12.88671875" style="81" customWidth="1"/>
    <col min="5119" max="5119" width="11.5546875" style="81"/>
    <col min="5120" max="5120" width="12.33203125" style="81" bestFit="1" customWidth="1"/>
    <col min="5121" max="5121" width="18.88671875" style="81" customWidth="1"/>
    <col min="5122" max="5366" width="11.5546875" style="81"/>
    <col min="5367" max="5367" width="2.109375" style="81" customWidth="1"/>
    <col min="5368" max="5368" width="10" style="81" bestFit="1" customWidth="1"/>
    <col min="5369" max="5369" width="13" style="81" customWidth="1"/>
    <col min="5370" max="5371" width="11.5546875" style="81"/>
    <col min="5372" max="5372" width="11" style="81" bestFit="1" customWidth="1"/>
    <col min="5373" max="5373" width="11.5546875" style="81"/>
    <col min="5374" max="5374" width="12.88671875" style="81" customWidth="1"/>
    <col min="5375" max="5375" width="11.5546875" style="81"/>
    <col min="5376" max="5376" width="12.33203125" style="81" bestFit="1" customWidth="1"/>
    <col min="5377" max="5377" width="18.88671875" style="81" customWidth="1"/>
    <col min="5378" max="5622" width="11.5546875" style="81"/>
    <col min="5623" max="5623" width="2.109375" style="81" customWidth="1"/>
    <col min="5624" max="5624" width="10" style="81" bestFit="1" customWidth="1"/>
    <col min="5625" max="5625" width="13" style="81" customWidth="1"/>
    <col min="5626" max="5627" width="11.5546875" style="81"/>
    <col min="5628" max="5628" width="11" style="81" bestFit="1" customWidth="1"/>
    <col min="5629" max="5629" width="11.5546875" style="81"/>
    <col min="5630" max="5630" width="12.88671875" style="81" customWidth="1"/>
    <col min="5631" max="5631" width="11.5546875" style="81"/>
    <col min="5632" max="5632" width="12.33203125" style="81" bestFit="1" customWidth="1"/>
    <col min="5633" max="5633" width="18.88671875" style="81" customWidth="1"/>
    <col min="5634" max="5878" width="11.5546875" style="81"/>
    <col min="5879" max="5879" width="2.109375" style="81" customWidth="1"/>
    <col min="5880" max="5880" width="10" style="81" bestFit="1" customWidth="1"/>
    <col min="5881" max="5881" width="13" style="81" customWidth="1"/>
    <col min="5882" max="5883" width="11.5546875" style="81"/>
    <col min="5884" max="5884" width="11" style="81" bestFit="1" customWidth="1"/>
    <col min="5885" max="5885" width="11.5546875" style="81"/>
    <col min="5886" max="5886" width="12.88671875" style="81" customWidth="1"/>
    <col min="5887" max="5887" width="11.5546875" style="81"/>
    <col min="5888" max="5888" width="12.33203125" style="81" bestFit="1" customWidth="1"/>
    <col min="5889" max="5889" width="18.88671875" style="81" customWidth="1"/>
    <col min="5890" max="6134" width="11.5546875" style="81"/>
    <col min="6135" max="6135" width="2.109375" style="81" customWidth="1"/>
    <col min="6136" max="6136" width="10" style="81" bestFit="1" customWidth="1"/>
    <col min="6137" max="6137" width="13" style="81" customWidth="1"/>
    <col min="6138" max="6139" width="11.5546875" style="81"/>
    <col min="6140" max="6140" width="11" style="81" bestFit="1" customWidth="1"/>
    <col min="6141" max="6141" width="11.5546875" style="81"/>
    <col min="6142" max="6142" width="12.88671875" style="81" customWidth="1"/>
    <col min="6143" max="6143" width="11.5546875" style="81"/>
    <col min="6144" max="6144" width="12.33203125" style="81" bestFit="1" customWidth="1"/>
    <col min="6145" max="6145" width="18.88671875" style="81" customWidth="1"/>
    <col min="6146" max="6390" width="11.5546875" style="81"/>
    <col min="6391" max="6391" width="2.109375" style="81" customWidth="1"/>
    <col min="6392" max="6392" width="10" style="81" bestFit="1" customWidth="1"/>
    <col min="6393" max="6393" width="13" style="81" customWidth="1"/>
    <col min="6394" max="6395" width="11.5546875" style="81"/>
    <col min="6396" max="6396" width="11" style="81" bestFit="1" customWidth="1"/>
    <col min="6397" max="6397" width="11.5546875" style="81"/>
    <col min="6398" max="6398" width="12.88671875" style="81" customWidth="1"/>
    <col min="6399" max="6399" width="11.5546875" style="81"/>
    <col min="6400" max="6400" width="12.33203125" style="81" bestFit="1" customWidth="1"/>
    <col min="6401" max="6401" width="18.88671875" style="81" customWidth="1"/>
    <col min="6402" max="6646" width="11.5546875" style="81"/>
    <col min="6647" max="6647" width="2.109375" style="81" customWidth="1"/>
    <col min="6648" max="6648" width="10" style="81" bestFit="1" customWidth="1"/>
    <col min="6649" max="6649" width="13" style="81" customWidth="1"/>
    <col min="6650" max="6651" width="11.5546875" style="81"/>
    <col min="6652" max="6652" width="11" style="81" bestFit="1" customWidth="1"/>
    <col min="6653" max="6653" width="11.5546875" style="81"/>
    <col min="6654" max="6654" width="12.88671875" style="81" customWidth="1"/>
    <col min="6655" max="6655" width="11.5546875" style="81"/>
    <col min="6656" max="6656" width="12.33203125" style="81" bestFit="1" customWidth="1"/>
    <col min="6657" max="6657" width="18.88671875" style="81" customWidth="1"/>
    <col min="6658" max="6902" width="11.5546875" style="81"/>
    <col min="6903" max="6903" width="2.109375" style="81" customWidth="1"/>
    <col min="6904" max="6904" width="10" style="81" bestFit="1" customWidth="1"/>
    <col min="6905" max="6905" width="13" style="81" customWidth="1"/>
    <col min="6906" max="6907" width="11.5546875" style="81"/>
    <col min="6908" max="6908" width="11" style="81" bestFit="1" customWidth="1"/>
    <col min="6909" max="6909" width="11.5546875" style="81"/>
    <col min="6910" max="6910" width="12.88671875" style="81" customWidth="1"/>
    <col min="6911" max="6911" width="11.5546875" style="81"/>
    <col min="6912" max="6912" width="12.33203125" style="81" bestFit="1" customWidth="1"/>
    <col min="6913" max="6913" width="18.88671875" style="81" customWidth="1"/>
    <col min="6914" max="7158" width="11.5546875" style="81"/>
    <col min="7159" max="7159" width="2.109375" style="81" customWidth="1"/>
    <col min="7160" max="7160" width="10" style="81" bestFit="1" customWidth="1"/>
    <col min="7161" max="7161" width="13" style="81" customWidth="1"/>
    <col min="7162" max="7163" width="11.5546875" style="81"/>
    <col min="7164" max="7164" width="11" style="81" bestFit="1" customWidth="1"/>
    <col min="7165" max="7165" width="11.5546875" style="81"/>
    <col min="7166" max="7166" width="12.88671875" style="81" customWidth="1"/>
    <col min="7167" max="7167" width="11.5546875" style="81"/>
    <col min="7168" max="7168" width="12.33203125" style="81" bestFit="1" customWidth="1"/>
    <col min="7169" max="7169" width="18.88671875" style="81" customWidth="1"/>
    <col min="7170" max="7414" width="11.5546875" style="81"/>
    <col min="7415" max="7415" width="2.109375" style="81" customWidth="1"/>
    <col min="7416" max="7416" width="10" style="81" bestFit="1" customWidth="1"/>
    <col min="7417" max="7417" width="13" style="81" customWidth="1"/>
    <col min="7418" max="7419" width="11.5546875" style="81"/>
    <col min="7420" max="7420" width="11" style="81" bestFit="1" customWidth="1"/>
    <col min="7421" max="7421" width="11.5546875" style="81"/>
    <col min="7422" max="7422" width="12.88671875" style="81" customWidth="1"/>
    <col min="7423" max="7423" width="11.5546875" style="81"/>
    <col min="7424" max="7424" width="12.33203125" style="81" bestFit="1" customWidth="1"/>
    <col min="7425" max="7425" width="18.88671875" style="81" customWidth="1"/>
    <col min="7426" max="7670" width="11.5546875" style="81"/>
    <col min="7671" max="7671" width="2.109375" style="81" customWidth="1"/>
    <col min="7672" max="7672" width="10" style="81" bestFit="1" customWidth="1"/>
    <col min="7673" max="7673" width="13" style="81" customWidth="1"/>
    <col min="7674" max="7675" width="11.5546875" style="81"/>
    <col min="7676" max="7676" width="11" style="81" bestFit="1" customWidth="1"/>
    <col min="7677" max="7677" width="11.5546875" style="81"/>
    <col min="7678" max="7678" width="12.88671875" style="81" customWidth="1"/>
    <col min="7679" max="7679" width="11.5546875" style="81"/>
    <col min="7680" max="7680" width="12.33203125" style="81" bestFit="1" customWidth="1"/>
    <col min="7681" max="7681" width="18.88671875" style="81" customWidth="1"/>
    <col min="7682" max="7926" width="11.5546875" style="81"/>
    <col min="7927" max="7927" width="2.109375" style="81" customWidth="1"/>
    <col min="7928" max="7928" width="10" style="81" bestFit="1" customWidth="1"/>
    <col min="7929" max="7929" width="13" style="81" customWidth="1"/>
    <col min="7930" max="7931" width="11.5546875" style="81"/>
    <col min="7932" max="7932" width="11" style="81" bestFit="1" customWidth="1"/>
    <col min="7933" max="7933" width="11.5546875" style="81"/>
    <col min="7934" max="7934" width="12.88671875" style="81" customWidth="1"/>
    <col min="7935" max="7935" width="11.5546875" style="81"/>
    <col min="7936" max="7936" width="12.33203125" style="81" bestFit="1" customWidth="1"/>
    <col min="7937" max="7937" width="18.88671875" style="81" customWidth="1"/>
    <col min="7938" max="8182" width="11.5546875" style="81"/>
    <col min="8183" max="8183" width="2.109375" style="81" customWidth="1"/>
    <col min="8184" max="8184" width="10" style="81" bestFit="1" customWidth="1"/>
    <col min="8185" max="8185" width="13" style="81" customWidth="1"/>
    <col min="8186" max="8187" width="11.5546875" style="81"/>
    <col min="8188" max="8188" width="11" style="81" bestFit="1" customWidth="1"/>
    <col min="8189" max="8189" width="11.5546875" style="81"/>
    <col min="8190" max="8190" width="12.88671875" style="81" customWidth="1"/>
    <col min="8191" max="8191" width="11.5546875" style="81"/>
    <col min="8192" max="8192" width="12.33203125" style="81" bestFit="1" customWidth="1"/>
    <col min="8193" max="8193" width="18.88671875" style="81" customWidth="1"/>
    <col min="8194" max="8438" width="11.5546875" style="81"/>
    <col min="8439" max="8439" width="2.109375" style="81" customWidth="1"/>
    <col min="8440" max="8440" width="10" style="81" bestFit="1" customWidth="1"/>
    <col min="8441" max="8441" width="13" style="81" customWidth="1"/>
    <col min="8442" max="8443" width="11.5546875" style="81"/>
    <col min="8444" max="8444" width="11" style="81" bestFit="1" customWidth="1"/>
    <col min="8445" max="8445" width="11.5546875" style="81"/>
    <col min="8446" max="8446" width="12.88671875" style="81" customWidth="1"/>
    <col min="8447" max="8447" width="11.5546875" style="81"/>
    <col min="8448" max="8448" width="12.33203125" style="81" bestFit="1" customWidth="1"/>
    <col min="8449" max="8449" width="18.88671875" style="81" customWidth="1"/>
    <col min="8450" max="8694" width="11.5546875" style="81"/>
    <col min="8695" max="8695" width="2.109375" style="81" customWidth="1"/>
    <col min="8696" max="8696" width="10" style="81" bestFit="1" customWidth="1"/>
    <col min="8697" max="8697" width="13" style="81" customWidth="1"/>
    <col min="8698" max="8699" width="11.5546875" style="81"/>
    <col min="8700" max="8700" width="11" style="81" bestFit="1" customWidth="1"/>
    <col min="8701" max="8701" width="11.5546875" style="81"/>
    <col min="8702" max="8702" width="12.88671875" style="81" customWidth="1"/>
    <col min="8703" max="8703" width="11.5546875" style="81"/>
    <col min="8704" max="8704" width="12.33203125" style="81" bestFit="1" customWidth="1"/>
    <col min="8705" max="8705" width="18.88671875" style="81" customWidth="1"/>
    <col min="8706" max="8950" width="11.5546875" style="81"/>
    <col min="8951" max="8951" width="2.109375" style="81" customWidth="1"/>
    <col min="8952" max="8952" width="10" style="81" bestFit="1" customWidth="1"/>
    <col min="8953" max="8953" width="13" style="81" customWidth="1"/>
    <col min="8954" max="8955" width="11.5546875" style="81"/>
    <col min="8956" max="8956" width="11" style="81" bestFit="1" customWidth="1"/>
    <col min="8957" max="8957" width="11.5546875" style="81"/>
    <col min="8958" max="8958" width="12.88671875" style="81" customWidth="1"/>
    <col min="8959" max="8959" width="11.5546875" style="81"/>
    <col min="8960" max="8960" width="12.33203125" style="81" bestFit="1" customWidth="1"/>
    <col min="8961" max="8961" width="18.88671875" style="81" customWidth="1"/>
    <col min="8962" max="9206" width="11.5546875" style="81"/>
    <col min="9207" max="9207" width="2.109375" style="81" customWidth="1"/>
    <col min="9208" max="9208" width="10" style="81" bestFit="1" customWidth="1"/>
    <col min="9209" max="9209" width="13" style="81" customWidth="1"/>
    <col min="9210" max="9211" width="11.5546875" style="81"/>
    <col min="9212" max="9212" width="11" style="81" bestFit="1" customWidth="1"/>
    <col min="9213" max="9213" width="11.5546875" style="81"/>
    <col min="9214" max="9214" width="12.88671875" style="81" customWidth="1"/>
    <col min="9215" max="9215" width="11.5546875" style="81"/>
    <col min="9216" max="9216" width="12.33203125" style="81" bestFit="1" customWidth="1"/>
    <col min="9217" max="9217" width="18.88671875" style="81" customWidth="1"/>
    <col min="9218" max="9462" width="11.5546875" style="81"/>
    <col min="9463" max="9463" width="2.109375" style="81" customWidth="1"/>
    <col min="9464" max="9464" width="10" style="81" bestFit="1" customWidth="1"/>
    <col min="9465" max="9465" width="13" style="81" customWidth="1"/>
    <col min="9466" max="9467" width="11.5546875" style="81"/>
    <col min="9468" max="9468" width="11" style="81" bestFit="1" customWidth="1"/>
    <col min="9469" max="9469" width="11.5546875" style="81"/>
    <col min="9470" max="9470" width="12.88671875" style="81" customWidth="1"/>
    <col min="9471" max="9471" width="11.5546875" style="81"/>
    <col min="9472" max="9472" width="12.33203125" style="81" bestFit="1" customWidth="1"/>
    <col min="9473" max="9473" width="18.88671875" style="81" customWidth="1"/>
    <col min="9474" max="9718" width="11.5546875" style="81"/>
    <col min="9719" max="9719" width="2.109375" style="81" customWidth="1"/>
    <col min="9720" max="9720" width="10" style="81" bestFit="1" customWidth="1"/>
    <col min="9721" max="9721" width="13" style="81" customWidth="1"/>
    <col min="9722" max="9723" width="11.5546875" style="81"/>
    <col min="9724" max="9724" width="11" style="81" bestFit="1" customWidth="1"/>
    <col min="9725" max="9725" width="11.5546875" style="81"/>
    <col min="9726" max="9726" width="12.88671875" style="81" customWidth="1"/>
    <col min="9727" max="9727" width="11.5546875" style="81"/>
    <col min="9728" max="9728" width="12.33203125" style="81" bestFit="1" customWidth="1"/>
    <col min="9729" max="9729" width="18.88671875" style="81" customWidth="1"/>
    <col min="9730" max="9974" width="11.5546875" style="81"/>
    <col min="9975" max="9975" width="2.109375" style="81" customWidth="1"/>
    <col min="9976" max="9976" width="10" style="81" bestFit="1" customWidth="1"/>
    <col min="9977" max="9977" width="13" style="81" customWidth="1"/>
    <col min="9978" max="9979" width="11.5546875" style="81"/>
    <col min="9980" max="9980" width="11" style="81" bestFit="1" customWidth="1"/>
    <col min="9981" max="9981" width="11.5546875" style="81"/>
    <col min="9982" max="9982" width="12.88671875" style="81" customWidth="1"/>
    <col min="9983" max="9983" width="11.5546875" style="81"/>
    <col min="9984" max="9984" width="12.33203125" style="81" bestFit="1" customWidth="1"/>
    <col min="9985" max="9985" width="18.88671875" style="81" customWidth="1"/>
    <col min="9986" max="10230" width="11.5546875" style="81"/>
    <col min="10231" max="10231" width="2.109375" style="81" customWidth="1"/>
    <col min="10232" max="10232" width="10" style="81" bestFit="1" customWidth="1"/>
    <col min="10233" max="10233" width="13" style="81" customWidth="1"/>
    <col min="10234" max="10235" width="11.5546875" style="81"/>
    <col min="10236" max="10236" width="11" style="81" bestFit="1" customWidth="1"/>
    <col min="10237" max="10237" width="11.5546875" style="81"/>
    <col min="10238" max="10238" width="12.88671875" style="81" customWidth="1"/>
    <col min="10239" max="10239" width="11.5546875" style="81"/>
    <col min="10240" max="10240" width="12.33203125" style="81" bestFit="1" customWidth="1"/>
    <col min="10241" max="10241" width="18.88671875" style="81" customWidth="1"/>
    <col min="10242" max="10486" width="11.5546875" style="81"/>
    <col min="10487" max="10487" width="2.109375" style="81" customWidth="1"/>
    <col min="10488" max="10488" width="10" style="81" bestFit="1" customWidth="1"/>
    <col min="10489" max="10489" width="13" style="81" customWidth="1"/>
    <col min="10490" max="10491" width="11.5546875" style="81"/>
    <col min="10492" max="10492" width="11" style="81" bestFit="1" customWidth="1"/>
    <col min="10493" max="10493" width="11.5546875" style="81"/>
    <col min="10494" max="10494" width="12.88671875" style="81" customWidth="1"/>
    <col min="10495" max="10495" width="11.5546875" style="81"/>
    <col min="10496" max="10496" width="12.33203125" style="81" bestFit="1" customWidth="1"/>
    <col min="10497" max="10497" width="18.88671875" style="81" customWidth="1"/>
    <col min="10498" max="10742" width="11.5546875" style="81"/>
    <col min="10743" max="10743" width="2.109375" style="81" customWidth="1"/>
    <col min="10744" max="10744" width="10" style="81" bestFit="1" customWidth="1"/>
    <col min="10745" max="10745" width="13" style="81" customWidth="1"/>
    <col min="10746" max="10747" width="11.5546875" style="81"/>
    <col min="10748" max="10748" width="11" style="81" bestFit="1" customWidth="1"/>
    <col min="10749" max="10749" width="11.5546875" style="81"/>
    <col min="10750" max="10750" width="12.88671875" style="81" customWidth="1"/>
    <col min="10751" max="10751" width="11.5546875" style="81"/>
    <col min="10752" max="10752" width="12.33203125" style="81" bestFit="1" customWidth="1"/>
    <col min="10753" max="10753" width="18.88671875" style="81" customWidth="1"/>
    <col min="10754" max="10998" width="11.5546875" style="81"/>
    <col min="10999" max="10999" width="2.109375" style="81" customWidth="1"/>
    <col min="11000" max="11000" width="10" style="81" bestFit="1" customWidth="1"/>
    <col min="11001" max="11001" width="13" style="81" customWidth="1"/>
    <col min="11002" max="11003" width="11.5546875" style="81"/>
    <col min="11004" max="11004" width="11" style="81" bestFit="1" customWidth="1"/>
    <col min="11005" max="11005" width="11.5546875" style="81"/>
    <col min="11006" max="11006" width="12.88671875" style="81" customWidth="1"/>
    <col min="11007" max="11007" width="11.5546875" style="81"/>
    <col min="11008" max="11008" width="12.33203125" style="81" bestFit="1" customWidth="1"/>
    <col min="11009" max="11009" width="18.88671875" style="81" customWidth="1"/>
    <col min="11010" max="11254" width="11.5546875" style="81"/>
    <col min="11255" max="11255" width="2.109375" style="81" customWidth="1"/>
    <col min="11256" max="11256" width="10" style="81" bestFit="1" customWidth="1"/>
    <col min="11257" max="11257" width="13" style="81" customWidth="1"/>
    <col min="11258" max="11259" width="11.5546875" style="81"/>
    <col min="11260" max="11260" width="11" style="81" bestFit="1" customWidth="1"/>
    <col min="11261" max="11261" width="11.5546875" style="81"/>
    <col min="11262" max="11262" width="12.88671875" style="81" customWidth="1"/>
    <col min="11263" max="11263" width="11.5546875" style="81"/>
    <col min="11264" max="11264" width="12.33203125" style="81" bestFit="1" customWidth="1"/>
    <col min="11265" max="11265" width="18.88671875" style="81" customWidth="1"/>
    <col min="11266" max="11510" width="11.5546875" style="81"/>
    <col min="11511" max="11511" width="2.109375" style="81" customWidth="1"/>
    <col min="11512" max="11512" width="10" style="81" bestFit="1" customWidth="1"/>
    <col min="11513" max="11513" width="13" style="81" customWidth="1"/>
    <col min="11514" max="11515" width="11.5546875" style="81"/>
    <col min="11516" max="11516" width="11" style="81" bestFit="1" customWidth="1"/>
    <col min="11517" max="11517" width="11.5546875" style="81"/>
    <col min="11518" max="11518" width="12.88671875" style="81" customWidth="1"/>
    <col min="11519" max="11519" width="11.5546875" style="81"/>
    <col min="11520" max="11520" width="12.33203125" style="81" bestFit="1" customWidth="1"/>
    <col min="11521" max="11521" width="18.88671875" style="81" customWidth="1"/>
    <col min="11522" max="11766" width="11.5546875" style="81"/>
    <col min="11767" max="11767" width="2.109375" style="81" customWidth="1"/>
    <col min="11768" max="11768" width="10" style="81" bestFit="1" customWidth="1"/>
    <col min="11769" max="11769" width="13" style="81" customWidth="1"/>
    <col min="11770" max="11771" width="11.5546875" style="81"/>
    <col min="11772" max="11772" width="11" style="81" bestFit="1" customWidth="1"/>
    <col min="11773" max="11773" width="11.5546875" style="81"/>
    <col min="11774" max="11774" width="12.88671875" style="81" customWidth="1"/>
    <col min="11775" max="11775" width="11.5546875" style="81"/>
    <col min="11776" max="11776" width="12.33203125" style="81" bestFit="1" customWidth="1"/>
    <col min="11777" max="11777" width="18.88671875" style="81" customWidth="1"/>
    <col min="11778" max="12022" width="11.5546875" style="81"/>
    <col min="12023" max="12023" width="2.109375" style="81" customWidth="1"/>
    <col min="12024" max="12024" width="10" style="81" bestFit="1" customWidth="1"/>
    <col min="12025" max="12025" width="13" style="81" customWidth="1"/>
    <col min="12026" max="12027" width="11.5546875" style="81"/>
    <col min="12028" max="12028" width="11" style="81" bestFit="1" customWidth="1"/>
    <col min="12029" max="12029" width="11.5546875" style="81"/>
    <col min="12030" max="12030" width="12.88671875" style="81" customWidth="1"/>
    <col min="12031" max="12031" width="11.5546875" style="81"/>
    <col min="12032" max="12032" width="12.33203125" style="81" bestFit="1" customWidth="1"/>
    <col min="12033" max="12033" width="18.88671875" style="81" customWidth="1"/>
    <col min="12034" max="12278" width="11.5546875" style="81"/>
    <col min="12279" max="12279" width="2.109375" style="81" customWidth="1"/>
    <col min="12280" max="12280" width="10" style="81" bestFit="1" customWidth="1"/>
    <col min="12281" max="12281" width="13" style="81" customWidth="1"/>
    <col min="12282" max="12283" width="11.5546875" style="81"/>
    <col min="12284" max="12284" width="11" style="81" bestFit="1" customWidth="1"/>
    <col min="12285" max="12285" width="11.5546875" style="81"/>
    <col min="12286" max="12286" width="12.88671875" style="81" customWidth="1"/>
    <col min="12287" max="12287" width="11.5546875" style="81"/>
    <col min="12288" max="12288" width="12.33203125" style="81" bestFit="1" customWidth="1"/>
    <col min="12289" max="12289" width="18.88671875" style="81" customWidth="1"/>
    <col min="12290" max="12534" width="11.5546875" style="81"/>
    <col min="12535" max="12535" width="2.109375" style="81" customWidth="1"/>
    <col min="12536" max="12536" width="10" style="81" bestFit="1" customWidth="1"/>
    <col min="12537" max="12537" width="13" style="81" customWidth="1"/>
    <col min="12538" max="12539" width="11.5546875" style="81"/>
    <col min="12540" max="12540" width="11" style="81" bestFit="1" customWidth="1"/>
    <col min="12541" max="12541" width="11.5546875" style="81"/>
    <col min="12542" max="12542" width="12.88671875" style="81" customWidth="1"/>
    <col min="12543" max="12543" width="11.5546875" style="81"/>
    <col min="12544" max="12544" width="12.33203125" style="81" bestFit="1" customWidth="1"/>
    <col min="12545" max="12545" width="18.88671875" style="81" customWidth="1"/>
    <col min="12546" max="12790" width="11.5546875" style="81"/>
    <col min="12791" max="12791" width="2.109375" style="81" customWidth="1"/>
    <col min="12792" max="12792" width="10" style="81" bestFit="1" customWidth="1"/>
    <col min="12793" max="12793" width="13" style="81" customWidth="1"/>
    <col min="12794" max="12795" width="11.5546875" style="81"/>
    <col min="12796" max="12796" width="11" style="81" bestFit="1" customWidth="1"/>
    <col min="12797" max="12797" width="11.5546875" style="81"/>
    <col min="12798" max="12798" width="12.88671875" style="81" customWidth="1"/>
    <col min="12799" max="12799" width="11.5546875" style="81"/>
    <col min="12800" max="12800" width="12.33203125" style="81" bestFit="1" customWidth="1"/>
    <col min="12801" max="12801" width="18.88671875" style="81" customWidth="1"/>
    <col min="12802" max="13046" width="11.5546875" style="81"/>
    <col min="13047" max="13047" width="2.109375" style="81" customWidth="1"/>
    <col min="13048" max="13048" width="10" style="81" bestFit="1" customWidth="1"/>
    <col min="13049" max="13049" width="13" style="81" customWidth="1"/>
    <col min="13050" max="13051" width="11.5546875" style="81"/>
    <col min="13052" max="13052" width="11" style="81" bestFit="1" customWidth="1"/>
    <col min="13053" max="13053" width="11.5546875" style="81"/>
    <col min="13054" max="13054" width="12.88671875" style="81" customWidth="1"/>
    <col min="13055" max="13055" width="11.5546875" style="81"/>
    <col min="13056" max="13056" width="12.33203125" style="81" bestFit="1" customWidth="1"/>
    <col min="13057" max="13057" width="18.88671875" style="81" customWidth="1"/>
    <col min="13058" max="13302" width="11.5546875" style="81"/>
    <col min="13303" max="13303" width="2.109375" style="81" customWidth="1"/>
    <col min="13304" max="13304" width="10" style="81" bestFit="1" customWidth="1"/>
    <col min="13305" max="13305" width="13" style="81" customWidth="1"/>
    <col min="13306" max="13307" width="11.5546875" style="81"/>
    <col min="13308" max="13308" width="11" style="81" bestFit="1" customWidth="1"/>
    <col min="13309" max="13309" width="11.5546875" style="81"/>
    <col min="13310" max="13310" width="12.88671875" style="81" customWidth="1"/>
    <col min="13311" max="13311" width="11.5546875" style="81"/>
    <col min="13312" max="13312" width="12.33203125" style="81" bestFit="1" customWidth="1"/>
    <col min="13313" max="13313" width="18.88671875" style="81" customWidth="1"/>
    <col min="13314" max="13558" width="11.5546875" style="81"/>
    <col min="13559" max="13559" width="2.109375" style="81" customWidth="1"/>
    <col min="13560" max="13560" width="10" style="81" bestFit="1" customWidth="1"/>
    <col min="13561" max="13561" width="13" style="81" customWidth="1"/>
    <col min="13562" max="13563" width="11.5546875" style="81"/>
    <col min="13564" max="13564" width="11" style="81" bestFit="1" customWidth="1"/>
    <col min="13565" max="13565" width="11.5546875" style="81"/>
    <col min="13566" max="13566" width="12.88671875" style="81" customWidth="1"/>
    <col min="13567" max="13567" width="11.5546875" style="81"/>
    <col min="13568" max="13568" width="12.33203125" style="81" bestFit="1" customWidth="1"/>
    <col min="13569" max="13569" width="18.88671875" style="81" customWidth="1"/>
    <col min="13570" max="13814" width="11.5546875" style="81"/>
    <col min="13815" max="13815" width="2.109375" style="81" customWidth="1"/>
    <col min="13816" max="13816" width="10" style="81" bestFit="1" customWidth="1"/>
    <col min="13817" max="13817" width="13" style="81" customWidth="1"/>
    <col min="13818" max="13819" width="11.5546875" style="81"/>
    <col min="13820" max="13820" width="11" style="81" bestFit="1" customWidth="1"/>
    <col min="13821" max="13821" width="11.5546875" style="81"/>
    <col min="13822" max="13822" width="12.88671875" style="81" customWidth="1"/>
    <col min="13823" max="13823" width="11.5546875" style="81"/>
    <col min="13824" max="13824" width="12.33203125" style="81" bestFit="1" customWidth="1"/>
    <col min="13825" max="13825" width="18.88671875" style="81" customWidth="1"/>
    <col min="13826" max="14070" width="11.5546875" style="81"/>
    <col min="14071" max="14071" width="2.109375" style="81" customWidth="1"/>
    <col min="14072" max="14072" width="10" style="81" bestFit="1" customWidth="1"/>
    <col min="14073" max="14073" width="13" style="81" customWidth="1"/>
    <col min="14074" max="14075" width="11.5546875" style="81"/>
    <col min="14076" max="14076" width="11" style="81" bestFit="1" customWidth="1"/>
    <col min="14077" max="14077" width="11.5546875" style="81"/>
    <col min="14078" max="14078" width="12.88671875" style="81" customWidth="1"/>
    <col min="14079" max="14079" width="11.5546875" style="81"/>
    <col min="14080" max="14080" width="12.33203125" style="81" bestFit="1" customWidth="1"/>
    <col min="14081" max="14081" width="18.88671875" style="81" customWidth="1"/>
    <col min="14082" max="14326" width="11.5546875" style="81"/>
    <col min="14327" max="14327" width="2.109375" style="81" customWidth="1"/>
    <col min="14328" max="14328" width="10" style="81" bestFit="1" customWidth="1"/>
    <col min="14329" max="14329" width="13" style="81" customWidth="1"/>
    <col min="14330" max="14331" width="11.5546875" style="81"/>
    <col min="14332" max="14332" width="11" style="81" bestFit="1" customWidth="1"/>
    <col min="14333" max="14333" width="11.5546875" style="81"/>
    <col min="14334" max="14334" width="12.88671875" style="81" customWidth="1"/>
    <col min="14335" max="14335" width="11.5546875" style="81"/>
    <col min="14336" max="14336" width="12.33203125" style="81" bestFit="1" customWidth="1"/>
    <col min="14337" max="14337" width="18.88671875" style="81" customWidth="1"/>
    <col min="14338" max="14582" width="11.5546875" style="81"/>
    <col min="14583" max="14583" width="2.109375" style="81" customWidth="1"/>
    <col min="14584" max="14584" width="10" style="81" bestFit="1" customWidth="1"/>
    <col min="14585" max="14585" width="13" style="81" customWidth="1"/>
    <col min="14586" max="14587" width="11.5546875" style="81"/>
    <col min="14588" max="14588" width="11" style="81" bestFit="1" customWidth="1"/>
    <col min="14589" max="14589" width="11.5546875" style="81"/>
    <col min="14590" max="14590" width="12.88671875" style="81" customWidth="1"/>
    <col min="14591" max="14591" width="11.5546875" style="81"/>
    <col min="14592" max="14592" width="12.33203125" style="81" bestFit="1" customWidth="1"/>
    <col min="14593" max="14593" width="18.88671875" style="81" customWidth="1"/>
    <col min="14594" max="14838" width="11.5546875" style="81"/>
    <col min="14839" max="14839" width="2.109375" style="81" customWidth="1"/>
    <col min="14840" max="14840" width="10" style="81" bestFit="1" customWidth="1"/>
    <col min="14841" max="14841" width="13" style="81" customWidth="1"/>
    <col min="14842" max="14843" width="11.5546875" style="81"/>
    <col min="14844" max="14844" width="11" style="81" bestFit="1" customWidth="1"/>
    <col min="14845" max="14845" width="11.5546875" style="81"/>
    <col min="14846" max="14846" width="12.88671875" style="81" customWidth="1"/>
    <col min="14847" max="14847" width="11.5546875" style="81"/>
    <col min="14848" max="14848" width="12.33203125" style="81" bestFit="1" customWidth="1"/>
    <col min="14849" max="14849" width="18.88671875" style="81" customWidth="1"/>
    <col min="14850" max="15094" width="11.5546875" style="81"/>
    <col min="15095" max="15095" width="2.109375" style="81" customWidth="1"/>
    <col min="15096" max="15096" width="10" style="81" bestFit="1" customWidth="1"/>
    <col min="15097" max="15097" width="13" style="81" customWidth="1"/>
    <col min="15098" max="15099" width="11.5546875" style="81"/>
    <col min="15100" max="15100" width="11" style="81" bestFit="1" customWidth="1"/>
    <col min="15101" max="15101" width="11.5546875" style="81"/>
    <col min="15102" max="15102" width="12.88671875" style="81" customWidth="1"/>
    <col min="15103" max="15103" width="11.5546875" style="81"/>
    <col min="15104" max="15104" width="12.33203125" style="81" bestFit="1" customWidth="1"/>
    <col min="15105" max="15105" width="18.88671875" style="81" customWidth="1"/>
    <col min="15106" max="15350" width="11.5546875" style="81"/>
    <col min="15351" max="15351" width="2.109375" style="81" customWidth="1"/>
    <col min="15352" max="15352" width="10" style="81" bestFit="1" customWidth="1"/>
    <col min="15353" max="15353" width="13" style="81" customWidth="1"/>
    <col min="15354" max="15355" width="11.5546875" style="81"/>
    <col min="15356" max="15356" width="11" style="81" bestFit="1" customWidth="1"/>
    <col min="15357" max="15357" width="11.5546875" style="81"/>
    <col min="15358" max="15358" width="12.88671875" style="81" customWidth="1"/>
    <col min="15359" max="15359" width="11.5546875" style="81"/>
    <col min="15360" max="15360" width="12.33203125" style="81" bestFit="1" customWidth="1"/>
    <col min="15361" max="15361" width="18.88671875" style="81" customWidth="1"/>
    <col min="15362" max="15606" width="11.5546875" style="81"/>
    <col min="15607" max="15607" width="2.109375" style="81" customWidth="1"/>
    <col min="15608" max="15608" width="10" style="81" bestFit="1" customWidth="1"/>
    <col min="15609" max="15609" width="13" style="81" customWidth="1"/>
    <col min="15610" max="15611" width="11.5546875" style="81"/>
    <col min="15612" max="15612" width="11" style="81" bestFit="1" customWidth="1"/>
    <col min="15613" max="15613" width="11.5546875" style="81"/>
    <col min="15614" max="15614" width="12.88671875" style="81" customWidth="1"/>
    <col min="15615" max="15615" width="11.5546875" style="81"/>
    <col min="15616" max="15616" width="12.33203125" style="81" bestFit="1" customWidth="1"/>
    <col min="15617" max="15617" width="18.88671875" style="81" customWidth="1"/>
    <col min="15618" max="15862" width="11.5546875" style="81"/>
    <col min="15863" max="15863" width="2.109375" style="81" customWidth="1"/>
    <col min="15864" max="15864" width="10" style="81" bestFit="1" customWidth="1"/>
    <col min="15865" max="15865" width="13" style="81" customWidth="1"/>
    <col min="15866" max="15867" width="11.5546875" style="81"/>
    <col min="15868" max="15868" width="11" style="81" bestFit="1" customWidth="1"/>
    <col min="15869" max="15869" width="11.5546875" style="81"/>
    <col min="15870" max="15870" width="12.88671875" style="81" customWidth="1"/>
    <col min="15871" max="15871" width="11.5546875" style="81"/>
    <col min="15872" max="15872" width="12.33203125" style="81" bestFit="1" customWidth="1"/>
    <col min="15873" max="15873" width="18.88671875" style="81" customWidth="1"/>
    <col min="15874" max="16118" width="11.5546875" style="81"/>
    <col min="16119" max="16119" width="2.109375" style="81" customWidth="1"/>
    <col min="16120" max="16120" width="10" style="81" bestFit="1" customWidth="1"/>
    <col min="16121" max="16121" width="13" style="81" customWidth="1"/>
    <col min="16122" max="16123" width="11.5546875" style="81"/>
    <col min="16124" max="16124" width="11" style="81" bestFit="1" customWidth="1"/>
    <col min="16125" max="16125" width="11.5546875" style="81"/>
    <col min="16126" max="16126" width="12.88671875" style="81" customWidth="1"/>
    <col min="16127" max="16127" width="11.5546875" style="81"/>
    <col min="16128" max="16128" width="12.33203125" style="81" bestFit="1" customWidth="1"/>
    <col min="16129" max="16129" width="18.88671875" style="81" customWidth="1"/>
    <col min="16130" max="16384" width="11.5546875" style="81"/>
  </cols>
  <sheetData>
    <row r="1" spans="2:18" ht="17.25" customHeight="1"/>
    <row r="2" spans="2:18" ht="98.25" customHeight="1">
      <c r="C2" s="874"/>
      <c r="D2" s="875"/>
      <c r="E2" s="875"/>
      <c r="F2" s="875"/>
      <c r="G2" s="875"/>
      <c r="H2" s="875"/>
      <c r="I2" s="875"/>
      <c r="J2" s="875"/>
      <c r="K2" s="875"/>
      <c r="L2" s="875"/>
    </row>
    <row r="3" spans="2:18" ht="26.25" customHeight="1" thickBot="1"/>
    <row r="4" spans="2:18" customFormat="1" ht="14.4">
      <c r="C4" s="876" t="s">
        <v>162</v>
      </c>
      <c r="D4" s="877"/>
      <c r="E4" s="877"/>
      <c r="F4" s="877"/>
      <c r="G4" s="877"/>
      <c r="H4" s="877"/>
      <c r="I4" s="877"/>
      <c r="J4" s="877"/>
      <c r="K4" s="877"/>
      <c r="L4" s="878"/>
    </row>
    <row r="5" spans="2:18" customFormat="1" ht="15" thickBot="1">
      <c r="C5" s="879"/>
      <c r="D5" s="880"/>
      <c r="E5" s="880"/>
      <c r="F5" s="880"/>
      <c r="G5" s="880"/>
      <c r="H5" s="880"/>
      <c r="I5" s="880"/>
      <c r="J5" s="880"/>
      <c r="K5" s="880"/>
      <c r="L5" s="881"/>
    </row>
    <row r="6" spans="2:18" customFormat="1" ht="29.25" customHeight="1" thickBot="1"/>
    <row r="7" spans="2:18" customFormat="1" ht="15" thickBot="1">
      <c r="C7" s="82" t="s">
        <v>337</v>
      </c>
      <c r="D7" s="83"/>
      <c r="E7" s="936">
        <v>956796767</v>
      </c>
      <c r="F7" s="937"/>
      <c r="G7" s="84" t="s">
        <v>142</v>
      </c>
      <c r="H7" s="884" t="e">
        <f>+VLOOKUP($E$7,'OCTUBRE 2025'!$C$8:$J$10,2,0)</f>
        <v>#N/A</v>
      </c>
      <c r="I7" s="885"/>
      <c r="J7" s="885"/>
      <c r="K7" s="885"/>
      <c r="L7" s="886"/>
    </row>
    <row r="8" spans="2:18" customFormat="1" ht="15" thickBot="1">
      <c r="C8" s="82" t="s">
        <v>143</v>
      </c>
      <c r="D8" s="86"/>
      <c r="E8" s="887" t="e">
        <f>+VLOOKUP($E$7,'OCTUBRE 2025'!$C$8:$J$10,8,0)</f>
        <v>#N/A</v>
      </c>
      <c r="F8" s="888"/>
      <c r="G8" s="87" t="s">
        <v>144</v>
      </c>
      <c r="H8" s="889" t="e">
        <f>+VLOOKUP($E$7,'OCTUBRE 2025'!$C$8:$J$10,4,0)</f>
        <v>#N/A</v>
      </c>
      <c r="I8" s="890"/>
      <c r="J8" s="890"/>
      <c r="K8" s="890"/>
      <c r="L8" s="891"/>
    </row>
    <row r="9" spans="2:18" customFormat="1" ht="15" thickBot="1">
      <c r="C9" s="82" t="s">
        <v>145</v>
      </c>
      <c r="D9" s="88"/>
      <c r="E9" s="934" t="e">
        <f>+VLOOKUP($E$7,'OCTUBRE 2025'!$C$8:$J$10,3,0)</f>
        <v>#N/A</v>
      </c>
      <c r="F9" s="935"/>
      <c r="G9" s="90" t="s">
        <v>225</v>
      </c>
      <c r="H9" s="884" t="e">
        <f>+VLOOKUP($E$7,'OCTUBRE 2025'!$C$8:$J$10,6,0)</f>
        <v>#N/A</v>
      </c>
      <c r="I9" s="885"/>
      <c r="J9" s="885"/>
      <c r="K9" s="885"/>
      <c r="L9" s="886"/>
    </row>
    <row r="10" spans="2:18" customFormat="1" ht="31.5" customHeight="1" thickBot="1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R10" s="396"/>
    </row>
    <row r="11" spans="2:18" customFormat="1" ht="15" thickBot="1">
      <c r="C11" s="900" t="s">
        <v>146</v>
      </c>
      <c r="D11" s="901"/>
      <c r="E11" s="901"/>
      <c r="F11" s="901"/>
      <c r="G11" s="901"/>
      <c r="H11" s="901"/>
      <c r="I11" s="901"/>
      <c r="J11" s="91"/>
      <c r="K11" s="91"/>
      <c r="L11" s="92"/>
    </row>
    <row r="12" spans="2:18" customFormat="1" ht="15" customHeight="1" thickBot="1">
      <c r="C12" s="93"/>
      <c r="J12" s="864" t="s">
        <v>147</v>
      </c>
      <c r="K12" s="865"/>
      <c r="L12" s="902"/>
    </row>
    <row r="13" spans="2:18" customFormat="1" ht="15" customHeight="1" thickBot="1">
      <c r="C13" s="93"/>
      <c r="D13" s="903" t="s">
        <v>148</v>
      </c>
      <c r="E13" s="904"/>
      <c r="F13" s="94"/>
      <c r="G13" s="85"/>
      <c r="H13" s="431"/>
      <c r="J13" s="432" t="s">
        <v>149</v>
      </c>
      <c r="K13" s="434" t="s">
        <v>150</v>
      </c>
      <c r="L13" s="433" t="s">
        <v>87</v>
      </c>
    </row>
    <row r="14" spans="2:18" customFormat="1" ht="15" thickBot="1">
      <c r="C14" s="95"/>
      <c r="D14" s="903" t="s">
        <v>411</v>
      </c>
      <c r="E14" s="904"/>
      <c r="F14" s="94"/>
      <c r="G14" s="96"/>
      <c r="H14" s="435">
        <v>119.95</v>
      </c>
      <c r="I14" s="51"/>
      <c r="J14" s="436">
        <v>1</v>
      </c>
      <c r="K14" s="440">
        <v>45352</v>
      </c>
      <c r="L14" s="437">
        <f>+H17</f>
        <v>39.983333333333334</v>
      </c>
    </row>
    <row r="15" spans="2:18" customFormat="1" ht="18.75" customHeight="1" thickBot="1">
      <c r="C15" s="93"/>
      <c r="D15" s="905" t="s">
        <v>152</v>
      </c>
      <c r="E15" s="906"/>
      <c r="F15" s="906"/>
      <c r="G15" s="907"/>
      <c r="H15" s="263">
        <v>3</v>
      </c>
      <c r="I15" s="51"/>
      <c r="J15" s="436">
        <v>2</v>
      </c>
      <c r="K15" s="440">
        <v>45383</v>
      </c>
      <c r="L15" s="438">
        <f>+L14</f>
        <v>39.983333333333334</v>
      </c>
    </row>
    <row r="16" spans="2:18" customFormat="1" ht="15" thickBot="1">
      <c r="C16" s="95"/>
      <c r="D16" s="97"/>
      <c r="E16" s="97"/>
      <c r="F16" s="97"/>
      <c r="G16" s="97"/>
      <c r="H16" s="98"/>
      <c r="I16" s="51"/>
      <c r="J16" s="436">
        <v>3</v>
      </c>
      <c r="K16" s="440">
        <v>45413</v>
      </c>
      <c r="L16" s="438">
        <f>+L15</f>
        <v>39.983333333333334</v>
      </c>
    </row>
    <row r="17" spans="3:12" customFormat="1" ht="14.4">
      <c r="C17" s="95"/>
      <c r="D17" s="876" t="s">
        <v>87</v>
      </c>
      <c r="E17" s="877"/>
      <c r="F17" s="877"/>
      <c r="G17" s="878"/>
      <c r="H17" s="911">
        <f>+H14/H15</f>
        <v>39.983333333333334</v>
      </c>
      <c r="I17" s="51"/>
      <c r="J17" s="436">
        <v>4</v>
      </c>
      <c r="K17" s="441"/>
      <c r="L17" s="438"/>
    </row>
    <row r="18" spans="3:12" customFormat="1" ht="14.4">
      <c r="C18" s="95"/>
      <c r="D18" s="908"/>
      <c r="E18" s="909"/>
      <c r="F18" s="909"/>
      <c r="G18" s="910"/>
      <c r="H18" s="912"/>
      <c r="I18" s="51"/>
      <c r="J18" s="436">
        <v>5</v>
      </c>
      <c r="K18" s="441"/>
      <c r="L18" s="439"/>
    </row>
    <row r="19" spans="3:12" customFormat="1" ht="15" thickBot="1">
      <c r="C19" s="95"/>
      <c r="D19" s="879"/>
      <c r="E19" s="880"/>
      <c r="F19" s="880"/>
      <c r="G19" s="881"/>
      <c r="H19" s="913"/>
      <c r="I19" s="51"/>
      <c r="J19" s="436">
        <v>6</v>
      </c>
      <c r="K19" s="441"/>
      <c r="L19" s="439"/>
    </row>
    <row r="20" spans="3:12" customFormat="1" ht="14.4">
      <c r="C20" s="95"/>
      <c r="D20" s="99"/>
      <c r="E20" s="100"/>
      <c r="F20" s="100"/>
      <c r="G20" s="100"/>
      <c r="H20" s="100"/>
      <c r="I20" s="51"/>
      <c r="J20" s="436">
        <v>7</v>
      </c>
      <c r="K20" s="441"/>
      <c r="L20" s="439"/>
    </row>
    <row r="21" spans="3:12" customFormat="1" ht="14.4">
      <c r="C21" s="95"/>
      <c r="D21" s="99"/>
      <c r="E21" s="100"/>
      <c r="F21" s="100"/>
      <c r="G21" s="100"/>
      <c r="H21" s="100"/>
      <c r="I21" s="51"/>
      <c r="J21" s="436">
        <v>8</v>
      </c>
      <c r="K21" s="441"/>
      <c r="L21" s="439"/>
    </row>
    <row r="22" spans="3:12" customFormat="1" ht="14.4">
      <c r="C22" s="95"/>
      <c r="D22" s="99"/>
      <c r="E22" s="100"/>
      <c r="F22" s="100"/>
      <c r="G22" s="100"/>
      <c r="H22" s="100"/>
      <c r="I22" s="51"/>
      <c r="J22" s="436">
        <v>9</v>
      </c>
      <c r="K22" s="441"/>
      <c r="L22" s="439"/>
    </row>
    <row r="23" spans="3:12" customFormat="1" ht="15" thickBot="1">
      <c r="C23" s="95"/>
      <c r="D23" s="99"/>
      <c r="E23" s="100"/>
      <c r="F23" s="100"/>
      <c r="G23" s="100"/>
      <c r="H23" s="100"/>
      <c r="I23" s="51"/>
      <c r="J23" s="442">
        <v>10</v>
      </c>
      <c r="K23" s="443"/>
      <c r="L23" s="444"/>
    </row>
    <row r="24" spans="3:12" customFormat="1" ht="15" customHeight="1" thickBot="1">
      <c r="C24" s="95"/>
      <c r="F24" s="33"/>
      <c r="G24" s="33"/>
      <c r="H24" s="33"/>
      <c r="I24" s="33"/>
      <c r="J24" s="914" t="s">
        <v>21</v>
      </c>
      <c r="K24" s="915"/>
      <c r="L24" s="101">
        <f>SUM(L14:L23)</f>
        <v>119.95</v>
      </c>
    </row>
    <row r="25" spans="3:12" customFormat="1" ht="15" thickBot="1">
      <c r="C25" s="102"/>
      <c r="D25" s="89"/>
      <c r="E25" s="89"/>
      <c r="F25" s="103"/>
      <c r="G25" s="103"/>
      <c r="H25" s="103"/>
      <c r="I25" s="103"/>
      <c r="J25" s="103"/>
      <c r="K25" s="103"/>
      <c r="L25" s="104"/>
    </row>
    <row r="26" spans="3:12" customFormat="1" ht="15.75" customHeight="1"/>
    <row r="27" spans="3:12" customFormat="1" ht="19.5" customHeight="1" thickBot="1"/>
    <row r="28" spans="3:12" s="33" customFormat="1" ht="27.75" customHeight="1" thickBot="1">
      <c r="C28" s="864" t="s">
        <v>153</v>
      </c>
      <c r="D28" s="865"/>
      <c r="E28" s="865"/>
      <c r="F28" s="865"/>
      <c r="G28" s="865"/>
      <c r="H28" s="865"/>
      <c r="I28" s="865"/>
      <c r="J28" s="865"/>
      <c r="K28" s="865"/>
      <c r="L28" s="902"/>
    </row>
    <row r="29" spans="3:12" customFormat="1" ht="8.25" customHeight="1" thickBot="1"/>
    <row r="30" spans="3:12" customFormat="1" ht="16.5" customHeight="1">
      <c r="C30" s="892" t="s">
        <v>413</v>
      </c>
      <c r="D30" s="893"/>
      <c r="E30" s="893"/>
      <c r="F30" s="893"/>
      <c r="G30" s="893"/>
      <c r="H30" s="893"/>
      <c r="I30" s="893"/>
      <c r="J30" s="893"/>
      <c r="K30" s="893"/>
      <c r="L30" s="894"/>
    </row>
    <row r="31" spans="3:12" customFormat="1" ht="35.25" customHeight="1" thickBot="1">
      <c r="C31" s="895"/>
      <c r="D31" s="896"/>
      <c r="E31" s="896"/>
      <c r="F31" s="896"/>
      <c r="G31" s="896"/>
      <c r="H31" s="896"/>
      <c r="I31" s="896"/>
      <c r="J31" s="896"/>
      <c r="K31" s="896"/>
      <c r="L31" s="897"/>
    </row>
    <row r="32" spans="3:12" customFormat="1" ht="18" customHeight="1" thickBot="1"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s="33" customFormat="1" ht="39.75" customHeight="1" thickBot="1">
      <c r="C33" s="864" t="s">
        <v>261</v>
      </c>
      <c r="D33" s="865"/>
      <c r="E33" s="865"/>
      <c r="F33" s="865"/>
      <c r="G33" s="865"/>
      <c r="H33" s="865"/>
      <c r="I33" s="865"/>
      <c r="J33" s="865"/>
      <c r="K33" s="865"/>
      <c r="L33" s="902"/>
    </row>
    <row r="34" spans="3:12" customFormat="1" ht="14.4">
      <c r="C34" s="105"/>
      <c r="D34" s="91"/>
      <c r="E34" s="91"/>
      <c r="F34" s="91"/>
      <c r="G34" s="91"/>
      <c r="H34" s="91"/>
      <c r="I34" s="91"/>
      <c r="J34" s="91"/>
      <c r="K34" s="91"/>
      <c r="L34" s="92"/>
    </row>
    <row r="35" spans="3:12" customFormat="1" ht="14.4">
      <c r="C35" s="918" t="s">
        <v>262</v>
      </c>
      <c r="D35" s="919"/>
      <c r="E35" s="919"/>
      <c r="F35" s="919"/>
      <c r="G35" s="919"/>
      <c r="H35" s="919"/>
      <c r="I35" s="919"/>
      <c r="J35" s="919"/>
      <c r="K35" s="919"/>
      <c r="L35" s="920"/>
    </row>
    <row r="36" spans="3:12" customFormat="1" ht="14.4">
      <c r="C36" s="918"/>
      <c r="D36" s="919"/>
      <c r="E36" s="919"/>
      <c r="F36" s="919"/>
      <c r="G36" s="919"/>
      <c r="H36" s="919"/>
      <c r="I36" s="919"/>
      <c r="J36" s="919"/>
      <c r="K36" s="919"/>
      <c r="L36" s="920"/>
    </row>
    <row r="37" spans="3:12" customFormat="1" ht="14.4">
      <c r="C37" s="918"/>
      <c r="D37" s="919"/>
      <c r="E37" s="919"/>
      <c r="F37" s="919"/>
      <c r="G37" s="919"/>
      <c r="H37" s="919"/>
      <c r="I37" s="919"/>
      <c r="J37" s="919"/>
      <c r="K37" s="919"/>
      <c r="L37" s="920"/>
    </row>
    <row r="38" spans="3:12" customFormat="1" ht="14.4">
      <c r="C38" s="95"/>
      <c r="L38" s="106"/>
    </row>
    <row r="39" spans="3:12" customFormat="1" ht="14.4">
      <c r="C39" s="95"/>
      <c r="L39" s="106"/>
    </row>
    <row r="40" spans="3:12" customFormat="1" ht="14.4">
      <c r="C40" s="95"/>
      <c r="L40" s="106"/>
    </row>
    <row r="41" spans="3:12" customFormat="1" ht="14.4">
      <c r="C41" s="95"/>
      <c r="L41" s="106"/>
    </row>
    <row r="42" spans="3:12" customFormat="1" ht="14.4">
      <c r="C42" s="95"/>
      <c r="D42" s="921"/>
      <c r="E42" s="921"/>
      <c r="F42" s="921"/>
      <c r="G42" s="921"/>
      <c r="L42" s="106"/>
    </row>
    <row r="43" spans="3:12" customFormat="1" ht="14.4">
      <c r="C43" s="95"/>
      <c r="D43" s="917" t="s">
        <v>154</v>
      </c>
      <c r="E43" s="917"/>
      <c r="F43" s="917"/>
      <c r="I43" s="916" t="s">
        <v>155</v>
      </c>
      <c r="J43" s="916"/>
      <c r="K43" s="916"/>
      <c r="L43" s="106"/>
    </row>
    <row r="44" spans="3:12" customFormat="1" ht="14.4">
      <c r="C44" s="95"/>
      <c r="D44" s="107" t="s">
        <v>156</v>
      </c>
      <c r="E44" s="693">
        <f>+E7</f>
        <v>956796767</v>
      </c>
      <c r="F44" s="109"/>
      <c r="I44" s="917" t="s">
        <v>157</v>
      </c>
      <c r="J44" s="917"/>
      <c r="K44" s="917"/>
      <c r="L44" s="106"/>
    </row>
    <row r="45" spans="3:12" customFormat="1" ht="14.4">
      <c r="C45" s="95"/>
      <c r="L45" s="106"/>
    </row>
    <row r="46" spans="3:12" customFormat="1" ht="14.4">
      <c r="C46" s="95"/>
      <c r="L46" s="106"/>
    </row>
    <row r="47" spans="3:12" customFormat="1" ht="14.4">
      <c r="C47" s="95"/>
      <c r="L47" s="106"/>
    </row>
    <row r="48" spans="3:12" customFormat="1" ht="14.4">
      <c r="C48" s="95"/>
      <c r="L48" s="106"/>
    </row>
    <row r="49" spans="3:12" customFormat="1" ht="14.4">
      <c r="C49" s="95"/>
      <c r="L49" s="106"/>
    </row>
    <row r="50" spans="3:12" customFormat="1" ht="14.4">
      <c r="C50" s="95"/>
      <c r="D50" s="51"/>
      <c r="E50" s="51"/>
      <c r="F50" s="51"/>
      <c r="G50" s="110"/>
      <c r="H50" s="110"/>
      <c r="I50" s="110"/>
      <c r="L50" s="106"/>
    </row>
    <row r="51" spans="3:12" customFormat="1" ht="14.4">
      <c r="C51" s="95"/>
      <c r="D51" s="51"/>
      <c r="E51" s="51"/>
      <c r="F51" s="51"/>
      <c r="G51" s="110"/>
      <c r="H51" s="110"/>
      <c r="I51" s="110"/>
      <c r="L51" s="106"/>
    </row>
    <row r="52" spans="3:12" customFormat="1" ht="14.4">
      <c r="C52" s="95"/>
      <c r="D52" s="110"/>
      <c r="E52" s="110"/>
      <c r="F52" s="110"/>
      <c r="I52" s="110"/>
      <c r="J52" s="110"/>
      <c r="K52" s="110"/>
      <c r="L52" s="106"/>
    </row>
    <row r="53" spans="3:12" customFormat="1" ht="14.4">
      <c r="C53" s="95"/>
      <c r="D53" s="110"/>
      <c r="E53" s="110"/>
      <c r="F53" s="110"/>
      <c r="I53" s="110"/>
      <c r="J53" s="110"/>
      <c r="K53" s="110"/>
      <c r="L53" s="106"/>
    </row>
    <row r="54" spans="3:12" customFormat="1" ht="14.4">
      <c r="C54" s="95"/>
      <c r="D54" s="110"/>
      <c r="E54" s="110"/>
      <c r="F54" s="110"/>
      <c r="I54" s="110"/>
      <c r="J54" s="110"/>
      <c r="K54" s="110"/>
      <c r="L54" s="106"/>
    </row>
    <row r="55" spans="3:12" customFormat="1" ht="14.4">
      <c r="C55" s="95"/>
      <c r="D55" s="110"/>
      <c r="E55" s="110"/>
      <c r="F55" s="110"/>
      <c r="I55" s="110"/>
      <c r="J55" s="110"/>
      <c r="K55" s="110"/>
      <c r="L55" s="106"/>
    </row>
    <row r="56" spans="3:12" customFormat="1" ht="14.4">
      <c r="C56" s="95"/>
      <c r="D56" s="110"/>
      <c r="E56" s="110"/>
      <c r="F56" s="110"/>
      <c r="G56" s="916" t="s">
        <v>158</v>
      </c>
      <c r="H56" s="916"/>
      <c r="I56" s="916"/>
      <c r="J56" s="110"/>
      <c r="K56" s="110"/>
      <c r="L56" s="106"/>
    </row>
    <row r="57" spans="3:12" customFormat="1" ht="14.4">
      <c r="C57" s="95"/>
      <c r="D57" s="110"/>
      <c r="E57" s="110"/>
      <c r="F57" s="110"/>
      <c r="G57" s="917" t="s">
        <v>159</v>
      </c>
      <c r="H57" s="917"/>
      <c r="I57" s="917"/>
      <c r="J57" s="110"/>
      <c r="K57" s="110"/>
      <c r="L57" s="106"/>
    </row>
    <row r="58" spans="3:12" customFormat="1" ht="15" thickBot="1">
      <c r="C58" s="102"/>
      <c r="D58" s="89"/>
      <c r="E58" s="89"/>
      <c r="F58" s="89"/>
      <c r="G58" s="89"/>
      <c r="H58" s="89"/>
      <c r="I58" s="89"/>
      <c r="J58" s="89"/>
      <c r="K58" s="89"/>
      <c r="L58" s="111"/>
    </row>
  </sheetData>
  <mergeCells count="26">
    <mergeCell ref="G56:I56"/>
    <mergeCell ref="G57:I57"/>
    <mergeCell ref="C33:L33"/>
    <mergeCell ref="C35:L37"/>
    <mergeCell ref="D42:G42"/>
    <mergeCell ref="D43:F43"/>
    <mergeCell ref="I43:K43"/>
    <mergeCell ref="I44:K44"/>
    <mergeCell ref="C30:L31"/>
    <mergeCell ref="E9:F9"/>
    <mergeCell ref="H9:L9"/>
    <mergeCell ref="C11:I11"/>
    <mergeCell ref="J12:L12"/>
    <mergeCell ref="D13:E13"/>
    <mergeCell ref="D14:E14"/>
    <mergeCell ref="D15:G15"/>
    <mergeCell ref="D17:G19"/>
    <mergeCell ref="H17:H19"/>
    <mergeCell ref="J24:K24"/>
    <mergeCell ref="C28:L28"/>
    <mergeCell ref="C2:L2"/>
    <mergeCell ref="C4:L5"/>
    <mergeCell ref="E7:F7"/>
    <mergeCell ref="H7:L7"/>
    <mergeCell ref="E8:F8"/>
    <mergeCell ref="H8:L8"/>
  </mergeCells>
  <pageMargins left="0.70866141732283472" right="0.70866141732283472" top="0.74803149606299213" bottom="0.74803149606299213" header="0.31496062992125984" footer="0.31496062992125984"/>
  <pageSetup scale="6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5F60-728C-47EB-9BE7-A891703FF662}">
  <sheetPr codeName="Hoja16">
    <tabColor rgb="FF345525"/>
    <pageSetUpPr fitToPage="1"/>
  </sheetPr>
  <dimension ref="A1:BB101"/>
  <sheetViews>
    <sheetView showGridLines="0" view="pageLayout" topLeftCell="A40" zoomScale="70" zoomScaleNormal="70" zoomScaleSheetLayoutView="25" zoomScalePageLayoutView="70" workbookViewId="0">
      <selection activeCell="D11" sqref="D11"/>
    </sheetView>
  </sheetViews>
  <sheetFormatPr baseColWidth="10" defaultColWidth="9.109375" defaultRowHeight="14.4"/>
  <cols>
    <col min="1" max="1" width="1.77734375" customWidth="1"/>
    <col min="2" max="2" width="6.6640625" customWidth="1"/>
    <col min="3" max="3" width="14.33203125" bestFit="1" customWidth="1"/>
    <col min="4" max="4" width="52.44140625" customWidth="1"/>
    <col min="5" max="5" width="17.44140625" customWidth="1"/>
    <col min="6" max="6" width="6.33203125" customWidth="1"/>
    <col min="8" max="8" width="12.44140625" customWidth="1"/>
    <col min="11" max="11" width="15.77734375" bestFit="1" customWidth="1"/>
  </cols>
  <sheetData>
    <row r="1" spans="2:5" ht="28.2" customHeight="1">
      <c r="B1" s="786" t="s">
        <v>1</v>
      </c>
      <c r="C1" s="788" t="s">
        <v>84</v>
      </c>
      <c r="D1" s="788" t="s">
        <v>2</v>
      </c>
      <c r="E1" s="768" t="s">
        <v>8</v>
      </c>
    </row>
    <row r="2" spans="2:5" s="189" customFormat="1" ht="19.8" customHeight="1" thickBot="1">
      <c r="B2" s="787"/>
      <c r="C2" s="789"/>
      <c r="D2" s="789"/>
      <c r="E2" s="769"/>
    </row>
    <row r="3" spans="2:5" s="33" customFormat="1" ht="26.4" customHeight="1">
      <c r="B3" s="169">
        <v>1</v>
      </c>
      <c r="C3" s="23">
        <v>925813685</v>
      </c>
      <c r="D3" s="25" t="s">
        <v>46</v>
      </c>
      <c r="E3" s="277">
        <f>IFERROR(+VLOOKUP(D3,$D$64:$E$101,2,0),0)</f>
        <v>720.63</v>
      </c>
    </row>
    <row r="4" spans="2:5" s="33" customFormat="1" ht="26.4" customHeight="1">
      <c r="B4" s="169">
        <f>+B3+1</f>
        <v>2</v>
      </c>
      <c r="C4" s="23">
        <v>944405737</v>
      </c>
      <c r="D4" s="25" t="s">
        <v>79</v>
      </c>
      <c r="E4" s="277">
        <f>IFERROR(+VLOOKUP(D4,$D$64:$E$101,2,0),0)</f>
        <v>0</v>
      </c>
    </row>
    <row r="5" spans="2:5" ht="21" customHeight="1">
      <c r="B5" s="169">
        <f t="shared" ref="B5:B52" si="0">+B4+1</f>
        <v>3</v>
      </c>
      <c r="C5" s="23">
        <v>604394502</v>
      </c>
      <c r="D5" s="25" t="s">
        <v>61</v>
      </c>
      <c r="E5" s="277">
        <f>IFERROR(+VLOOKUP(D5,$D$64:$E$101,2,0),0)</f>
        <v>0</v>
      </c>
    </row>
    <row r="6" spans="2:5" ht="24.6" customHeight="1">
      <c r="B6" s="169">
        <f t="shared" si="0"/>
        <v>4</v>
      </c>
      <c r="C6" s="23">
        <v>955741970</v>
      </c>
      <c r="D6" s="25" t="s">
        <v>77</v>
      </c>
      <c r="E6" s="277">
        <f>IFERROR(+VLOOKUP(D6,$D$64:$E$101,2,0),0)</f>
        <v>400</v>
      </c>
    </row>
    <row r="7" spans="2:5" ht="24.6" customHeight="1">
      <c r="B7" s="169">
        <f t="shared" si="0"/>
        <v>5</v>
      </c>
      <c r="C7" s="762" t="s">
        <v>467</v>
      </c>
      <c r="D7" s="730" t="s">
        <v>468</v>
      </c>
      <c r="E7" s="277"/>
    </row>
    <row r="8" spans="2:5" ht="24.6" customHeight="1">
      <c r="B8" s="169">
        <f t="shared" si="0"/>
        <v>6</v>
      </c>
      <c r="C8" s="23">
        <v>944143148</v>
      </c>
      <c r="D8" s="25" t="s">
        <v>422</v>
      </c>
      <c r="E8" s="277">
        <f t="shared" ref="E8:E54" si="1">IFERROR(+VLOOKUP(D8,$D$64:$E$101,2,0),0)</f>
        <v>0</v>
      </c>
    </row>
    <row r="9" spans="2:5" ht="24.6" customHeight="1">
      <c r="B9" s="169">
        <f t="shared" si="0"/>
        <v>7</v>
      </c>
      <c r="C9" s="23">
        <v>955325238</v>
      </c>
      <c r="D9" s="25" t="s">
        <v>469</v>
      </c>
      <c r="E9" s="277">
        <f t="shared" si="1"/>
        <v>0</v>
      </c>
    </row>
    <row r="10" spans="2:5" ht="24.6" customHeight="1">
      <c r="B10" s="169">
        <f t="shared" si="0"/>
        <v>8</v>
      </c>
      <c r="C10" s="23">
        <v>914163654</v>
      </c>
      <c r="D10" s="376" t="s">
        <v>49</v>
      </c>
      <c r="E10" s="277">
        <f t="shared" si="1"/>
        <v>0</v>
      </c>
    </row>
    <row r="11" spans="2:5" ht="24.6" customHeight="1">
      <c r="B11" s="169">
        <f t="shared" si="0"/>
        <v>9</v>
      </c>
      <c r="C11" s="23">
        <v>956668305</v>
      </c>
      <c r="D11" s="25" t="s">
        <v>473</v>
      </c>
      <c r="E11" s="277">
        <f t="shared" si="1"/>
        <v>0</v>
      </c>
    </row>
    <row r="12" spans="2:5" ht="24.6" customHeight="1">
      <c r="B12" s="169">
        <f t="shared" si="0"/>
        <v>10</v>
      </c>
      <c r="C12" s="23">
        <v>918741448</v>
      </c>
      <c r="D12" s="376" t="s">
        <v>416</v>
      </c>
      <c r="E12" s="277">
        <f t="shared" si="1"/>
        <v>150</v>
      </c>
    </row>
    <row r="13" spans="2:5" ht="24.6" customHeight="1">
      <c r="B13" s="169">
        <f t="shared" si="0"/>
        <v>11</v>
      </c>
      <c r="C13" s="23">
        <v>931097620</v>
      </c>
      <c r="D13" s="376" t="s">
        <v>463</v>
      </c>
      <c r="E13" s="277">
        <f t="shared" si="1"/>
        <v>144.30000000000001</v>
      </c>
    </row>
    <row r="14" spans="2:5" ht="24.6" customHeight="1">
      <c r="B14" s="169">
        <f t="shared" si="0"/>
        <v>12</v>
      </c>
      <c r="C14" s="23">
        <v>1105483422</v>
      </c>
      <c r="D14" s="25" t="s">
        <v>81</v>
      </c>
      <c r="E14" s="277">
        <f t="shared" si="1"/>
        <v>0</v>
      </c>
    </row>
    <row r="15" spans="2:5" ht="24.6" customHeight="1">
      <c r="B15" s="169">
        <f t="shared" si="0"/>
        <v>13</v>
      </c>
      <c r="C15" s="23">
        <v>942614645</v>
      </c>
      <c r="D15" s="25" t="s">
        <v>272</v>
      </c>
      <c r="E15" s="277">
        <f t="shared" si="1"/>
        <v>350</v>
      </c>
    </row>
    <row r="16" spans="2:5" ht="24.6" customHeight="1">
      <c r="B16" s="169">
        <f t="shared" si="0"/>
        <v>14</v>
      </c>
      <c r="C16" s="23">
        <v>951200062</v>
      </c>
      <c r="D16" s="25" t="s">
        <v>201</v>
      </c>
      <c r="E16" s="277">
        <f t="shared" si="1"/>
        <v>300</v>
      </c>
    </row>
    <row r="17" spans="2:5" ht="24" customHeight="1">
      <c r="B17" s="169">
        <f t="shared" si="0"/>
        <v>15</v>
      </c>
      <c r="C17" s="64">
        <v>950929232</v>
      </c>
      <c r="D17" s="25" t="s">
        <v>255</v>
      </c>
      <c r="E17" s="277">
        <f t="shared" si="1"/>
        <v>300</v>
      </c>
    </row>
    <row r="18" spans="2:5" ht="24.6" customHeight="1">
      <c r="B18" s="169">
        <f t="shared" si="0"/>
        <v>16</v>
      </c>
      <c r="C18" s="23">
        <v>953819646</v>
      </c>
      <c r="D18" s="25" t="s">
        <v>256</v>
      </c>
      <c r="E18" s="277">
        <f t="shared" si="1"/>
        <v>0</v>
      </c>
    </row>
    <row r="19" spans="2:5" ht="24.6" customHeight="1">
      <c r="B19" s="169">
        <f t="shared" si="0"/>
        <v>17</v>
      </c>
      <c r="C19" s="23">
        <v>956953392</v>
      </c>
      <c r="D19" s="25" t="s">
        <v>236</v>
      </c>
      <c r="E19" s="277">
        <f t="shared" si="1"/>
        <v>150</v>
      </c>
    </row>
    <row r="20" spans="2:5" ht="24.6" customHeight="1">
      <c r="B20" s="169">
        <f t="shared" si="0"/>
        <v>18</v>
      </c>
      <c r="C20" s="23">
        <v>956796767</v>
      </c>
      <c r="D20" s="229" t="s">
        <v>65</v>
      </c>
      <c r="E20" s="277">
        <f t="shared" si="1"/>
        <v>390</v>
      </c>
    </row>
    <row r="21" spans="2:5" ht="24.6" customHeight="1">
      <c r="B21" s="169">
        <f t="shared" si="0"/>
        <v>19</v>
      </c>
      <c r="C21" s="23" t="s">
        <v>417</v>
      </c>
      <c r="D21" s="229" t="s">
        <v>418</v>
      </c>
      <c r="E21" s="277">
        <f t="shared" si="1"/>
        <v>0</v>
      </c>
    </row>
    <row r="22" spans="2:5" ht="24.6" customHeight="1">
      <c r="B22" s="169">
        <f t="shared" si="0"/>
        <v>20</v>
      </c>
      <c r="C22" s="23">
        <v>1724102940</v>
      </c>
      <c r="D22" s="25" t="s">
        <v>231</v>
      </c>
      <c r="E22" s="277">
        <f t="shared" si="1"/>
        <v>500</v>
      </c>
    </row>
    <row r="23" spans="2:5" s="164" customFormat="1" ht="24.6" customHeight="1">
      <c r="B23" s="169">
        <f t="shared" si="0"/>
        <v>21</v>
      </c>
      <c r="C23" s="23">
        <v>943322974</v>
      </c>
      <c r="D23" s="25" t="s">
        <v>191</v>
      </c>
      <c r="E23" s="277">
        <f t="shared" si="1"/>
        <v>100</v>
      </c>
    </row>
    <row r="24" spans="2:5" s="164" customFormat="1" ht="24.6" customHeight="1">
      <c r="B24" s="169">
        <f t="shared" si="0"/>
        <v>22</v>
      </c>
      <c r="C24" s="23">
        <v>941096851</v>
      </c>
      <c r="D24" s="25" t="s">
        <v>23</v>
      </c>
      <c r="E24" s="277">
        <f t="shared" si="1"/>
        <v>480.64</v>
      </c>
    </row>
    <row r="25" spans="2:5" s="164" customFormat="1" ht="24.6" customHeight="1">
      <c r="B25" s="169">
        <f t="shared" si="0"/>
        <v>23</v>
      </c>
      <c r="C25" s="23">
        <v>957093800</v>
      </c>
      <c r="D25" s="25" t="s">
        <v>414</v>
      </c>
      <c r="E25" s="277">
        <f t="shared" si="1"/>
        <v>0</v>
      </c>
    </row>
    <row r="26" spans="2:5" s="164" customFormat="1" ht="28.95" customHeight="1">
      <c r="B26" s="169">
        <f t="shared" si="0"/>
        <v>24</v>
      </c>
      <c r="C26" s="393">
        <v>957924350</v>
      </c>
      <c r="D26" s="25" t="s">
        <v>408</v>
      </c>
      <c r="E26" s="277">
        <f t="shared" si="1"/>
        <v>0</v>
      </c>
    </row>
    <row r="27" spans="2:5" ht="24.6" customHeight="1">
      <c r="B27" s="169">
        <f t="shared" si="0"/>
        <v>25</v>
      </c>
      <c r="C27" s="23">
        <v>603838657</v>
      </c>
      <c r="D27" s="25" t="s">
        <v>68</v>
      </c>
      <c r="E27" s="277">
        <f t="shared" si="1"/>
        <v>400</v>
      </c>
    </row>
    <row r="28" spans="2:5" ht="24.6" customHeight="1">
      <c r="B28" s="169">
        <f t="shared" si="0"/>
        <v>26</v>
      </c>
      <c r="C28" s="23">
        <v>925240525</v>
      </c>
      <c r="D28" s="25" t="s">
        <v>54</v>
      </c>
      <c r="E28" s="277">
        <f t="shared" si="1"/>
        <v>0</v>
      </c>
    </row>
    <row r="29" spans="2:5" ht="24.6" customHeight="1">
      <c r="B29" s="169">
        <f t="shared" si="0"/>
        <v>27</v>
      </c>
      <c r="C29" s="23">
        <v>954520599</v>
      </c>
      <c r="D29" s="35" t="s">
        <v>66</v>
      </c>
      <c r="E29" s="277">
        <f t="shared" si="1"/>
        <v>500</v>
      </c>
    </row>
    <row r="30" spans="2:5" ht="24.6" customHeight="1">
      <c r="B30" s="169">
        <f t="shared" si="0"/>
        <v>28</v>
      </c>
      <c r="C30" s="23" t="s">
        <v>275</v>
      </c>
      <c r="D30" s="35" t="s">
        <v>274</v>
      </c>
      <c r="E30" s="277">
        <f t="shared" si="1"/>
        <v>300</v>
      </c>
    </row>
    <row r="31" spans="2:5" ht="24.6" customHeight="1">
      <c r="B31" s="169">
        <f t="shared" si="0"/>
        <v>29</v>
      </c>
      <c r="C31" s="23" t="s">
        <v>239</v>
      </c>
      <c r="D31" s="35" t="s">
        <v>240</v>
      </c>
      <c r="E31" s="277">
        <f t="shared" si="1"/>
        <v>550</v>
      </c>
    </row>
    <row r="32" spans="2:5" ht="24.6" customHeight="1">
      <c r="B32" s="169">
        <f t="shared" si="0"/>
        <v>30</v>
      </c>
      <c r="C32" s="23" t="s">
        <v>326</v>
      </c>
      <c r="D32" s="35" t="s">
        <v>309</v>
      </c>
      <c r="E32" s="277">
        <f t="shared" si="1"/>
        <v>332.13</v>
      </c>
    </row>
    <row r="33" spans="2:13" ht="24.6" customHeight="1">
      <c r="B33" s="169">
        <f t="shared" si="0"/>
        <v>31</v>
      </c>
      <c r="C33" s="23">
        <v>955395686</v>
      </c>
      <c r="D33" s="35" t="s">
        <v>43</v>
      </c>
      <c r="E33" s="277">
        <f t="shared" si="1"/>
        <v>100</v>
      </c>
    </row>
    <row r="34" spans="2:13" s="36" customFormat="1" ht="24.6" customHeight="1">
      <c r="B34" s="169">
        <f t="shared" si="0"/>
        <v>32</v>
      </c>
      <c r="C34" s="23">
        <v>940991987</v>
      </c>
      <c r="D34" s="25" t="s">
        <v>25</v>
      </c>
      <c r="E34" s="277">
        <f t="shared" si="1"/>
        <v>700</v>
      </c>
      <c r="H34"/>
      <c r="I34"/>
      <c r="J34"/>
    </row>
    <row r="35" spans="2:13" ht="24.6" customHeight="1">
      <c r="B35" s="169">
        <f t="shared" si="0"/>
        <v>33</v>
      </c>
      <c r="C35" s="23">
        <v>956929277</v>
      </c>
      <c r="D35" s="25" t="s">
        <v>407</v>
      </c>
      <c r="E35" s="277">
        <f t="shared" si="1"/>
        <v>0</v>
      </c>
    </row>
    <row r="36" spans="2:13" ht="24.6" customHeight="1">
      <c r="B36" s="169">
        <f t="shared" si="0"/>
        <v>34</v>
      </c>
      <c r="C36" s="23">
        <v>951763994</v>
      </c>
      <c r="D36" s="25" t="s">
        <v>224</v>
      </c>
      <c r="E36" s="277">
        <f t="shared" si="1"/>
        <v>0</v>
      </c>
    </row>
    <row r="37" spans="2:13" ht="24.6" customHeight="1">
      <c r="B37" s="169">
        <f t="shared" si="0"/>
        <v>35</v>
      </c>
      <c r="C37" s="23">
        <v>950703199</v>
      </c>
      <c r="D37" s="25" t="s">
        <v>69</v>
      </c>
      <c r="E37" s="277">
        <f t="shared" si="1"/>
        <v>0</v>
      </c>
    </row>
    <row r="38" spans="2:13" ht="24.6" customHeight="1">
      <c r="B38" s="169">
        <f t="shared" si="0"/>
        <v>36</v>
      </c>
      <c r="C38" s="23" t="s">
        <v>423</v>
      </c>
      <c r="D38" s="25" t="s">
        <v>424</v>
      </c>
      <c r="E38" s="277">
        <f t="shared" si="1"/>
        <v>400</v>
      </c>
    </row>
    <row r="39" spans="2:13" ht="24.6" customHeight="1">
      <c r="B39" s="169">
        <f t="shared" si="0"/>
        <v>37</v>
      </c>
      <c r="C39" s="23">
        <v>925830689</v>
      </c>
      <c r="D39" s="25" t="s">
        <v>26</v>
      </c>
      <c r="E39" s="277">
        <f t="shared" si="1"/>
        <v>831.44</v>
      </c>
      <c r="M39" s="80"/>
    </row>
    <row r="40" spans="2:13" ht="24.6" customHeight="1">
      <c r="B40" s="169">
        <f t="shared" si="0"/>
        <v>38</v>
      </c>
      <c r="C40" s="23">
        <v>944034842</v>
      </c>
      <c r="D40" s="730" t="s">
        <v>466</v>
      </c>
      <c r="E40" s="277">
        <f t="shared" si="1"/>
        <v>0</v>
      </c>
      <c r="M40" s="80"/>
    </row>
    <row r="41" spans="2:13" ht="24.6" customHeight="1">
      <c r="B41" s="169">
        <f t="shared" si="0"/>
        <v>39</v>
      </c>
      <c r="C41" s="23">
        <v>951340702</v>
      </c>
      <c r="D41" s="25" t="s">
        <v>254</v>
      </c>
      <c r="E41" s="277">
        <f t="shared" si="1"/>
        <v>400</v>
      </c>
    </row>
    <row r="42" spans="2:13" ht="24.6" customHeight="1">
      <c r="B42" s="169">
        <f t="shared" si="0"/>
        <v>40</v>
      </c>
      <c r="C42" s="23">
        <v>650112949</v>
      </c>
      <c r="D42" s="25" t="s">
        <v>76</v>
      </c>
      <c r="E42" s="277">
        <f t="shared" si="1"/>
        <v>200</v>
      </c>
    </row>
    <row r="43" spans="2:13" ht="24.6" customHeight="1">
      <c r="B43" s="169">
        <f t="shared" si="0"/>
        <v>41</v>
      </c>
      <c r="C43" s="23">
        <v>924232804</v>
      </c>
      <c r="D43" s="25" t="s">
        <v>55</v>
      </c>
      <c r="E43" s="277">
        <f t="shared" si="1"/>
        <v>900</v>
      </c>
    </row>
    <row r="44" spans="2:13" ht="24.6" customHeight="1">
      <c r="B44" s="169">
        <f t="shared" si="0"/>
        <v>42</v>
      </c>
      <c r="C44" s="23">
        <v>605031145</v>
      </c>
      <c r="D44" s="25" t="s">
        <v>82</v>
      </c>
      <c r="E44" s="277">
        <f t="shared" si="1"/>
        <v>0</v>
      </c>
    </row>
    <row r="45" spans="2:13" ht="24.6" customHeight="1">
      <c r="B45" s="169">
        <f t="shared" si="0"/>
        <v>43</v>
      </c>
      <c r="C45" s="23">
        <v>927257576</v>
      </c>
      <c r="D45" s="25" t="s">
        <v>39</v>
      </c>
      <c r="E45" s="277">
        <f t="shared" si="1"/>
        <v>426.97</v>
      </c>
    </row>
    <row r="46" spans="2:13" ht="24.6" customHeight="1">
      <c r="B46" s="169">
        <f t="shared" si="0"/>
        <v>44</v>
      </c>
      <c r="C46" s="23">
        <v>928901800</v>
      </c>
      <c r="D46" s="25" t="s">
        <v>257</v>
      </c>
      <c r="E46" s="277">
        <f t="shared" si="1"/>
        <v>150</v>
      </c>
    </row>
    <row r="47" spans="2:13" ht="24.6" customHeight="1">
      <c r="B47" s="169">
        <f t="shared" si="0"/>
        <v>45</v>
      </c>
      <c r="C47" s="23">
        <v>951315746</v>
      </c>
      <c r="D47" s="25" t="s">
        <v>73</v>
      </c>
      <c r="E47" s="277">
        <f t="shared" si="1"/>
        <v>350</v>
      </c>
    </row>
    <row r="48" spans="2:13" ht="24.6" customHeight="1">
      <c r="B48" s="169">
        <f t="shared" si="0"/>
        <v>46</v>
      </c>
      <c r="C48" s="23">
        <v>954184321</v>
      </c>
      <c r="D48" s="25" t="s">
        <v>47</v>
      </c>
      <c r="E48" s="277">
        <f t="shared" si="1"/>
        <v>200</v>
      </c>
    </row>
    <row r="49" spans="2:11" ht="24.6" customHeight="1">
      <c r="B49" s="169">
        <f t="shared" si="0"/>
        <v>47</v>
      </c>
      <c r="C49" s="37">
        <v>922034772</v>
      </c>
      <c r="D49" s="35" t="s">
        <v>38</v>
      </c>
      <c r="E49" s="277">
        <f t="shared" si="1"/>
        <v>600</v>
      </c>
    </row>
    <row r="50" spans="2:11" ht="36" customHeight="1">
      <c r="B50" s="169">
        <f t="shared" si="0"/>
        <v>48</v>
      </c>
      <c r="C50" s="23">
        <v>923837991</v>
      </c>
      <c r="D50" s="35" t="s">
        <v>245</v>
      </c>
      <c r="E50" s="277">
        <f t="shared" si="1"/>
        <v>850</v>
      </c>
    </row>
    <row r="51" spans="2:11" ht="24.6" customHeight="1">
      <c r="B51" s="169">
        <f t="shared" si="0"/>
        <v>49</v>
      </c>
      <c r="C51" s="23">
        <v>941508905</v>
      </c>
      <c r="D51" s="35" t="s">
        <v>28</v>
      </c>
      <c r="E51" s="277">
        <f t="shared" si="1"/>
        <v>500</v>
      </c>
    </row>
    <row r="52" spans="2:11" ht="24.6" customHeight="1">
      <c r="B52" s="169">
        <f t="shared" si="0"/>
        <v>50</v>
      </c>
      <c r="C52" s="23">
        <v>604154575</v>
      </c>
      <c r="D52" s="25" t="s">
        <v>30</v>
      </c>
      <c r="E52" s="277">
        <f t="shared" si="1"/>
        <v>800</v>
      </c>
    </row>
    <row r="53" spans="2:11" ht="24.6" customHeight="1">
      <c r="B53" s="169"/>
      <c r="C53" s="23"/>
      <c r="D53" s="35"/>
      <c r="E53" s="277">
        <f t="shared" si="1"/>
        <v>0</v>
      </c>
    </row>
    <row r="54" spans="2:11" ht="24.6" customHeight="1">
      <c r="B54" s="169"/>
      <c r="C54" s="23"/>
      <c r="D54" s="25"/>
      <c r="E54" s="277">
        <f t="shared" si="1"/>
        <v>0</v>
      </c>
    </row>
    <row r="55" spans="2:11" ht="22.2" customHeight="1">
      <c r="B55" s="153"/>
      <c r="C55" s="154"/>
      <c r="D55" s="79" t="s">
        <v>32</v>
      </c>
      <c r="E55" s="149">
        <f>SUBTOTAL(9,E3:E54)</f>
        <v>13476.109999999999</v>
      </c>
    </row>
    <row r="56" spans="2:11" s="18" customFormat="1" ht="27" customHeight="1">
      <c r="K56" s="295">
        <f>+E63-E55</f>
        <v>0</v>
      </c>
    </row>
    <row r="57" spans="2:11" s="18" customFormat="1" ht="58.2" customHeight="1">
      <c r="B57" s="445"/>
      <c r="C57" s="445"/>
      <c r="D57" s="445"/>
      <c r="E57" s="445"/>
    </row>
    <row r="58" spans="2:11" s="18" customFormat="1" ht="16.2">
      <c r="B58" s="445"/>
      <c r="C58" s="938" t="s">
        <v>472</v>
      </c>
      <c r="D58" s="938"/>
      <c r="E58" s="938"/>
    </row>
    <row r="59" spans="2:11" s="18" customFormat="1" ht="15" thickBot="1">
      <c r="B59" s="445"/>
      <c r="C59" s="445"/>
      <c r="D59" s="445"/>
      <c r="E59" s="445"/>
    </row>
    <row r="60" spans="2:11" s="18" customFormat="1" ht="41.4" customHeight="1">
      <c r="B60" s="463" t="s">
        <v>270</v>
      </c>
      <c r="C60" s="462" t="s">
        <v>269</v>
      </c>
      <c r="D60" s="461" t="s">
        <v>268</v>
      </c>
      <c r="E60" s="460" t="s">
        <v>430</v>
      </c>
    </row>
    <row r="61" spans="2:11" s="18" customFormat="1">
      <c r="B61" s="464"/>
      <c r="C61" s="459"/>
      <c r="D61" s="458"/>
      <c r="E61" s="457"/>
    </row>
    <row r="62" spans="2:11" s="18" customFormat="1" thickBot="1">
      <c r="B62" s="464"/>
      <c r="C62" s="456" t="s">
        <v>267</v>
      </c>
      <c r="D62" s="455" t="s">
        <v>266</v>
      </c>
      <c r="E62" s="454" t="s">
        <v>265</v>
      </c>
    </row>
    <row r="63" spans="2:11" s="18" customFormat="1" ht="16.2" thickBot="1">
      <c r="B63" s="465"/>
      <c r="C63" s="453" t="s">
        <v>264</v>
      </c>
      <c r="D63" s="452" t="s">
        <v>263</v>
      </c>
      <c r="E63" s="451">
        <f>SUM(E64:E100)</f>
        <v>13476.109999999999</v>
      </c>
    </row>
    <row r="64" spans="2:11" s="18" customFormat="1" ht="13.8">
      <c r="B64" s="479">
        <v>1</v>
      </c>
      <c r="C64" s="487" t="s">
        <v>461</v>
      </c>
      <c r="D64" s="481" t="s">
        <v>416</v>
      </c>
      <c r="E64" s="485">
        <v>150</v>
      </c>
      <c r="H64" s="295"/>
    </row>
    <row r="65" spans="1:54" s="18" customFormat="1" ht="13.8">
      <c r="B65" s="480">
        <v>2</v>
      </c>
      <c r="C65" s="488" t="s">
        <v>431</v>
      </c>
      <c r="D65" s="482" t="s">
        <v>28</v>
      </c>
      <c r="E65" s="486">
        <v>500</v>
      </c>
      <c r="H65" s="295"/>
    </row>
    <row r="66" spans="1:54" s="18" customFormat="1" ht="13.8">
      <c r="B66" s="480">
        <v>3</v>
      </c>
      <c r="C66" s="488" t="s">
        <v>474</v>
      </c>
      <c r="D66" s="482" t="s">
        <v>43</v>
      </c>
      <c r="E66" s="486">
        <v>100</v>
      </c>
    </row>
    <row r="67" spans="1:54" s="18" customFormat="1" ht="13.8">
      <c r="B67" s="480">
        <v>4</v>
      </c>
      <c r="C67" s="488" t="s">
        <v>432</v>
      </c>
      <c r="D67" s="482" t="s">
        <v>46</v>
      </c>
      <c r="E67" s="486">
        <v>720.63</v>
      </c>
    </row>
    <row r="68" spans="1:54" s="18" customFormat="1" ht="13.8">
      <c r="B68" s="480">
        <v>5</v>
      </c>
      <c r="C68" s="488" t="s">
        <v>462</v>
      </c>
      <c r="D68" s="482" t="s">
        <v>463</v>
      </c>
      <c r="E68" s="486">
        <v>144.30000000000001</v>
      </c>
    </row>
    <row r="69" spans="1:54" s="18" customFormat="1" ht="13.8">
      <c r="B69" s="480">
        <v>6</v>
      </c>
      <c r="C69" s="488" t="s">
        <v>433</v>
      </c>
      <c r="D69" s="482" t="s">
        <v>424</v>
      </c>
      <c r="E69" s="486">
        <v>400</v>
      </c>
      <c r="H69" s="295"/>
      <c r="J69" s="295"/>
    </row>
    <row r="70" spans="1:54" s="18" customFormat="1" ht="13.8">
      <c r="B70" s="480">
        <v>7</v>
      </c>
      <c r="C70" s="488" t="s">
        <v>464</v>
      </c>
      <c r="D70" s="482" t="s">
        <v>191</v>
      </c>
      <c r="E70" s="486">
        <v>100</v>
      </c>
    </row>
    <row r="71" spans="1:54" s="18" customFormat="1" ht="13.8">
      <c r="B71" s="480">
        <v>8</v>
      </c>
      <c r="C71" s="488" t="s">
        <v>434</v>
      </c>
      <c r="D71" s="482" t="s">
        <v>231</v>
      </c>
      <c r="E71" s="486">
        <v>500</v>
      </c>
    </row>
    <row r="72" spans="1:54" s="18" customFormat="1">
      <c r="A72"/>
      <c r="B72" s="480">
        <v>9</v>
      </c>
      <c r="C72" s="488" t="s">
        <v>425</v>
      </c>
      <c r="D72" s="482" t="s">
        <v>55</v>
      </c>
      <c r="E72" s="486">
        <v>900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1:54" s="18" customFormat="1">
      <c r="A73"/>
      <c r="B73" s="480">
        <v>10</v>
      </c>
      <c r="C73" s="488" t="s">
        <v>435</v>
      </c>
      <c r="D73" s="482" t="s">
        <v>30</v>
      </c>
      <c r="E73" s="486">
        <v>800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1:54" s="18" customFormat="1">
      <c r="A74"/>
      <c r="B74" s="480">
        <v>11</v>
      </c>
      <c r="C74" s="488" t="s">
        <v>436</v>
      </c>
      <c r="D74" s="482" t="s">
        <v>47</v>
      </c>
      <c r="E74" s="486">
        <v>200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1:54">
      <c r="B75" s="480">
        <v>12</v>
      </c>
      <c r="C75" s="488" t="s">
        <v>437</v>
      </c>
      <c r="D75" s="482" t="s">
        <v>254</v>
      </c>
      <c r="E75" s="486">
        <v>400</v>
      </c>
    </row>
    <row r="76" spans="1:54" s="18" customFormat="1">
      <c r="A76"/>
      <c r="B76" s="480">
        <v>13</v>
      </c>
      <c r="C76" s="488" t="s">
        <v>438</v>
      </c>
      <c r="D76" s="482" t="s">
        <v>39</v>
      </c>
      <c r="E76" s="486">
        <v>426.97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1:54" s="18" customFormat="1">
      <c r="A77"/>
      <c r="B77" s="480">
        <v>14</v>
      </c>
      <c r="C77" s="488" t="s">
        <v>439</v>
      </c>
      <c r="D77" s="482" t="s">
        <v>66</v>
      </c>
      <c r="E77" s="486">
        <v>500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4" s="18" customFormat="1">
      <c r="A78"/>
      <c r="B78" s="480">
        <v>15</v>
      </c>
      <c r="C78" s="488" t="s">
        <v>440</v>
      </c>
      <c r="D78" s="482" t="s">
        <v>255</v>
      </c>
      <c r="E78" s="486">
        <v>300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54" ht="18" customHeight="1">
      <c r="B79" s="480">
        <v>16</v>
      </c>
      <c r="C79" s="488" t="s">
        <v>441</v>
      </c>
      <c r="D79" s="482" t="s">
        <v>26</v>
      </c>
      <c r="E79" s="486">
        <v>831.44</v>
      </c>
    </row>
    <row r="80" spans="1:54">
      <c r="B80" s="480">
        <v>17</v>
      </c>
      <c r="C80" s="488" t="s">
        <v>442</v>
      </c>
      <c r="D80" s="482" t="s">
        <v>65</v>
      </c>
      <c r="E80" s="486">
        <v>390</v>
      </c>
      <c r="H80" s="80"/>
    </row>
    <row r="81" spans="2:8">
      <c r="B81" s="480">
        <v>18</v>
      </c>
      <c r="C81" s="488" t="s">
        <v>443</v>
      </c>
      <c r="D81" s="482" t="s">
        <v>73</v>
      </c>
      <c r="E81" s="486">
        <v>350</v>
      </c>
    </row>
    <row r="82" spans="2:8">
      <c r="B82" s="480">
        <v>19</v>
      </c>
      <c r="C82" s="488" t="s">
        <v>444</v>
      </c>
      <c r="D82" s="482" t="s">
        <v>38</v>
      </c>
      <c r="E82" s="486">
        <v>600</v>
      </c>
      <c r="G82" s="34"/>
    </row>
    <row r="83" spans="2:8" ht="16.2" customHeight="1">
      <c r="B83" s="480">
        <v>20</v>
      </c>
      <c r="C83" s="488" t="s">
        <v>445</v>
      </c>
      <c r="D83" s="482" t="s">
        <v>257</v>
      </c>
      <c r="E83" s="486">
        <v>150</v>
      </c>
    </row>
    <row r="84" spans="2:8">
      <c r="B84" s="480">
        <v>21</v>
      </c>
      <c r="C84" s="488" t="s">
        <v>446</v>
      </c>
      <c r="D84" s="482" t="s">
        <v>76</v>
      </c>
      <c r="E84" s="486">
        <v>200</v>
      </c>
    </row>
    <row r="85" spans="2:8">
      <c r="B85" s="480">
        <v>22</v>
      </c>
      <c r="C85" s="488" t="s">
        <v>447</v>
      </c>
      <c r="D85" s="482" t="s">
        <v>77</v>
      </c>
      <c r="E85" s="486">
        <v>400</v>
      </c>
    </row>
    <row r="86" spans="2:8">
      <c r="B86" s="480">
        <v>23</v>
      </c>
      <c r="C86" s="488" t="s">
        <v>448</v>
      </c>
      <c r="D86" s="482" t="s">
        <v>68</v>
      </c>
      <c r="E86" s="486">
        <v>400</v>
      </c>
    </row>
    <row r="87" spans="2:8">
      <c r="B87" s="480">
        <v>24</v>
      </c>
      <c r="C87" s="488" t="s">
        <v>449</v>
      </c>
      <c r="D87" s="482" t="s">
        <v>25</v>
      </c>
      <c r="E87" s="486">
        <v>700</v>
      </c>
      <c r="H87" s="120"/>
    </row>
    <row r="88" spans="2:8">
      <c r="B88" s="480">
        <v>25</v>
      </c>
      <c r="C88" s="488" t="s">
        <v>450</v>
      </c>
      <c r="D88" s="482" t="s">
        <v>201</v>
      </c>
      <c r="E88" s="486">
        <v>300</v>
      </c>
    </row>
    <row r="89" spans="2:8">
      <c r="B89" s="480">
        <v>26</v>
      </c>
      <c r="C89" s="488" t="s">
        <v>475</v>
      </c>
      <c r="D89" s="482" t="s">
        <v>236</v>
      </c>
      <c r="E89" s="486">
        <v>150</v>
      </c>
    </row>
    <row r="90" spans="2:8">
      <c r="B90" s="480">
        <v>27</v>
      </c>
      <c r="C90" s="488" t="s">
        <v>451</v>
      </c>
      <c r="D90" s="482" t="s">
        <v>240</v>
      </c>
      <c r="E90" s="486">
        <v>550</v>
      </c>
    </row>
    <row r="91" spans="2:8">
      <c r="B91" s="480">
        <v>28</v>
      </c>
      <c r="C91" s="488" t="s">
        <v>452</v>
      </c>
      <c r="D91" s="482" t="s">
        <v>309</v>
      </c>
      <c r="E91" s="486">
        <v>332.13</v>
      </c>
    </row>
    <row r="92" spans="2:8">
      <c r="B92" s="480">
        <v>29</v>
      </c>
      <c r="C92" s="489" t="s">
        <v>453</v>
      </c>
      <c r="D92" s="483" t="s">
        <v>274</v>
      </c>
      <c r="E92" s="486">
        <v>300</v>
      </c>
    </row>
    <row r="93" spans="2:8">
      <c r="B93" s="480">
        <v>30</v>
      </c>
      <c r="C93" s="458" t="s">
        <v>454</v>
      </c>
      <c r="D93" s="484" t="s">
        <v>272</v>
      </c>
      <c r="E93" s="486">
        <v>350</v>
      </c>
    </row>
    <row r="94" spans="2:8">
      <c r="B94" s="480">
        <v>31</v>
      </c>
      <c r="C94" s="458" t="s">
        <v>476</v>
      </c>
      <c r="D94" s="484" t="s">
        <v>23</v>
      </c>
      <c r="E94" s="486">
        <v>480.64</v>
      </c>
    </row>
    <row r="95" spans="2:8">
      <c r="B95" s="480">
        <v>32</v>
      </c>
      <c r="C95" s="458" t="s">
        <v>455</v>
      </c>
      <c r="D95" s="484" t="s">
        <v>245</v>
      </c>
      <c r="E95" s="486">
        <v>850</v>
      </c>
    </row>
    <row r="96" spans="2:8">
      <c r="B96" s="480">
        <v>33</v>
      </c>
      <c r="C96" s="458"/>
      <c r="D96" s="484"/>
      <c r="E96" s="486"/>
    </row>
    <row r="97" spans="2:5">
      <c r="B97" s="480">
        <v>34</v>
      </c>
      <c r="C97" s="458"/>
      <c r="D97" s="484"/>
      <c r="E97" s="486"/>
    </row>
    <row r="98" spans="2:5">
      <c r="B98" s="480">
        <v>35</v>
      </c>
      <c r="C98" s="458"/>
      <c r="D98" s="484"/>
      <c r="E98" s="486"/>
    </row>
    <row r="99" spans="2:5">
      <c r="B99" s="480">
        <v>36</v>
      </c>
      <c r="C99" s="458"/>
      <c r="D99" s="484"/>
      <c r="E99" s="486"/>
    </row>
    <row r="100" spans="2:5">
      <c r="B100" s="480">
        <v>37</v>
      </c>
      <c r="C100" s="450"/>
      <c r="D100" s="450"/>
      <c r="E100" s="449"/>
    </row>
    <row r="101" spans="2:5" ht="15" thickBot="1">
      <c r="B101" s="448"/>
      <c r="C101" s="447"/>
      <c r="D101" s="447"/>
      <c r="E101" s="446"/>
    </row>
  </sheetData>
  <autoFilter ref="A1:BB54" xr:uid="{5B735F60-728C-47EB-9BE7-A891703FF662}"/>
  <mergeCells count="5">
    <mergeCell ref="C58:E58"/>
    <mergeCell ref="E1:E2"/>
    <mergeCell ref="B1:B2"/>
    <mergeCell ref="C1:C2"/>
    <mergeCell ref="D1:D2"/>
  </mergeCells>
  <pageMargins left="0.53" right="0.12" top="0.43" bottom="0.12" header="0.12" footer="0.3"/>
  <pageSetup scale="35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51FB-E530-480C-B3CD-68FD6AF573C8}">
  <sheetPr codeName="Hoja17"/>
  <dimension ref="F3:F4"/>
  <sheetViews>
    <sheetView workbookViewId="0">
      <selection activeCell="H22" sqref="H22"/>
    </sheetView>
  </sheetViews>
  <sheetFormatPr baseColWidth="10" defaultRowHeight="14.4"/>
  <cols>
    <col min="6" max="6" width="11.5546875" style="34"/>
  </cols>
  <sheetData>
    <row r="3" spans="6:6">
      <c r="F3" s="34">
        <f>800/30</f>
        <v>26.666666666666668</v>
      </c>
    </row>
    <row r="4" spans="6:6">
      <c r="F4" s="34">
        <f>+F3*2</f>
        <v>53.333333333333336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6E4B-4EE0-46CB-9E59-CC1E2570967B}">
  <sheetPr codeName="Hoja18"/>
  <dimension ref="D2:G35"/>
  <sheetViews>
    <sheetView topLeftCell="A16" workbookViewId="0">
      <selection activeCell="I36" sqref="I36"/>
    </sheetView>
  </sheetViews>
  <sheetFormatPr baseColWidth="10" defaultRowHeight="14.4"/>
  <cols>
    <col min="4" max="4" width="48.21875" customWidth="1"/>
    <col min="5" max="5" width="11.5546875" style="493"/>
    <col min="6" max="6" width="11.5546875" style="107"/>
  </cols>
  <sheetData>
    <row r="2" spans="4:7">
      <c r="D2" s="492" t="s">
        <v>308</v>
      </c>
      <c r="E2" s="494">
        <v>490.16</v>
      </c>
      <c r="F2" s="495">
        <v>490.15999999999997</v>
      </c>
      <c r="G2" s="390">
        <f t="shared" ref="G2:G34" si="0">+E2-F2</f>
        <v>0</v>
      </c>
    </row>
    <row r="3" spans="4:7">
      <c r="D3" s="492" t="s">
        <v>307</v>
      </c>
      <c r="E3" s="494">
        <v>213.66</v>
      </c>
      <c r="F3" s="495">
        <v>213.66000000000003</v>
      </c>
      <c r="G3" s="390">
        <f t="shared" si="0"/>
        <v>0</v>
      </c>
    </row>
    <row r="4" spans="4:7">
      <c r="D4" s="492" t="s">
        <v>306</v>
      </c>
      <c r="E4" s="494">
        <v>250.89</v>
      </c>
      <c r="F4" s="495">
        <v>250.88714999999996</v>
      </c>
      <c r="G4" s="390">
        <f t="shared" si="0"/>
        <v>2.8500000000235559E-3</v>
      </c>
    </row>
    <row r="5" spans="4:7">
      <c r="D5" s="492" t="s">
        <v>305</v>
      </c>
      <c r="E5" s="494">
        <v>27.08</v>
      </c>
      <c r="F5" s="495">
        <v>27.083333333333336</v>
      </c>
      <c r="G5" s="390">
        <f t="shared" si="0"/>
        <v>-3.3333333333374071E-3</v>
      </c>
    </row>
    <row r="6" spans="4:7">
      <c r="D6" s="492" t="s">
        <v>304</v>
      </c>
      <c r="E6" s="494">
        <v>176.12</v>
      </c>
      <c r="F6" s="495">
        <v>176.12</v>
      </c>
      <c r="G6" s="390">
        <f t="shared" si="0"/>
        <v>0</v>
      </c>
    </row>
    <row r="7" spans="4:7">
      <c r="D7" s="492" t="s">
        <v>303</v>
      </c>
      <c r="E7" s="494">
        <v>199.65</v>
      </c>
      <c r="F7" s="495">
        <v>199.65033333333335</v>
      </c>
      <c r="G7" s="390">
        <f t="shared" si="0"/>
        <v>-3.3333333334439885E-4</v>
      </c>
    </row>
    <row r="8" spans="4:7">
      <c r="D8" s="492" t="s">
        <v>302</v>
      </c>
      <c r="E8" s="494">
        <v>255.05</v>
      </c>
      <c r="F8" s="495">
        <v>255.053</v>
      </c>
      <c r="G8" s="390">
        <f t="shared" si="0"/>
        <v>-2.9999999999859028E-3</v>
      </c>
    </row>
    <row r="9" spans="4:7">
      <c r="D9" s="492" t="s">
        <v>301</v>
      </c>
      <c r="E9" s="494">
        <v>29.79</v>
      </c>
      <c r="F9" s="495">
        <v>29.791666666666664</v>
      </c>
      <c r="G9" s="390">
        <f t="shared" si="0"/>
        <v>-1.6666666666651508E-3</v>
      </c>
    </row>
    <row r="10" spans="4:7">
      <c r="D10" s="492" t="s">
        <v>300</v>
      </c>
      <c r="E10" s="494">
        <v>205.17</v>
      </c>
      <c r="F10" s="495">
        <v>205.16924999999998</v>
      </c>
      <c r="G10" s="390">
        <f t="shared" si="0"/>
        <v>7.5000000001068656E-4</v>
      </c>
    </row>
    <row r="11" spans="4:7">
      <c r="D11" s="492" t="s">
        <v>299</v>
      </c>
      <c r="E11" s="494">
        <v>177.59</v>
      </c>
      <c r="F11" s="495">
        <v>177.59021333333334</v>
      </c>
      <c r="G11" s="390">
        <f t="shared" si="0"/>
        <v>-2.1333333333473092E-4</v>
      </c>
    </row>
    <row r="12" spans="4:7">
      <c r="D12" s="492" t="s">
        <v>298</v>
      </c>
      <c r="E12" s="494">
        <v>325.8</v>
      </c>
      <c r="F12" s="495">
        <v>325.80407000000002</v>
      </c>
      <c r="G12" s="390">
        <f t="shared" si="0"/>
        <v>-4.0700000000128966E-3</v>
      </c>
    </row>
    <row r="13" spans="4:7">
      <c r="D13" s="492" t="s">
        <v>297</v>
      </c>
      <c r="E13" s="494">
        <v>23.56</v>
      </c>
      <c r="F13" s="495">
        <v>23.560000000000002</v>
      </c>
      <c r="G13" s="390">
        <f t="shared" si="0"/>
        <v>0</v>
      </c>
    </row>
    <row r="14" spans="4:7">
      <c r="D14" s="492" t="s">
        <v>296</v>
      </c>
      <c r="E14" s="494">
        <v>426.41</v>
      </c>
      <c r="F14" s="495">
        <v>426.4100416666667</v>
      </c>
      <c r="G14" s="390">
        <f t="shared" si="0"/>
        <v>-4.1666666675155284E-5</v>
      </c>
    </row>
    <row r="15" spans="4:7">
      <c r="D15" s="492" t="s">
        <v>295</v>
      </c>
      <c r="E15" s="494">
        <v>332.11</v>
      </c>
      <c r="F15" s="495">
        <v>332.11419000000001</v>
      </c>
      <c r="G15" s="390">
        <f t="shared" si="0"/>
        <v>-4.1899999999941429E-3</v>
      </c>
    </row>
    <row r="16" spans="4:7">
      <c r="D16" s="492" t="s">
        <v>294</v>
      </c>
      <c r="E16" s="494">
        <v>700</v>
      </c>
      <c r="F16" s="495">
        <v>700</v>
      </c>
      <c r="G16" s="390">
        <f t="shared" si="0"/>
        <v>0</v>
      </c>
    </row>
    <row r="17" spans="4:7">
      <c r="D17" s="492" t="s">
        <v>293</v>
      </c>
      <c r="E17" s="494">
        <v>161</v>
      </c>
      <c r="F17" s="495">
        <v>161</v>
      </c>
      <c r="G17" s="390">
        <f t="shared" si="0"/>
        <v>0</v>
      </c>
    </row>
    <row r="18" spans="4:7">
      <c r="D18" s="492" t="s">
        <v>292</v>
      </c>
      <c r="E18" s="494">
        <v>458.77</v>
      </c>
      <c r="F18" s="495">
        <v>458.76600000000002</v>
      </c>
      <c r="G18" s="390">
        <f t="shared" si="0"/>
        <v>3.999999999962256E-3</v>
      </c>
    </row>
    <row r="19" spans="4:7">
      <c r="D19" s="492" t="s">
        <v>291</v>
      </c>
      <c r="E19" s="494">
        <v>175.61</v>
      </c>
      <c r="F19" s="495">
        <v>175.61160000000001</v>
      </c>
      <c r="G19" s="390">
        <f t="shared" si="0"/>
        <v>-1.5999999999962711E-3</v>
      </c>
    </row>
    <row r="20" spans="4:7">
      <c r="D20" s="492" t="s">
        <v>290</v>
      </c>
      <c r="E20" s="494">
        <v>200</v>
      </c>
      <c r="F20" s="495">
        <v>200</v>
      </c>
      <c r="G20" s="390">
        <f t="shared" si="0"/>
        <v>0</v>
      </c>
    </row>
    <row r="21" spans="4:7">
      <c r="D21" s="492" t="s">
        <v>289</v>
      </c>
      <c r="E21" s="494">
        <v>123.82</v>
      </c>
      <c r="F21" s="495">
        <v>123.82249333333334</v>
      </c>
      <c r="G21" s="390">
        <f t="shared" si="0"/>
        <v>-2.4933333333478913E-3</v>
      </c>
    </row>
    <row r="22" spans="4:7">
      <c r="D22" s="492" t="s">
        <v>288</v>
      </c>
      <c r="E22" s="494">
        <v>252.99</v>
      </c>
      <c r="F22" s="495">
        <v>252.99243999999999</v>
      </c>
      <c r="G22" s="390">
        <f t="shared" si="0"/>
        <v>-2.4399999999786814E-3</v>
      </c>
    </row>
    <row r="23" spans="4:7">
      <c r="D23" s="492" t="s">
        <v>287</v>
      </c>
      <c r="E23" s="494">
        <v>172.56</v>
      </c>
      <c r="F23" s="495">
        <v>172.55500000000001</v>
      </c>
      <c r="G23" s="390">
        <f t="shared" si="0"/>
        <v>4.9999999999954525E-3</v>
      </c>
    </row>
    <row r="24" spans="4:7">
      <c r="D24" s="492" t="s">
        <v>286</v>
      </c>
      <c r="E24" s="494">
        <v>404.95</v>
      </c>
      <c r="F24" s="495">
        <v>404.9511</v>
      </c>
      <c r="G24" s="390">
        <f t="shared" si="0"/>
        <v>-1.1000000000080945E-3</v>
      </c>
    </row>
    <row r="25" spans="4:7">
      <c r="D25" s="492" t="s">
        <v>285</v>
      </c>
      <c r="E25" s="494">
        <v>58.24</v>
      </c>
      <c r="F25" s="495">
        <v>58.235585833333339</v>
      </c>
      <c r="G25" s="390">
        <f t="shared" si="0"/>
        <v>4.4141666666632773E-3</v>
      </c>
    </row>
    <row r="26" spans="4:7">
      <c r="D26" s="492" t="s">
        <v>284</v>
      </c>
      <c r="E26" s="494">
        <v>566.4</v>
      </c>
      <c r="F26" s="495">
        <v>566.4004083333333</v>
      </c>
      <c r="G26" s="390">
        <f t="shared" si="0"/>
        <v>-4.0833333332557231E-4</v>
      </c>
    </row>
    <row r="27" spans="4:7">
      <c r="D27" s="492" t="s">
        <v>283</v>
      </c>
      <c r="E27" s="494">
        <v>289.16000000000003</v>
      </c>
      <c r="F27" s="495">
        <v>289.16000000000003</v>
      </c>
      <c r="G27" s="390">
        <f t="shared" si="0"/>
        <v>0</v>
      </c>
    </row>
    <row r="28" spans="4:7">
      <c r="D28" s="492" t="s">
        <v>282</v>
      </c>
      <c r="E28" s="494">
        <v>464.12</v>
      </c>
      <c r="F28" s="495">
        <v>464.12440000000004</v>
      </c>
      <c r="G28" s="390">
        <f t="shared" si="0"/>
        <v>-4.400000000032378E-3</v>
      </c>
    </row>
    <row r="29" spans="4:7">
      <c r="D29" s="492" t="s">
        <v>281</v>
      </c>
      <c r="E29" s="494">
        <v>347.81</v>
      </c>
      <c r="F29" s="495">
        <v>347.81</v>
      </c>
      <c r="G29" s="390">
        <f t="shared" si="0"/>
        <v>0</v>
      </c>
    </row>
    <row r="30" spans="4:7">
      <c r="D30" s="492" t="s">
        <v>280</v>
      </c>
      <c r="E30" s="494">
        <v>24.15</v>
      </c>
      <c r="F30" s="495">
        <v>24.149999999999977</v>
      </c>
      <c r="G30" s="390">
        <f t="shared" si="0"/>
        <v>0</v>
      </c>
    </row>
    <row r="31" spans="4:7">
      <c r="D31" s="492" t="s">
        <v>279</v>
      </c>
      <c r="E31" s="494">
        <v>375.07</v>
      </c>
      <c r="F31" s="495">
        <v>375.07000000000005</v>
      </c>
      <c r="G31" s="390">
        <f t="shared" si="0"/>
        <v>0</v>
      </c>
    </row>
    <row r="32" spans="4:7">
      <c r="D32" s="492" t="s">
        <v>278</v>
      </c>
      <c r="E32" s="494">
        <v>14.91</v>
      </c>
      <c r="F32" s="495">
        <v>14.907083333333336</v>
      </c>
      <c r="G32" s="390">
        <f t="shared" si="0"/>
        <v>2.916666666664014E-3</v>
      </c>
    </row>
    <row r="33" spans="4:7">
      <c r="D33" s="492" t="s">
        <v>277</v>
      </c>
      <c r="E33" s="494">
        <v>153.65</v>
      </c>
      <c r="F33" s="495">
        <v>153.65145000000001</v>
      </c>
      <c r="G33" s="390">
        <f t="shared" si="0"/>
        <v>-1.4500000000055024E-3</v>
      </c>
    </row>
    <row r="34" spans="4:7">
      <c r="D34" s="492" t="s">
        <v>276</v>
      </c>
      <c r="E34" s="494">
        <v>330.33</v>
      </c>
      <c r="F34" s="495">
        <v>330.33050000000003</v>
      </c>
      <c r="G34" s="390">
        <f t="shared" si="0"/>
        <v>-5.0000000004501999E-4</v>
      </c>
    </row>
    <row r="35" spans="4:7">
      <c r="E35" s="493">
        <f>SUM(E2:E34)</f>
        <v>8406.5799999999981</v>
      </c>
      <c r="F35" s="493">
        <f>SUM(F2:F34)</f>
        <v>8406.5913091666662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0C7B-D488-40D1-AB9F-26C447FA3782}">
  <sheetPr codeName="Hoja19"/>
  <dimension ref="B5:W25"/>
  <sheetViews>
    <sheetView showGridLines="0" workbookViewId="0">
      <selection activeCell="J24" sqref="J24"/>
    </sheetView>
  </sheetViews>
  <sheetFormatPr baseColWidth="10" defaultRowHeight="14.4"/>
  <cols>
    <col min="1" max="1" width="2.77734375" customWidth="1"/>
    <col min="2" max="2" width="5.77734375" customWidth="1"/>
    <col min="3" max="3" width="7.21875" customWidth="1"/>
    <col min="4" max="4" width="23.33203125" customWidth="1"/>
    <col min="5" max="5" width="8.33203125" customWidth="1"/>
    <col min="6" max="6" width="9.21875" hidden="1" customWidth="1"/>
    <col min="7" max="7" width="6.6640625" customWidth="1"/>
    <col min="8" max="8" width="6.44140625" customWidth="1"/>
    <col min="9" max="9" width="8.109375" customWidth="1"/>
    <col min="10" max="21" width="9.44140625" style="513" customWidth="1"/>
    <col min="22" max="22" width="11.5546875" style="34"/>
  </cols>
  <sheetData>
    <row r="5" spans="2:23">
      <c r="J5" s="593">
        <v>1</v>
      </c>
      <c r="K5" s="593">
        <v>2</v>
      </c>
      <c r="L5" s="593">
        <v>3</v>
      </c>
      <c r="M5" s="593">
        <v>4</v>
      </c>
      <c r="N5" s="593">
        <v>5</v>
      </c>
      <c r="O5" s="593">
        <v>6</v>
      </c>
      <c r="P5" s="593">
        <v>7</v>
      </c>
      <c r="Q5" s="593">
        <v>8</v>
      </c>
      <c r="R5" s="593">
        <v>9</v>
      </c>
      <c r="S5" s="593">
        <v>10</v>
      </c>
      <c r="T5" s="593">
        <v>11</v>
      </c>
      <c r="U5" s="593">
        <v>12</v>
      </c>
    </row>
    <row r="6" spans="2:23" ht="19.2">
      <c r="B6" s="496" t="s">
        <v>310</v>
      </c>
      <c r="C6" s="496" t="s">
        <v>311</v>
      </c>
      <c r="D6" s="496" t="s">
        <v>312</v>
      </c>
      <c r="E6" s="497" t="s">
        <v>313</v>
      </c>
      <c r="F6" s="496" t="s">
        <v>314</v>
      </c>
      <c r="G6" s="497" t="s">
        <v>315</v>
      </c>
      <c r="H6" s="508" t="s">
        <v>316</v>
      </c>
      <c r="I6" s="510" t="s">
        <v>317</v>
      </c>
      <c r="J6" s="594" t="s">
        <v>321</v>
      </c>
      <c r="K6" s="594" t="s">
        <v>322</v>
      </c>
      <c r="L6" s="594" t="s">
        <v>323</v>
      </c>
      <c r="M6" s="594" t="s">
        <v>324</v>
      </c>
      <c r="N6" s="594" t="s">
        <v>355</v>
      </c>
      <c r="O6" s="594" t="s">
        <v>356</v>
      </c>
      <c r="P6" s="594" t="s">
        <v>357</v>
      </c>
      <c r="Q6" s="594" t="s">
        <v>358</v>
      </c>
      <c r="R6" s="594" t="s">
        <v>363</v>
      </c>
      <c r="S6" s="594" t="s">
        <v>364</v>
      </c>
      <c r="T6" s="594" t="s">
        <v>365</v>
      </c>
      <c r="U6" s="594" t="s">
        <v>329</v>
      </c>
      <c r="V6" s="514" t="s">
        <v>21</v>
      </c>
    </row>
    <row r="7" spans="2:23">
      <c r="B7" s="498">
        <v>9583</v>
      </c>
      <c r="C7" s="532">
        <v>940991987</v>
      </c>
      <c r="D7" s="521" t="s">
        <v>25</v>
      </c>
      <c r="E7" s="499">
        <v>25000</v>
      </c>
      <c r="F7" s="500" t="s">
        <v>124</v>
      </c>
      <c r="G7" s="499">
        <f t="shared" ref="G7:G13" si="0">+IF(F7= "NO",E7*2%,0)</f>
        <v>500</v>
      </c>
      <c r="H7" s="509">
        <v>6</v>
      </c>
      <c r="I7" s="511">
        <f t="shared" ref="I7:I13" si="1">+G7/H7</f>
        <v>83.333333333333329</v>
      </c>
      <c r="J7" s="595">
        <f>+I7</f>
        <v>83.333333333333329</v>
      </c>
      <c r="K7" s="596">
        <v>83.33</v>
      </c>
      <c r="L7" s="596">
        <v>83.33</v>
      </c>
      <c r="M7" s="518">
        <v>83.33</v>
      </c>
      <c r="N7" s="519">
        <v>83.33</v>
      </c>
      <c r="O7" s="519">
        <v>83.35</v>
      </c>
      <c r="P7" s="520"/>
      <c r="Q7" s="520"/>
      <c r="R7" s="520"/>
      <c r="S7" s="520"/>
      <c r="T7" s="520"/>
      <c r="U7" s="520"/>
      <c r="V7" s="68">
        <f>SUM(J7:U7)</f>
        <v>500.00333333333333</v>
      </c>
      <c r="W7" s="80">
        <f>+G7-V7</f>
        <v>-3.3333333333303017E-3</v>
      </c>
    </row>
    <row r="8" spans="2:23">
      <c r="B8" s="498">
        <v>9364</v>
      </c>
      <c r="C8" s="532">
        <v>925813685</v>
      </c>
      <c r="D8" s="521" t="s">
        <v>46</v>
      </c>
      <c r="E8" s="499">
        <v>1000</v>
      </c>
      <c r="F8" s="500" t="s">
        <v>124</v>
      </c>
      <c r="G8" s="499">
        <f t="shared" si="0"/>
        <v>20</v>
      </c>
      <c r="H8" s="509">
        <v>1</v>
      </c>
      <c r="I8" s="511">
        <f t="shared" si="1"/>
        <v>20</v>
      </c>
      <c r="J8" s="520">
        <v>20</v>
      </c>
      <c r="K8" s="520"/>
      <c r="L8" s="520"/>
      <c r="M8" s="520"/>
      <c r="N8" s="520"/>
      <c r="O8" s="520"/>
      <c r="P8" s="520"/>
      <c r="Q8" s="520"/>
      <c r="R8" s="520"/>
      <c r="S8" s="520"/>
      <c r="T8" s="520"/>
      <c r="U8" s="520"/>
      <c r="V8" s="68">
        <f t="shared" ref="V8:V13" si="2">SUM(J8:U8)</f>
        <v>20</v>
      </c>
      <c r="W8" s="80">
        <f t="shared" ref="W8:W13" si="3">+G8-V8</f>
        <v>0</v>
      </c>
    </row>
    <row r="9" spans="2:23">
      <c r="B9" s="498">
        <v>8569</v>
      </c>
      <c r="C9" s="532">
        <v>928901800</v>
      </c>
      <c r="D9" s="521" t="s">
        <v>27</v>
      </c>
      <c r="E9" s="499">
        <v>20000</v>
      </c>
      <c r="F9" s="500" t="s">
        <v>124</v>
      </c>
      <c r="G9" s="499">
        <f t="shared" si="0"/>
        <v>400</v>
      </c>
      <c r="H9" s="509">
        <v>12</v>
      </c>
      <c r="I9" s="511">
        <f t="shared" si="1"/>
        <v>33.333333333333336</v>
      </c>
      <c r="J9" s="520">
        <v>33.333333333333336</v>
      </c>
      <c r="K9" s="520">
        <v>33.333333333333336</v>
      </c>
      <c r="L9" s="520">
        <v>33.333333333333336</v>
      </c>
      <c r="M9" s="520">
        <v>33.33</v>
      </c>
      <c r="N9" s="520">
        <v>33.33</v>
      </c>
      <c r="O9" s="520">
        <v>33.33</v>
      </c>
      <c r="P9" s="520">
        <v>33.33</v>
      </c>
      <c r="Q9" s="520">
        <v>33.33</v>
      </c>
      <c r="R9" s="520">
        <v>33.33</v>
      </c>
      <c r="S9" s="520">
        <v>33.33</v>
      </c>
      <c r="T9" s="520">
        <v>33.33</v>
      </c>
      <c r="U9" s="520">
        <v>33.33</v>
      </c>
      <c r="V9" s="68">
        <f>SUM(J9:U9)</f>
        <v>399.96999999999986</v>
      </c>
      <c r="W9" s="80">
        <f t="shared" si="3"/>
        <v>3.0000000000143245E-2</v>
      </c>
    </row>
    <row r="10" spans="2:23">
      <c r="B10" s="498">
        <v>14207</v>
      </c>
      <c r="C10" s="532">
        <v>604394502</v>
      </c>
      <c r="D10" s="521" t="s">
        <v>61</v>
      </c>
      <c r="E10" s="499">
        <v>3000</v>
      </c>
      <c r="F10" s="500" t="s">
        <v>124</v>
      </c>
      <c r="G10" s="499">
        <f t="shared" si="0"/>
        <v>60</v>
      </c>
      <c r="H10" s="509">
        <v>1</v>
      </c>
      <c r="I10" s="511">
        <f t="shared" si="1"/>
        <v>60</v>
      </c>
      <c r="J10" s="520">
        <v>60</v>
      </c>
      <c r="K10" s="520"/>
      <c r="L10" s="520"/>
      <c r="M10" s="520"/>
      <c r="N10" s="520"/>
      <c r="O10" s="520"/>
      <c r="P10" s="520"/>
      <c r="Q10" s="520"/>
      <c r="R10" s="520"/>
      <c r="S10" s="520"/>
      <c r="T10" s="520"/>
      <c r="U10" s="520"/>
      <c r="V10" s="68">
        <f t="shared" si="2"/>
        <v>60</v>
      </c>
      <c r="W10" s="80">
        <f t="shared" si="3"/>
        <v>0</v>
      </c>
    </row>
    <row r="11" spans="2:23">
      <c r="B11" s="498">
        <v>12152</v>
      </c>
      <c r="C11" s="532">
        <v>955395686</v>
      </c>
      <c r="D11" s="521" t="s">
        <v>43</v>
      </c>
      <c r="E11" s="499">
        <v>15000</v>
      </c>
      <c r="F11" s="500" t="s">
        <v>124</v>
      </c>
      <c r="G11" s="499">
        <f t="shared" si="0"/>
        <v>300</v>
      </c>
      <c r="H11" s="509">
        <v>3</v>
      </c>
      <c r="I11" s="511">
        <f t="shared" si="1"/>
        <v>100</v>
      </c>
      <c r="J11" s="520">
        <v>100</v>
      </c>
      <c r="K11" s="520">
        <v>100</v>
      </c>
      <c r="L11" s="520">
        <v>100</v>
      </c>
      <c r="M11" s="520"/>
      <c r="N11" s="520"/>
      <c r="O11" s="520"/>
      <c r="P11" s="520"/>
      <c r="Q11" s="520"/>
      <c r="R11" s="520"/>
      <c r="S11" s="520"/>
      <c r="T11" s="520"/>
      <c r="U11" s="520"/>
      <c r="V11" s="68">
        <f t="shared" si="2"/>
        <v>300</v>
      </c>
      <c r="W11" s="80">
        <f t="shared" si="3"/>
        <v>0</v>
      </c>
    </row>
    <row r="12" spans="2:23" ht="14.4" customHeight="1">
      <c r="B12" s="498">
        <v>5135</v>
      </c>
      <c r="C12" s="532">
        <v>925830689</v>
      </c>
      <c r="D12" s="521" t="s">
        <v>325</v>
      </c>
      <c r="E12" s="499">
        <v>11000</v>
      </c>
      <c r="F12" s="500" t="s">
        <v>124</v>
      </c>
      <c r="G12" s="499">
        <f t="shared" si="0"/>
        <v>220</v>
      </c>
      <c r="H12" s="509">
        <v>1</v>
      </c>
      <c r="I12" s="511">
        <f t="shared" si="1"/>
        <v>220</v>
      </c>
      <c r="J12" s="520">
        <v>220</v>
      </c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68">
        <f t="shared" si="2"/>
        <v>220</v>
      </c>
      <c r="W12" s="80">
        <f t="shared" si="3"/>
        <v>0</v>
      </c>
    </row>
    <row r="13" spans="2:23">
      <c r="B13" s="498">
        <v>14045</v>
      </c>
      <c r="C13" s="532">
        <v>953819646</v>
      </c>
      <c r="D13" s="521" t="s">
        <v>59</v>
      </c>
      <c r="E13" s="499">
        <v>1500</v>
      </c>
      <c r="F13" s="500" t="s">
        <v>124</v>
      </c>
      <c r="G13" s="499">
        <f t="shared" si="0"/>
        <v>30</v>
      </c>
      <c r="H13" s="509">
        <v>1</v>
      </c>
      <c r="I13" s="511">
        <f t="shared" si="1"/>
        <v>30</v>
      </c>
      <c r="J13" s="520">
        <v>30</v>
      </c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68">
        <f t="shared" si="2"/>
        <v>30</v>
      </c>
      <c r="W13" s="80">
        <f t="shared" si="3"/>
        <v>0</v>
      </c>
    </row>
    <row r="14" spans="2:23">
      <c r="B14" s="939" t="s">
        <v>320</v>
      </c>
      <c r="C14" s="940"/>
      <c r="D14" s="940"/>
      <c r="E14" s="501">
        <f>+SUBTOTAL(9,E7:E13)</f>
        <v>76500</v>
      </c>
      <c r="F14" s="502"/>
      <c r="G14" s="501">
        <f>+SUBTOTAL(9,G7:G13)</f>
        <v>1530</v>
      </c>
      <c r="H14" s="508">
        <f>+SUBTOTAL(9,H7:H13)</f>
        <v>25</v>
      </c>
      <c r="I14" s="512">
        <f>+SUBTOTAL(9,I7:I13)</f>
        <v>546.66666666666663</v>
      </c>
      <c r="J14" s="515">
        <f>SUM(J7:J13)</f>
        <v>546.66666666666663</v>
      </c>
      <c r="K14" s="515">
        <f t="shared" ref="K14:U14" si="4">SUM(K7:K13)</f>
        <v>216.66333333333333</v>
      </c>
      <c r="L14" s="515">
        <f t="shared" si="4"/>
        <v>216.66333333333333</v>
      </c>
      <c r="M14" s="515">
        <f t="shared" si="4"/>
        <v>116.66</v>
      </c>
      <c r="N14" s="515">
        <f t="shared" si="4"/>
        <v>116.66</v>
      </c>
      <c r="O14" s="515">
        <f t="shared" si="4"/>
        <v>116.67999999999999</v>
      </c>
      <c r="P14" s="515">
        <f t="shared" si="4"/>
        <v>33.33</v>
      </c>
      <c r="Q14" s="515">
        <f t="shared" si="4"/>
        <v>33.33</v>
      </c>
      <c r="R14" s="515">
        <f t="shared" si="4"/>
        <v>33.33</v>
      </c>
      <c r="S14" s="515">
        <f t="shared" si="4"/>
        <v>33.33</v>
      </c>
      <c r="T14" s="515">
        <f t="shared" si="4"/>
        <v>33.33</v>
      </c>
      <c r="U14" s="515">
        <f t="shared" si="4"/>
        <v>33.33</v>
      </c>
      <c r="V14" s="517">
        <f>SUM(V7:V13)</f>
        <v>1529.9733333333331</v>
      </c>
      <c r="W14" s="80">
        <f>SUM(W7:W13)</f>
        <v>2.6666666666812944E-2</v>
      </c>
    </row>
    <row r="15" spans="2:23">
      <c r="B15" s="503"/>
      <c r="C15" s="503"/>
      <c r="D15" s="503"/>
      <c r="E15" s="504"/>
      <c r="F15" s="505"/>
      <c r="G15" s="504"/>
      <c r="H15" s="506"/>
      <c r="I15" s="507"/>
    </row>
    <row r="16" spans="2:23">
      <c r="B16" s="503"/>
      <c r="C16" s="503"/>
      <c r="D16" s="503"/>
      <c r="E16" s="504"/>
      <c r="F16" s="505"/>
      <c r="G16" s="504"/>
      <c r="H16" s="506"/>
      <c r="I16" s="507"/>
    </row>
    <row r="18" spans="7:19">
      <c r="N18" s="592">
        <v>33.333333333333336</v>
      </c>
      <c r="R18" s="513">
        <v>550</v>
      </c>
    </row>
    <row r="19" spans="7:19">
      <c r="O19" s="513">
        <f>33.33*12</f>
        <v>399.96</v>
      </c>
      <c r="R19" s="513">
        <v>60</v>
      </c>
      <c r="S19" s="513" t="s">
        <v>359</v>
      </c>
    </row>
    <row r="20" spans="7:19">
      <c r="G20">
        <v>83.33</v>
      </c>
      <c r="I20">
        <v>33.33</v>
      </c>
      <c r="R20" s="513">
        <v>67.010000000000005</v>
      </c>
      <c r="S20" s="513" t="s">
        <v>360</v>
      </c>
    </row>
    <row r="21" spans="7:19">
      <c r="G21">
        <v>83.33</v>
      </c>
      <c r="I21">
        <v>33.33</v>
      </c>
      <c r="K21" s="591"/>
      <c r="M21" s="513">
        <v>250</v>
      </c>
      <c r="N21" s="513" t="s">
        <v>362</v>
      </c>
      <c r="R21" s="513">
        <v>74.680000000000007</v>
      </c>
      <c r="S21" s="513" t="s">
        <v>361</v>
      </c>
    </row>
    <row r="22" spans="7:19">
      <c r="G22">
        <v>83.33</v>
      </c>
      <c r="I22">
        <v>33.33</v>
      </c>
      <c r="M22" s="513">
        <f>+SUM(M9:U9)</f>
        <v>299.96999999999991</v>
      </c>
      <c r="R22" s="513">
        <f>SUM(R18:R21)</f>
        <v>751.69</v>
      </c>
    </row>
    <row r="23" spans="7:19">
      <c r="G23">
        <f>SUM(G20:G22)</f>
        <v>249.99</v>
      </c>
      <c r="I23">
        <f>SUM(I20:I22)</f>
        <v>99.99</v>
      </c>
      <c r="M23" s="513">
        <f>SUM(M21:M22)</f>
        <v>549.96999999999991</v>
      </c>
      <c r="O23" s="513">
        <f>33.33*3</f>
        <v>99.99</v>
      </c>
    </row>
    <row r="24" spans="7:19">
      <c r="I24">
        <f>400-I23</f>
        <v>300.01</v>
      </c>
      <c r="R24" s="513">
        <v>751.69</v>
      </c>
    </row>
    <row r="25" spans="7:19">
      <c r="G25">
        <f>500-G23</f>
        <v>250.01</v>
      </c>
      <c r="O25" s="513">
        <f>400-O23</f>
        <v>300.01</v>
      </c>
      <c r="R25" s="513">
        <f>+R24-R22</f>
        <v>0</v>
      </c>
    </row>
  </sheetData>
  <mergeCells count="1">
    <mergeCell ref="B14:D14"/>
  </mergeCells>
  <phoneticPr fontId="13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64C7-B567-43B2-9EF4-06721DA6AC16}">
  <sheetPr codeName="Hoja20"/>
  <dimension ref="B2:N6"/>
  <sheetViews>
    <sheetView workbookViewId="0">
      <selection activeCell="I9" sqref="I9"/>
    </sheetView>
  </sheetViews>
  <sheetFormatPr baseColWidth="10" defaultRowHeight="14.4"/>
  <cols>
    <col min="2" max="2" width="6.33203125" customWidth="1"/>
    <col min="4" max="4" width="17.77734375" customWidth="1"/>
    <col min="6" max="6" width="9.88671875" customWidth="1"/>
    <col min="7" max="7" width="8.109375" customWidth="1"/>
    <col min="8" max="9" width="9.44140625" style="513" customWidth="1"/>
    <col min="10" max="10" width="8.44140625" style="513" customWidth="1"/>
    <col min="11" max="11" width="8.5546875" style="513" customWidth="1"/>
    <col min="12" max="12" width="8.44140625" style="513" customWidth="1"/>
    <col min="13" max="13" width="10.44140625" style="34" customWidth="1"/>
  </cols>
  <sheetData>
    <row r="2" spans="2:14">
      <c r="H2" s="516">
        <v>1</v>
      </c>
      <c r="I2" s="516"/>
      <c r="J2" s="516">
        <v>2</v>
      </c>
      <c r="K2" s="516">
        <v>3</v>
      </c>
      <c r="L2" s="516">
        <v>4</v>
      </c>
    </row>
    <row r="3" spans="2:14" ht="19.2">
      <c r="B3" s="524" t="s">
        <v>310</v>
      </c>
      <c r="C3" s="524" t="s">
        <v>311</v>
      </c>
      <c r="D3" s="525" t="s">
        <v>312</v>
      </c>
      <c r="E3" s="526" t="s">
        <v>313</v>
      </c>
      <c r="F3" s="527" t="s">
        <v>316</v>
      </c>
      <c r="G3" s="510" t="s">
        <v>317</v>
      </c>
      <c r="H3" s="522" t="s">
        <v>329</v>
      </c>
      <c r="I3" s="125" t="s">
        <v>321</v>
      </c>
      <c r="J3" s="125" t="s">
        <v>322</v>
      </c>
      <c r="K3" s="125" t="s">
        <v>323</v>
      </c>
      <c r="L3" s="125" t="s">
        <v>324</v>
      </c>
      <c r="M3" s="514" t="s">
        <v>21</v>
      </c>
    </row>
    <row r="4" spans="2:14">
      <c r="B4" s="528">
        <v>9583</v>
      </c>
      <c r="C4" s="528" t="s">
        <v>318</v>
      </c>
      <c r="D4" s="529" t="s">
        <v>327</v>
      </c>
      <c r="E4" s="530">
        <v>176.06</v>
      </c>
      <c r="F4" s="531">
        <v>5</v>
      </c>
      <c r="G4" s="511">
        <f>+E4/5</f>
        <v>35.212000000000003</v>
      </c>
      <c r="H4" s="523">
        <f>+G4</f>
        <v>35.212000000000003</v>
      </c>
      <c r="I4" s="518">
        <f>+H4</f>
        <v>35.212000000000003</v>
      </c>
      <c r="J4" s="519">
        <f>+H4</f>
        <v>35.212000000000003</v>
      </c>
      <c r="K4" s="519">
        <f t="shared" ref="K4:L5" si="0">+J4</f>
        <v>35.212000000000003</v>
      </c>
      <c r="L4" s="519">
        <f t="shared" si="0"/>
        <v>35.212000000000003</v>
      </c>
      <c r="M4" s="68">
        <f>SUM(H4:L4)</f>
        <v>176.06</v>
      </c>
      <c r="N4" s="80">
        <f>+E4-M4</f>
        <v>0</v>
      </c>
    </row>
    <row r="5" spans="2:14">
      <c r="B5" s="528">
        <v>9364</v>
      </c>
      <c r="C5" s="528" t="s">
        <v>319</v>
      </c>
      <c r="D5" s="529" t="s">
        <v>328</v>
      </c>
      <c r="E5" s="530">
        <v>176.06</v>
      </c>
      <c r="F5" s="531">
        <v>5</v>
      </c>
      <c r="G5" s="511">
        <f>+E5/5</f>
        <v>35.212000000000003</v>
      </c>
      <c r="H5" s="523">
        <f>+G5</f>
        <v>35.212000000000003</v>
      </c>
      <c r="I5" s="518">
        <f>+H5</f>
        <v>35.212000000000003</v>
      </c>
      <c r="J5" s="519">
        <f>+H5</f>
        <v>35.212000000000003</v>
      </c>
      <c r="K5" s="519">
        <f t="shared" si="0"/>
        <v>35.212000000000003</v>
      </c>
      <c r="L5" s="519">
        <f t="shared" si="0"/>
        <v>35.212000000000003</v>
      </c>
      <c r="M5" s="68">
        <f>SUM(H5:L5)</f>
        <v>176.06</v>
      </c>
      <c r="N5" s="80">
        <f>+E5-M5</f>
        <v>0</v>
      </c>
    </row>
    <row r="6" spans="2:14">
      <c r="B6" s="503"/>
      <c r="C6" s="503"/>
      <c r="D6" s="503"/>
      <c r="E6" s="504"/>
      <c r="F6" s="506"/>
      <c r="G6" s="5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</vt:i4>
      </vt:variant>
    </vt:vector>
  </HeadingPairs>
  <TitlesOfParts>
    <vt:vector size="29" baseType="lpstr">
      <vt:lpstr>OCTUBRE 2025</vt:lpstr>
      <vt:lpstr>BONO vehicular</vt:lpstr>
      <vt:lpstr>COMISIONES</vt:lpstr>
      <vt:lpstr>ROL INDIVIDUAL</vt:lpstr>
      <vt:lpstr>ROL INDIVIDUAL (2)</vt:lpstr>
      <vt:lpstr>CHIMBOLEMA</vt:lpstr>
      <vt:lpstr>coca</vt:lpstr>
      <vt:lpstr>coca (2)</vt:lpstr>
      <vt:lpstr>Enfermedad-Meza)</vt:lpstr>
      <vt:lpstr>Cálculo Morocho</vt:lpstr>
      <vt:lpstr>DEL ROSARIO</vt:lpstr>
      <vt:lpstr>CHIMBOLEMA KEVIN</vt:lpstr>
      <vt:lpstr>OTRAS COMISIONES</vt:lpstr>
      <vt:lpstr>COMISIONES-SOCIOS</vt:lpstr>
      <vt:lpstr>CTAS POR COBRAR-GUAPI</vt:lpstr>
      <vt:lpstr>H.EXTRAS</vt:lpstr>
      <vt:lpstr>Conversión-HE</vt:lpstr>
      <vt:lpstr>PQ</vt:lpstr>
      <vt:lpstr>FR</vt:lpstr>
      <vt:lpstr>Enfermedad</vt:lpstr>
      <vt:lpstr>CxC García Henry</vt:lpstr>
      <vt:lpstr>CxC Guayanlema</vt:lpstr>
      <vt:lpstr>ANTICIPOS</vt:lpstr>
      <vt:lpstr>Hoja1</vt:lpstr>
      <vt:lpstr>comprobación</vt:lpstr>
      <vt:lpstr>DESCUENTO</vt:lpstr>
      <vt:lpstr>anticipos-pago yuquilema</vt:lpstr>
      <vt:lpstr>'Conversión-HE'!Área_de_impresión</vt:lpstr>
      <vt:lpstr>'OCTUBRE 2025'!Títulos_a_imprimir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</dc:creator>
  <cp:lastModifiedBy>Danny Joeh Veliz Calero</cp:lastModifiedBy>
  <cp:lastPrinted>2025-07-12T15:07:08Z</cp:lastPrinted>
  <dcterms:created xsi:type="dcterms:W3CDTF">2020-01-31T23:31:18Z</dcterms:created>
  <dcterms:modified xsi:type="dcterms:W3CDTF">2025-11-30T04:16:37Z</dcterms:modified>
</cp:coreProperties>
</file>